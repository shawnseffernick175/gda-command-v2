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B62F3A3E-3ED1-424E-A513-1097EA1B3603}" xr6:coauthVersionLast="47" xr6:coauthVersionMax="47" xr10:uidLastSave="{00000000-0000-0000-0000-000000000000}"/>
  <bookViews>
    <workbookView xWindow="1500" yWindow="1950" windowWidth="56100" windowHeight="11100" tabRatio="500" xr2:uid="{00000000-000D-0000-FFFF-FFFF00000000}"/>
  </bookViews>
  <sheets>
    <sheet name="SESSION START - READ FIRST" sheetId="1" r:id="rId1"/>
    <sheet name="PLATFORM SPECS - MUST HAVES" sheetId="2" r:id="rId2"/>
    <sheet name="DATABASE SCHEMA" sheetId="3" r:id="rId3"/>
    <sheet name="WORKFLOW RULES" sheetId="4" r:id="rId4"/>
    <sheet name="CURRENT STATUS 3-16-2026" sheetId="5" r:id="rId5"/>
    <sheet name="SHAWNS RULES" sheetId="6" r:id="rId6"/>
    <sheet name="S-085 Web Deploy Log" sheetId="7" r:id="rId7"/>
    <sheet name="S-085 Session Output" sheetId="8" r:id="rId8"/>
    <sheet name="S-086 Backlog" sheetId="9" r:id="rId9"/>
    <sheet name="S-084 Deploy Log" sheetId="10" r:id="rId10"/>
    <sheet name="S-085 Backlog" sheetId="11" r:id="rId11"/>
    <sheet name="S-083 Session Output" sheetId="12" r:id="rId12"/>
    <sheet name="S-082 Deploy Log" sheetId="13" r:id="rId13"/>
    <sheet name="S-083 Backlog" sheetId="14" r:id="rId14"/>
    <sheet name="S-081 Session Output" sheetId="15" r:id="rId15"/>
    <sheet name="S-082 Backlog" sheetId="16" r:id="rId16"/>
    <sheet name="S-080 Deploy Log" sheetId="17" r:id="rId17"/>
    <sheet name="S-081 Backlog" sheetId="18" r:id="rId18"/>
    <sheet name="S-079 Deploy Log" sheetId="19" r:id="rId19"/>
    <sheet name="S-080 Backlog" sheetId="20" r:id="rId20"/>
    <sheet name="S-078 Session Output" sheetId="21" r:id="rId21"/>
    <sheet name="S-079 Backlog" sheetId="22" r:id="rId22"/>
    <sheet name="S-078 Components" sheetId="23" r:id="rId23"/>
    <sheet name="S-078 Deploy Log" sheetId="24" r:id="rId24"/>
    <sheet name="Department Hierarchy" sheetId="25" r:id="rId25"/>
    <sheet name="Strategic Roadmap" sheetId="26" r:id="rId26"/>
    <sheet name="S-078 Backlog" sheetId="27" r:id="rId27"/>
    <sheet name="S-077 Backlog" sheetId="28" r:id="rId28"/>
    <sheet name="S-077 Session Output" sheetId="29" r:id="rId29"/>
    <sheet name="S-077 Deploy Log" sheetId="30" r:id="rId30"/>
    <sheet name="S-071 Deploy Log" sheetId="31" r:id="rId31"/>
    <sheet name="S-067 E2E Findings" sheetId="32" r:id="rId32"/>
    <sheet name="Read First" sheetId="33" r:id="rId33"/>
    <sheet name="Dashboard" sheetId="34" r:id="rId34"/>
    <sheet name="Things to remember" sheetId="35" r:id="rId35"/>
    <sheet name="Trading Challenge" sheetId="36" r:id="rId36"/>
    <sheet name="PPT Design Brief" sheetId="37" r:id="rId37"/>
    <sheet name="Requirements" sheetId="38" r:id="rId38"/>
    <sheet name="3 Action Items" sheetId="39" r:id="rId39"/>
    <sheet name="Backlog" sheetId="40" r:id="rId40"/>
    <sheet name="Session Log" sheetId="41" r:id="rId41"/>
    <sheet name="Test Results" sheetId="42" r:id="rId42"/>
    <sheet name="Shawn Notes" sheetId="43" r:id="rId43"/>
    <sheet name="Platform Architecture" sheetId="44" r:id="rId44"/>
    <sheet name="AI Capabilities" sheetId="45" r:id="rId45"/>
    <sheet name="1 OPP Tracker" sheetId="46" r:id="rId46"/>
    <sheet name="2 OODA LOOP" sheetId="47" r:id="rId47"/>
    <sheet name="4 Assistant" sheetId="48" r:id="rId48"/>
    <sheet name="5 SITREP" sheetId="49" r:id="rId49"/>
    <sheet name="6 SITREP Trends" sheetId="50" r:id="rId50"/>
    <sheet name="7 Doc Chat" sheetId="51" r:id="rId51"/>
    <sheet name="GDA Tools" sheetId="52" r:id="rId52"/>
    <sheet name="GDA Workflows" sheetId="53" r:id="rId53"/>
    <sheet name="S-070 Deploy Log" sheetId="54" r:id="rId54"/>
    <sheet name="S-069 Deploy Log" sheetId="55" r:id="rId55"/>
    <sheet name="S-077 Risks Seeded" sheetId="56" r:id="rId56"/>
    <sheet name="S-077 Trade Signals" sheetId="57" r:id="rId57"/>
    <sheet name="S-077 E2E Results" sheetId="58" r:id="rId5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1" l="1"/>
  <c r="B11" i="41"/>
  <c r="B16" i="34"/>
  <c r="B15" i="34"/>
  <c r="B14" i="34"/>
  <c r="B13" i="34"/>
  <c r="C18" i="34" s="1"/>
  <c r="F12" i="34"/>
  <c r="C14" i="34" s="1"/>
  <c r="C7" i="34"/>
  <c r="E7" i="34" s="1"/>
  <c r="B7" i="34"/>
  <c r="D7" i="34" s="1"/>
  <c r="F7" i="34" s="1"/>
  <c r="C6" i="34"/>
  <c r="B6" i="34"/>
  <c r="E6" i="34" s="1"/>
  <c r="C5" i="34"/>
  <c r="E5" i="34" s="1"/>
  <c r="B5" i="34"/>
  <c r="D5" i="34" s="1"/>
  <c r="F5" i="34" l="1"/>
  <c r="B8" i="34"/>
  <c r="E8" i="34" s="1"/>
  <c r="C15" i="34"/>
  <c r="C16" i="34"/>
  <c r="C8" i="34"/>
  <c r="D6" i="34"/>
  <c r="F6" i="34" s="1"/>
  <c r="B17" i="34"/>
  <c r="C17" i="34"/>
  <c r="B18" i="34"/>
  <c r="C13" i="34"/>
  <c r="D8" i="34" l="1"/>
  <c r="F8"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26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26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26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26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26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26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26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26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26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26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26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26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26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26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26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26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27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27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27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2700-000004000000}">
      <text>
        <r>
          <rPr>
            <sz val="11"/>
            <color theme="1"/>
            <rFont val="Aptos Narrow"/>
            <family val="2"/>
            <charset val="1"/>
          </rPr>
          <t>shawn seffernick:
Help button added to header (75d02166). Links to claude.ai. Orange accent, matches GDA style.</t>
        </r>
      </text>
    </comment>
    <comment ref="C5" authorId="0" shapeId="0" xr:uid="{00000000-0006-0000-2700-000005000000}">
      <text>
        <r>
          <rPr>
            <sz val="11"/>
            <color theme="1"/>
            <rFont val="Aptos Narrow"/>
            <family val="2"/>
            <charset val="1"/>
          </rPr>
          <t>shawn seffernick:
BL-005 was already done - navigation restructure complete.</t>
        </r>
      </text>
    </comment>
    <comment ref="C7" authorId="0" shapeId="0" xr:uid="{00000000-0006-0000-2700-000006000000}">
      <text>
        <r>
          <rPr>
            <sz val="11"/>
            <color theme="1"/>
            <rFont val="Aptos Narrow"/>
            <family val="2"/>
            <charset val="1"/>
          </rPr>
          <t>shawn seffernick:
2026-03-09: 6 workflows archived, 3 duplicate groups flagged. Active count reduced from 51 to 45.</t>
        </r>
      </text>
    </comment>
    <comment ref="C8" authorId="0" shapeId="0" xr:uid="{00000000-0006-0000-27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27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27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27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27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27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2700-00000D000000}">
      <text>
        <r>
          <rPr>
            <sz val="11"/>
            <color theme="1"/>
            <rFont val="Aptos Narrow"/>
            <family val="2"/>
            <charset val="1"/>
          </rPr>
          <t>shawn seffernick:
Verified: Word Doc Standard workflow not needed — doc-ingest handles Word files.</t>
        </r>
      </text>
    </comment>
    <comment ref="C15" authorId="0" shapeId="0" xr:uid="{00000000-0006-0000-27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27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27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2700-000011000000}">
      <text>
        <r>
          <rPr>
            <sz val="11"/>
            <color theme="1"/>
            <rFont val="Aptos Narrow"/>
            <family val="2"/>
            <charset val="1"/>
          </rPr>
          <t>shawn seffernick:
System status indicators in sidebar (fbf83fb2). SYSTEM_CHECKS compact dots with label.</t>
        </r>
      </text>
    </comment>
    <comment ref="C20" authorId="0" shapeId="0" xr:uid="{00000000-0006-0000-2700-000012000000}">
      <text>
        <r>
          <rPr>
            <sz val="11"/>
            <color theme="1"/>
            <rFont val="Aptos Narrow"/>
            <family val="2"/>
            <charset val="1"/>
          </rPr>
          <t>shawn seffernick:
Two-column module grid on Launchpad (54adcda2). Clickable tiles per module.</t>
        </r>
      </text>
    </comment>
    <comment ref="C21" authorId="0" shapeId="0" xr:uid="{00000000-0006-0000-27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2700-000014000000}">
      <text>
        <r>
          <rPr>
            <sz val="11"/>
            <color theme="1"/>
            <rFont val="Aptos Narrow"/>
            <family val="2"/>
            <charset val="1"/>
          </rPr>
          <t>shawn seffernick:
SubComponentBlock AVG + % of parent (fdd3f640/9e24e523).</t>
        </r>
      </text>
    </comment>
    <comment ref="C24" authorId="0" shapeId="0" xr:uid="{00000000-0006-0000-27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27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27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27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<sst xmlns="http://schemas.openxmlformats.org/spreadsheetml/2006/main" count="10655" uniqueCount="6414">
  <si>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</si>
  <si>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</si>
  <si>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</si>
  <si>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</si>
  <si>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</si>
  <si>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</si>
  <si>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</si>
  <si>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</si>
  <si>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</si>
  <si>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</si>
  <si>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</si>
  <si>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</si>
  <si>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</si>
  <si>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</si>
  <si>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</si>
  <si>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</si>
  <si>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</si>
  <si>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</si>
  <si>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</si>
  <si>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</si>
  <si>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</si>
  <si>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</si>
  <si>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</si>
  <si>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</si>
  <si>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</si>
  <si>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</si>
  <si>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</si>
  <si>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</si>
  <si>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</si>
  <si>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</si>
  <si>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</si>
  <si>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</si>
  <si>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</si>
  <si>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</si>
  <si>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</si>
  <si>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</si>
  <si>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</si>
  <si>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</si>
  <si>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</si>
  <si>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</si>
  <si>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</si>
  <si>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</si>
  <si>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</si>
  <si>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</si>
  <si>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Pipeline</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</si>
  <si>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</si>
  <si>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</si>
  <si>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</si>
  <si>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</si>
  <si>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</si>
  <si>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</si>
  <si>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</si>
  <si>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</si>
  <si>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</si>
  <si>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</si>
  <si>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</si>
  <si>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</si>
  <si>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</si>
  <si>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</si>
  <si>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</si>
  <si>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</si>
  <si>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</si>
  <si>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</si>
  <si>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</si>
  <si>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</si>
  <si>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</si>
  <si>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</si>
  <si>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</si>
  <si>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</si>
  <si>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</si>
  <si>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</si>
  <si>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</si>
  <si>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</si>
  <si>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</si>
  <si>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</si>
  <si>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</si>
  <si>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</si>
  <si>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</si>
  <si>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</si>
  <si>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</si>
  <si>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</si>
  <si>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</si>
  <si>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</si>
  <si>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</si>
  <si>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</si>
  <si>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</si>
  <si>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</si>
  <si>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</si>
  <si>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</si>
  <si>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</si>
  <si>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</si>
  <si>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</si>
  <si>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</si>
  <si>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</si>
  <si>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</si>
  <si>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</si>
  <si>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</si>
  <si>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</si>
  <si>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</si>
  <si>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</si>
  <si>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</si>
  <si>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</si>
  <si>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</si>
  <si>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</si>
  <si>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</si>
  <si>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</si>
  <si>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</si>
  <si>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</si>
  <si>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</si>
  <si>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</si>
  <si>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</si>
  <si>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</si>
  <si>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</si>
  <si>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</si>
  <si>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</si>
  <si>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</si>
  <si>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</si>
  <si>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</si>
  <si>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</si>
  <si>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</si>
  <si>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</si>
  <si>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</si>
  <si>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</si>
  <si>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</si>
  <si>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</si>
  <si>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</si>
  <si>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</si>
  <si>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</si>
  <si>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</si>
  <si>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</si>
  <si>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</si>
  <si>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</si>
  <si>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</si>
  <si>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</si>
  <si>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</si>
  <si>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</si>
  <si>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</si>
  <si>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</si>
  <si>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</si>
  <si>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</si>
  <si>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</si>
  <si>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</si>
  <si>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</si>
  <si>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</si>
  <si>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</si>
  <si>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</si>
  <si>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</si>
  <si>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</si>
  <si>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</si>
  <si>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</si>
  <si>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</si>
  <si>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</si>
  <si>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</si>
  <si>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</si>
  <si>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</si>
  <si>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</si>
  <si>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Purpose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</si>
  <si>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</si>
  <si>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</si>
  <si>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</si>
  <si>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</si>
  <si>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</si>
  <si>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</si>
  <si>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</si>
  <si>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</si>
  <si>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</si>
  <si>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</si>
  <si>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</si>
  <si>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</si>
  <si>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</si>
  <si>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</si>
  <si>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</si>
  <si>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</si>
  <si>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</si>
  <si>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</si>
  <si>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</si>
  <si>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</si>
  <si>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</si>
  <si>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</si>
  <si>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</si>
  <si>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</si>
  <si>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</si>
  <si>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</si>
  <si>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</si>
  <si>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</si>
  <si>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</si>
  <si>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</si>
  <si>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</si>
  <si>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</si>
  <si>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</si>
  <si>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</si>
  <si>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</si>
  <si>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</si>
  <si>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</si>
  <si>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</si>
  <si>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</si>
  <si>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</si>
  <si>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</si>
  <si>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</si>
  <si>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</si>
  <si>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</si>
  <si>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</si>
  <si>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</si>
  <si>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</si>
  <si>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</si>
  <si>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</si>
  <si>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</si>
  <si>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</si>
  <si>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</si>
  <si>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</si>
  <si>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GovTribe</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</si>
  <si>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</si>
  <si>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</si>
  <si>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</si>
  <si>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</si>
  <si>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</si>
  <si>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</si>
  <si>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</si>
  <si>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</si>
  <si>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</si>
  <si>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</si>
  <si>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</si>
  <si>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</si>
  <si>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</si>
  <si>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</si>
  <si>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</si>
  <si>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</si>
  <si>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</si>
  <si>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</si>
  <si>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</si>
  <si>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</si>
  <si>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</si>
  <si>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</si>
  <si>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</si>
  <si>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</si>
  <si>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</si>
  <si>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</si>
  <si>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</si>
  <si>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</si>
  <si>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</si>
  <si>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3/16/2026 SESSION</t>
  </si>
  <si>
    <t>COMMAND CENTER</t>
  </si>
  <si>
    <t>Component</t>
  </si>
  <si>
    <t>Status</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</si>
  <si>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</si>
  <si>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</si>
  <si>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</si>
  <si>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</si>
  <si>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</si>
  <si>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</si>
  <si>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</si>
  <si>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</si>
  <si>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</si>
  <si>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</si>
  <si>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</si>
  <si>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</si>
  <si>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</si>
  <si>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</si>
  <si>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</si>
  <si>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</si>
  <si>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</si>
  <si>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</si>
  <si>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</si>
  <si>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</si>
  <si>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</si>
  <si>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</si>
  <si>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</si>
  <si>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</si>
  <si>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</si>
  <si>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</si>
  <si>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</si>
  <si>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</si>
  <si>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</si>
  <si>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</si>
  <si>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</si>
  <si>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</si>
  <si>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</si>
  <si>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</si>
  <si>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</si>
  <si>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</si>
  <si>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</si>
  <si>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</si>
  <si>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</si>
  <si>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</si>
  <si>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</si>
  <si>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t>
  </si>
  <si>
    <t>Item</t>
  </si>
  <si>
    <t>Details</t>
  </si>
  <si>
    <t>1</t>
  </si>
  <si>
    <t>$0 pipeline values</t>
  </si>
  <si>
    <t>estimated_value not populated. Check DB, check ingestion, check if GovWin/SAM returns values or needs Claude estimation.</t>
  </si>
  <si>
    <t>2</t>
  </si>
  <si>
    <t>DoD hierarchy display</t>
  </si>
  <si>
    <t>Command Center needs 4-level expandable hierarchy (Cabinet -&gt; MilDept -&gt; Command/PEO -&gt; Program). See PLATFORM SPECS tab.</t>
  </si>
  <si>
    <t>3</t>
  </si>
  <si>
    <t>Pipeline stage progression</t>
  </si>
  <si>
    <t>Add stage dropdown on opp cards OR auto-stage logic. Funnel chart is useless without this.</t>
  </si>
  <si>
    <t>4</t>
  </si>
  <si>
    <t>Risk register population</t>
  </si>
  <si>
    <t>Auto-generate risks from opp data (deadlines, low fit, missing capture plans) OR manual entry form.</t>
  </si>
  <si>
    <t>5</t>
  </si>
  <si>
    <t>Doc Compare in Doc RAG</t>
  </si>
  <si>
    <t>Deploy requested 3/16. Needs testing.</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</si>
  <si>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</si>
  <si>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</si>
  <si>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</si>
  <si>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</si>
  <si>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</si>
  <si>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</si>
  <si>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6</t>
  </si>
  <si>
    <t>Do NOT rewrite things that are already working. If 29 opps are loading, don't touch that code path.</t>
  </si>
  <si>
    <t>7</t>
  </si>
  <si>
    <t>NEVER truncate or delete data without explicit approval. We lost all opps on 3/16 because of this.</t>
  </si>
  <si>
    <t>8</t>
  </si>
  <si>
    <t>Check actual DB column names BEFORE writing SQL. We've wasted entire sessions on column name mismatches.</t>
  </si>
  <si>
    <t>9</t>
  </si>
  <si>
    <t>Every session should end with an update to the Master Build workbook — session log, status changes, new findings.</t>
  </si>
  <si>
    <t>10</t>
  </si>
  <si>
    <t>If something breaks during a fix, ROLLBACK before trying a different approach. Don't stack fixes on top of broken state.</t>
  </si>
  <si>
    <t>S-085 WEB DEPLOY LOG -- Web MCP Session (March 16, 2026)</t>
  </si>
  <si>
    <t>HEAD</t>
  </si>
  <si>
    <t>e1fb4aa</t>
  </si>
  <si>
    <t>Lines</t>
  </si>
  <si>
    <t>2290</t>
  </si>
  <si>
    <t>Deploys</t>
  </si>
  <si>
    <t>Prior HEAD</t>
  </si>
  <si>
    <t>4801466 (2272 lines)</t>
  </si>
  <si>
    <t>PHASE 0: MCP CONFIRMATION</t>
  </si>
  <si>
    <t>Detail</t>
  </si>
  <si>
    <t>n8n MCP</t>
  </si>
  <si>
    <t>CONNECTED</t>
  </si>
  <si>
    <t>All tools loaded</t>
  </si>
  <si>
    <t>Returning solicitations</t>
  </si>
  <si>
    <t>Deploy workflow</t>
  </si>
  <si>
    <t>ACTIVE</t>
  </si>
  <si>
    <t>8GnGxnBL9TJjj1i2</t>
  </si>
  <si>
    <t>Postgres credential</t>
  </si>
  <si>
    <t>FOUND</t>
  </si>
  <si>
    <t>HwronxMmGY5XDGEt (user: n8n)</t>
  </si>
  <si>
    <t>PHASE 3: GOVTRIBE PIPELINE (CRITICAL)</t>
  </si>
  <si>
    <t>DDL schema update</t>
  </si>
  <si>
    <t>DONE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</si>
  <si>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</si>
  <si>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</si>
  <si>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</si>
  <si>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</si>
  <si>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</si>
  <si>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</si>
  <si>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UPDATED</t>
  </si>
  <si>
    <t>Returns GovTribe data with opportunities array, dept grouping, fit scores</t>
  </si>
  <si>
    <t>Database totals</t>
  </si>
  <si>
    <t>LIVE</t>
  </si>
  <si>
    <t>30 rows (11 original + 19 GovTribe), 5 depts</t>
  </si>
  <si>
    <t>PHASE 2: FRONTEND DEPLOY</t>
  </si>
  <si>
    <t>useTrendData hook</t>
  </si>
  <si>
    <t>DEPLOYED</t>
  </si>
  <si>
    <t>Reusable across all pages</t>
  </si>
  <si>
    <t>Pipeline Trend data</t>
  </si>
  <si>
    <t>FIXED</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</si>
  <si>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</si>
  <si>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</si>
  <si>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</si>
  <si>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</si>
  <si>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</si>
  <si>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</si>
  <si>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</si>
  <si>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</si>
  <si>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</si>
  <si>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</si>
  <si>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</si>
  <si>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</si>
  <si>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</si>
  <si>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</si>
  <si>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</si>
  <si>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</si>
  <si>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</si>
  <si>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</si>
  <si>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Session Type</t>
  </si>
  <si>
    <t>Desktop (no MCP)</t>
  </si>
  <si>
    <t>Tasks Completed</t>
  </si>
  <si>
    <t>6 of 6 built, 0 deployed</t>
  </si>
  <si>
    <t>Files Produced</t>
  </si>
  <si>
    <t>8 (6 patch scripts + 1 SQL + 1 JS code)</t>
  </si>
  <si>
    <t>Lines of Code</t>
  </si>
  <si>
    <t>~2,262 total across all files</t>
  </si>
  <si>
    <t>Syntax Validated</t>
  </si>
  <si>
    <t>All 6 Python PASS</t>
  </si>
  <si>
    <t>HEAD (unchanged)</t>
  </si>
  <si>
    <t>4801466, 2272 lines</t>
  </si>
  <si>
    <t>DELIVERABLES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</si>
  <si>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</si>
  <si>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</si>
  <si>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</si>
  <si>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</si>
  <si>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</si>
  <si>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</si>
  <si>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</si>
  <si>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</si>
  <si>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</si>
  <si>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</si>
  <si>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</si>
  <si>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PENDING</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</si>
  <si>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</si>
  <si>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</si>
  <si>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</si>
  <si>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</si>
  <si>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</si>
  <si>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</si>
  <si>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</si>
  <si>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</si>
  <si>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</si>
  <si>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</si>
  <si>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</si>
  <si>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</si>
  <si>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</si>
  <si>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</si>
  <si>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</si>
  <si>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</si>
  <si>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</si>
  <si>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</si>
  <si>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</si>
  <si>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</si>
  <si>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SITREP</t>
  </si>
  <si>
    <t>Fully operational — BLUF + Tavily news, 48s execution</t>
  </si>
  <si>
    <t>Trends</t>
  </si>
  <si>
    <t>BROKEN — dual trigger issue, needs split into 2 workflows</t>
  </si>
  <si>
    <t>Gist PAT</t>
  </si>
  <si>
    <t>Credential created by Shawn in n8n. Ready to wire.</t>
  </si>
  <si>
    <t>e1fb4aa (was 4801466)</t>
  </si>
  <si>
    <t>2290 (was 2272)</t>
  </si>
  <si>
    <t>S-086 BACKLOG -- Deploy S-085 Builds + Carry Items</t>
  </si>
  <si>
    <t>Task</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</si>
  <si>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</si>
  <si>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</si>
  <si>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</si>
  <si>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</si>
  <si>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</si>
  <si>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</si>
  <si>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</si>
  <si>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</si>
  <si>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</si>
  <si>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</si>
  <si>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</si>
  <si>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</si>
  <si>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</si>
  <si>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</si>
  <si>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</si>
  <si>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</si>
  <si>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</si>
  <si>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</si>
  <si>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</si>
  <si>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</si>
  <si>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</si>
  <si>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</si>
  <si>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</si>
  <si>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</si>
  <si>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</si>
  <si>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</si>
  <si>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</si>
  <si>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</si>
  <si>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</si>
  <si>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</si>
  <si>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</si>
  <si>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</si>
  <si>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</si>
  <si>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</si>
  <si>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</si>
  <si>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</si>
  <si>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</si>
  <si>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</si>
  <si>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</si>
  <si>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</si>
  <si>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</si>
  <si>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</si>
  <si>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HIGH</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</si>
  <si>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</si>
  <si>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</si>
  <si>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</si>
  <si>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</si>
  <si>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</si>
  <si>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</si>
  <si>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</si>
  <si>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</si>
  <si>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</si>
  <si>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</si>
  <si>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</si>
  <si>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</si>
  <si>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</si>
  <si>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</si>
  <si>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</si>
  <si>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</si>
  <si>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</si>
  <si>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MEDIUM</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</si>
  <si>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</si>
  <si>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</si>
  <si>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</si>
  <si>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</si>
  <si>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</si>
  <si>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</si>
  <si>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</si>
  <si>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</si>
  <si>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</si>
  <si>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</si>
  <si>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</si>
  <si>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</si>
  <si>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</si>
  <si>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</si>
  <si>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</si>
  <si>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</si>
  <si>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</si>
  <si>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</si>
  <si>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</si>
  <si>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</si>
  <si>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</si>
  <si>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</si>
  <si>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</si>
  <si>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</si>
  <si>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</si>
  <si>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</si>
  <si>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</si>
  <si>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</si>
  <si>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</si>
  <si>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</si>
  <si>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</si>
  <si>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</si>
  <si>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</si>
  <si>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PASS</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</si>
  <si>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</si>
  <si>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</si>
  <si>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</si>
  <si>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</si>
  <si>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</si>
  <si>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</si>
  <si>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</si>
  <si>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</si>
  <si>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</si>
  <si>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</si>
  <si>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</si>
  <si>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</si>
  <si>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</si>
  <si>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</si>
  <si>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</si>
  <si>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</si>
  <si>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</si>
  <si>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</si>
  <si>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</si>
  <si>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</si>
  <si>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</si>
  <si>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</si>
  <si>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</si>
  <si>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</si>
  <si>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</si>
  <si>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</si>
  <si>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</si>
  <si>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</si>
  <si>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</si>
  <si>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</si>
  <si>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</si>
  <si>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</si>
  <si>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</si>
  <si>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</si>
  <si>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</si>
  <si>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</si>
  <si>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</si>
  <si>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</si>
  <si>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</si>
  <si>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Intel Feed</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</si>
  <si>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</si>
  <si>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</si>
  <si>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</si>
  <si>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</si>
  <si>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</si>
  <si>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</si>
  <si>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</si>
  <si>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</si>
  <si>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</si>
  <si>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</si>
  <si>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</si>
  <si>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</si>
  <si>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</si>
  <si>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</si>
  <si>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</si>
  <si>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</si>
  <si>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</si>
  <si>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</si>
  <si>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</si>
  <si>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</si>
  <si>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</si>
  <si>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</si>
  <si>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</si>
  <si>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</si>
  <si>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</si>
  <si>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</si>
  <si>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</si>
  <si>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</si>
  <si>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</si>
  <si>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</si>
  <si>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</si>
  <si>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</si>
  <si>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</si>
  <si>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</si>
  <si>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</si>
  <si>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</si>
  <si>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</si>
  <si>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</si>
  <si>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</si>
  <si>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</si>
  <si>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</si>
  <si>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</si>
  <si>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</si>
  <si>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</si>
  <si>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</si>
  <si>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</si>
  <si>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</si>
  <si>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</si>
  <si>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</si>
  <si>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</si>
  <si>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</si>
  <si>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</si>
  <si>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</si>
  <si>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</si>
  <si>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</si>
  <si>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</si>
  <si>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</si>
  <si>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</si>
  <si>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</si>
  <si>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</si>
  <si>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</si>
  <si>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</si>
  <si>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</si>
  <si>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</si>
  <si>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</si>
  <si>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</si>
  <si>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</si>
  <si>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</si>
  <si>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</si>
  <si>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</si>
  <si>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</si>
  <si>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</si>
  <si>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</si>
  <si>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</si>
  <si>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</si>
  <si>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</si>
  <si>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</si>
  <si>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</si>
  <si>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</si>
  <si>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Change</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</si>
  <si>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</si>
  <si>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</si>
  <si>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</si>
  <si>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</si>
  <si>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</si>
  <si>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</si>
  <si>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</si>
  <si>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</si>
  <si>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</si>
  <si>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</si>
  <si>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</si>
  <si>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</si>
  <si>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</si>
  <si>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</si>
  <si>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</si>
  <si>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</si>
  <si>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</si>
  <si>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</si>
  <si>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</si>
  <si>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</si>
  <si>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</si>
  <si>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</si>
  <si>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</si>
  <si>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</si>
  <si>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</si>
  <si>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</si>
  <si>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</si>
  <si>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</si>
  <si>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</si>
  <si>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</si>
  <si>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</si>
  <si>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</si>
  <si>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</si>
  <si>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</si>
  <si>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</si>
  <si>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</si>
  <si>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</si>
  <si>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</si>
  <si>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</si>
  <si>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</si>
  <si>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</si>
  <si>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</si>
  <si>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</si>
  <si>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</si>
  <si>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</si>
  <si>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</si>
  <si>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</si>
  <si>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</si>
  <si>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</si>
  <si>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</si>
  <si>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</si>
  <si>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</si>
  <si>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</si>
  <si>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</si>
  <si>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</si>
  <si>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</si>
  <si>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</si>
  <si>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</si>
  <si>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</si>
  <si>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</si>
  <si>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</si>
  <si>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</si>
  <si>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</si>
  <si>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</si>
  <si>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</si>
  <si>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</si>
  <si>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</si>
  <si>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</si>
  <si>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</si>
  <si>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</si>
  <si>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</si>
  <si>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</si>
  <si>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</si>
  <si>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</si>
  <si>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</si>
  <si>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</si>
  <si>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</si>
  <si>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</si>
  <si>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</si>
  <si>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</si>
  <si>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</si>
  <si>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</si>
  <si>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</si>
  <si>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</si>
  <si>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</si>
  <si>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</si>
  <si>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</si>
  <si>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</si>
  <si>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</si>
  <si>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</si>
  <si>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</si>
  <si>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</si>
  <si>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</si>
  <si>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</si>
  <si>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</si>
  <si>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</si>
  <si>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</si>
  <si>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</si>
  <si>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</si>
  <si>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</si>
  <si>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</si>
  <si>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</si>
  <si>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</si>
  <si>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</si>
  <si>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</si>
  <si>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</si>
  <si>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</si>
  <si>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</si>
  <si>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</si>
  <si>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</si>
  <si>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</si>
  <si>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</si>
  <si>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</si>
  <si>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</si>
  <si>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</si>
  <si>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</si>
  <si>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</si>
  <si>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</si>
  <si>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</si>
  <si>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</si>
  <si>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</si>
  <si>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</si>
  <si>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</si>
  <si>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</si>
  <si>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</si>
  <si>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</si>
  <si>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</si>
  <si>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</si>
  <si>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</si>
  <si>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</si>
  <si>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</si>
  <si>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</si>
  <si>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</si>
  <si>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</si>
  <si>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</si>
  <si>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</si>
  <si>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</si>
  <si>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</si>
  <si>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</si>
  <si>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</si>
  <si>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</si>
  <si>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</si>
  <si>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</si>
  <si>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</si>
  <si>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</si>
  <si>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</si>
  <si>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</si>
  <si>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</si>
  <si>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</si>
  <si>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</si>
  <si>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</si>
  <si>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</si>
  <si>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</si>
  <si>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</si>
  <si>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</si>
  <si>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</si>
  <si>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</si>
  <si>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</si>
  <si>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</si>
  <si>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</si>
  <si>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</si>
  <si>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</si>
  <si>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</si>
  <si>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</si>
  <si>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</si>
  <si>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</si>
  <si>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</si>
  <si>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</si>
  <si>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</si>
  <si>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</si>
  <si>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</si>
  <si>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</si>
  <si>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</si>
  <si>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</si>
  <si>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</si>
  <si>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</si>
  <si>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</si>
  <si>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</si>
  <si>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</si>
  <si>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</si>
  <si>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</si>
  <si>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</si>
  <si>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</si>
  <si>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</si>
  <si>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</si>
  <si>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</si>
  <si>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</si>
  <si>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</si>
  <si>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</si>
  <si>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</si>
  <si>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</si>
  <si>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</si>
  <si>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</si>
  <si>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</si>
  <si>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</si>
  <si>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</si>
  <si>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</si>
  <si>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</si>
  <si>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</si>
  <si>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</si>
  <si>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</si>
  <si>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</si>
  <si>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</si>
  <si>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</si>
  <si>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</si>
  <si>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</si>
  <si>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</si>
  <si>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</si>
  <si>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</si>
  <si>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</si>
  <si>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</si>
  <si>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</si>
  <si>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Launchpad</t>
  </si>
  <si>
    <t>White theme, KPIs showing: 29 Active Opps, 11 agencies, Pipeline Funnel, Revenue vs $100M, Top Opportunities table</t>
  </si>
  <si>
    <t>OODA Loop</t>
  </si>
  <si>
    <t>Input field, quick targets (SOCOM/TRADOC/PEO STRI/DISA/CYBERCOM/Leidos/BAH/SAIC/Peraton), AI Analysis Panel with Ask/Red/Blue Team</t>
  </si>
  <si>
    <t>Opp Tracker</t>
  </si>
  <si>
    <t>29 programs across 3 departments (War, IC, DHS). Search, Sort by Score. Pipeline $0, Urgent 0.</t>
  </si>
  <si>
    <t>Daily SITREP</t>
  </si>
  <si>
    <t>PARTIAL</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</si>
  <si>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</si>
  <si>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</si>
  <si>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</si>
  <si>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</si>
  <si>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</si>
  <si>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</si>
  <si>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</si>
  <si>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</si>
  <si>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</si>
  <si>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</si>
  <si>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</si>
  <si>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</si>
  <si>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</si>
  <si>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</si>
  <si>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</si>
  <si>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</si>
  <si>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</si>
  <si>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</si>
  <si>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</si>
  <si>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</si>
  <si>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</si>
  <si>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</si>
  <si>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</si>
  <si>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</si>
  <si>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</si>
  <si>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</si>
  <si>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</si>
  <si>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</si>
  <si>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</si>
  <si>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</si>
  <si>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</si>
  <si>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</si>
  <si>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</si>
  <si>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</si>
  <si>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</si>
  <si>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</si>
  <si>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</si>
  <si>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</si>
  <si>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</si>
  <si>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</si>
  <si>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</si>
  <si>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</si>
  <si>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</si>
  <si>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</si>
  <si>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</si>
  <si>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</si>
  <si>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</si>
  <si>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</si>
  <si>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</si>
  <si>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</si>
  <si>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</si>
  <si>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</si>
  <si>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</si>
  <si>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</si>
  <si>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</si>
  <si>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</si>
  <si>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</si>
  <si>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</si>
  <si>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</si>
  <si>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</si>
  <si>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</si>
  <si>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</si>
  <si>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</si>
  <si>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</si>
  <si>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</si>
  <si>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</si>
  <si>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</si>
  <si>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</si>
  <si>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</si>
  <si>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</si>
  <si>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</si>
  <si>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</si>
  <si>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</si>
  <si>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</si>
  <si>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</si>
  <si>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</si>
  <si>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</si>
  <si>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</si>
  <si>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</si>
  <si>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</si>
  <si>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</si>
  <si>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</si>
  <si>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</si>
  <si>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</si>
  <si>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</si>
  <si>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</si>
  <si>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</si>
  <si>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</si>
  <si>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</si>
  <si>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</si>
  <si>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</si>
  <si>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</si>
  <si>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</si>
  <si>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</si>
  <si>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</si>
  <si>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</si>
  <si>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</si>
  <si>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</si>
  <si>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</si>
  <si>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</si>
  <si>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</si>
  <si>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</si>
  <si>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</si>
  <si>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</si>
  <si>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</si>
  <si>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</si>
  <si>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</si>
  <si>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</si>
  <si>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</si>
  <si>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</si>
  <si>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</si>
  <si>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</si>
  <si>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</si>
  <si>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</si>
  <si>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</si>
  <si>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</si>
  <si>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</si>
  <si>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</si>
  <si>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</si>
  <si>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</si>
  <si>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</si>
  <si>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</si>
  <si>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</si>
  <si>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</si>
  <si>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</si>
  <si>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</si>
  <si>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</si>
  <si>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</si>
  <si>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</si>
  <si>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</si>
  <si>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</si>
  <si>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</si>
  <si>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</si>
  <si>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</si>
  <si>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</si>
  <si>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</si>
  <si>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</si>
  <si>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</si>
  <si>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</si>
  <si>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</si>
  <si>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</si>
  <si>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</si>
  <si>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</si>
  <si>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</si>
  <si>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</si>
  <si>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</si>
  <si>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</si>
  <si>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Method</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</si>
  <si>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</si>
  <si>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</si>
  <si>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</si>
  <si>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</si>
  <si>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</si>
  <si>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</si>
  <si>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</si>
  <si>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</si>
  <si>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</si>
  <si>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</si>
  <si>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</si>
  <si>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</si>
  <si>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</si>
  <si>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</si>
  <si>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</si>
  <si>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</si>
  <si>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</si>
  <si>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</si>
  <si>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</si>
  <si>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</si>
  <si>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</si>
  <si>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</si>
  <si>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</si>
  <si>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</si>
  <si>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</si>
  <si>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</si>
  <si>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</si>
  <si>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</si>
  <si>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</si>
  <si>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</si>
  <si>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</si>
  <si>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</si>
  <si>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</si>
  <si>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</si>
  <si>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</si>
  <si>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</si>
  <si>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</si>
  <si>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</si>
  <si>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</si>
  <si>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</si>
  <si>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</si>
  <si>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</si>
  <si>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</si>
  <si>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</si>
  <si>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</si>
  <si>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</si>
  <si>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</si>
  <si>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</si>
  <si>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</si>
  <si>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</si>
  <si>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</si>
  <si>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</si>
  <si>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</si>
  <si>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</si>
  <si>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</si>
  <si>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</si>
  <si>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</si>
  <si>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</si>
  <si>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</si>
  <si>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</si>
  <si>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</si>
  <si>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</si>
  <si>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</si>
  <si>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</si>
  <si>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</si>
  <si>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</si>
  <si>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</si>
  <si>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</si>
  <si>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</si>
  <si>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</si>
  <si>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</si>
  <si>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</si>
  <si>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</si>
  <si>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</si>
  <si>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</si>
  <si>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</si>
  <si>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</si>
  <si>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</si>
  <si>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</si>
  <si>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</si>
  <si>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</si>
  <si>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</si>
  <si>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</si>
  <si>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</si>
  <si>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</si>
  <si>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</si>
  <si>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</si>
  <si>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</si>
  <si>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</si>
  <si>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</si>
  <si>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</si>
  <si>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</si>
  <si>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</si>
  <si>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</si>
  <si>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</si>
  <si>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</si>
  <si>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</si>
  <si>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</si>
  <si>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</si>
  <si>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</si>
  <si>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</si>
  <si>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</si>
  <si>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</si>
  <si>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</si>
  <si>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</si>
  <si>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</si>
  <si>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</si>
  <si>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</si>
  <si>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</si>
  <si>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</si>
  <si>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</si>
  <si>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</si>
  <si>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</si>
  <si>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</si>
  <si>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</si>
  <si>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</si>
  <si>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</si>
  <si>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</si>
  <si>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</si>
  <si>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</si>
  <si>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</si>
  <si>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</si>
  <si>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</si>
  <si>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</si>
  <si>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</si>
  <si>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</si>
  <si>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</si>
  <si>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</si>
  <si>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</si>
  <si>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</si>
  <si>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</si>
  <si>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</si>
  <si>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</si>
  <si>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</si>
  <si>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</si>
  <si>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</si>
  <si>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</si>
  <si>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</si>
  <si>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</si>
  <si>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</si>
  <si>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</si>
  <si>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</si>
  <si>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</si>
  <si>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</si>
  <si>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n8n Workflow</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</si>
  <si>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</si>
  <si>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</si>
  <si>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</si>
  <si>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</si>
  <si>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</si>
  <si>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</si>
  <si>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</si>
  <si>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</si>
  <si>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</si>
  <si>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</si>
  <si>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</si>
  <si>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</si>
  <si>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</si>
  <si>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</si>
  <si>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</si>
  <si>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</si>
  <si>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</si>
  <si>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</si>
  <si>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</si>
  <si>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</si>
  <si>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</si>
  <si>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</si>
  <si>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</si>
  <si>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</si>
  <si>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</si>
  <si>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</si>
  <si>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</si>
  <si>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</si>
  <si>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</si>
  <si>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</si>
  <si>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</si>
  <si>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</si>
  <si>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</si>
  <si>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</si>
  <si>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</si>
  <si>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</si>
  <si>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</si>
  <si>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</si>
  <si>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</si>
  <si>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</si>
  <si>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</si>
  <si>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</si>
  <si>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</si>
  <si>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</si>
  <si>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</si>
  <si>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</si>
  <si>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</si>
  <si>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</si>
  <si>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SEEDED</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</si>
  <si>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</si>
  <si>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</si>
  <si>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</si>
  <si>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</si>
  <si>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</si>
  <si>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</si>
  <si>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</si>
  <si>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</si>
  <si>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</si>
  <si>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</si>
  <si>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</si>
  <si>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</si>
  <si>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</si>
  <si>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</si>
  <si>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</si>
  <si>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</si>
  <si>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</si>
  <si>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</si>
  <si>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</si>
  <si>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</si>
  <si>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</si>
  <si>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</si>
  <si>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</si>
  <si>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</si>
  <si>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</si>
  <si>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</si>
  <si>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</si>
  <si>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</si>
  <si>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</si>
  <si>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</si>
  <si>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</si>
  <si>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</si>
  <si>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</si>
  <si>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</si>
  <si>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</si>
  <si>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</si>
  <si>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</si>
  <si>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</si>
  <si>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</si>
  <si>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</si>
  <si>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</si>
  <si>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</si>
  <si>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</si>
  <si>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</si>
  <si>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</si>
  <si>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</si>
  <si>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Value</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</si>
  <si>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</si>
  <si>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</si>
  <si>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</si>
  <si>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</si>
  <si>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</si>
  <si>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</si>
  <si>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</si>
  <si>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</si>
  <si>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</si>
  <si>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</si>
  <si>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</si>
  <si>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</si>
  <si>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</si>
  <si>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</si>
  <si>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</si>
  <si>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</si>
  <si>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</si>
  <si>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</si>
  <si>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</si>
  <si>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</si>
  <si>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</si>
  <si>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</si>
  <si>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</si>
  <si>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</si>
  <si>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</si>
  <si>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</si>
  <si>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</si>
  <si>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</si>
  <si>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</si>
  <si>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</si>
  <si>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</si>
  <si>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</si>
  <si>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</si>
  <si>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</si>
  <si>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</si>
  <si>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</si>
  <si>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</si>
  <si>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</si>
  <si>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</si>
  <si>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</si>
  <si>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</si>
  <si>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</si>
  <si>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</si>
  <si>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</si>
  <si>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</si>
  <si>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</si>
  <si>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</si>
  <si>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</si>
  <si>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</si>
  <si>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</si>
  <si>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</si>
  <si>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</si>
  <si>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</si>
  <si>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</si>
  <si>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</si>
  <si>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</si>
  <si>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</si>
  <si>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</si>
  <si>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</si>
  <si>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</si>
  <si>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</si>
  <si>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</si>
  <si>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</si>
  <si>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</si>
  <si>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</si>
  <si>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</si>
  <si>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</si>
  <si>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Source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</si>
  <si>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</si>
  <si>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</si>
  <si>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</si>
  <si>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</si>
  <si>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</si>
  <si>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</si>
  <si>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</si>
  <si>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</si>
  <si>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</si>
  <si>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</si>
  <si>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</si>
  <si>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</si>
  <si>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</si>
  <si>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</si>
  <si>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</si>
  <si>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</si>
  <si>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</si>
  <si>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</si>
  <si>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</si>
  <si>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</si>
  <si>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</si>
  <si>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</si>
  <si>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</si>
  <si>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</si>
  <si>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</si>
  <si>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</si>
  <si>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</si>
  <si>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</si>
  <si>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</si>
  <si>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</si>
  <si>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</si>
  <si>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</si>
  <si>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</si>
  <si>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</si>
  <si>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</si>
  <si>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</si>
  <si>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</si>
  <si>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</si>
  <si>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</si>
  <si>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</si>
  <si>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</si>
  <si>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</si>
  <si>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</si>
  <si>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</si>
  <si>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</si>
  <si>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</si>
  <si>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</si>
  <si>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</si>
  <si>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</si>
  <si>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</si>
  <si>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</si>
  <si>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</si>
  <si>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</si>
  <si>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</si>
  <si>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</si>
  <si>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</si>
  <si>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</si>
  <si>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</si>
  <si>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</si>
  <si>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</si>
  <si>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</si>
  <si>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</si>
  <si>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</si>
  <si>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</si>
  <si>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</si>
  <si>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</si>
  <si>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</si>
  <si>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</si>
  <si>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</si>
  <si>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</si>
  <si>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</si>
  <si>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</si>
  <si>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</si>
  <si>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</si>
  <si>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</si>
  <si>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</si>
  <si>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</si>
  <si>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</si>
  <si>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</si>
  <si>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</si>
  <si>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</si>
  <si>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</si>
  <si>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</si>
  <si>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</si>
  <si>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</si>
  <si>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</si>
  <si>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</si>
  <si>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</si>
  <si>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</si>
  <si>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</si>
  <si>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</si>
  <si>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</si>
  <si>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</si>
  <si>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</si>
  <si>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</si>
  <si>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</si>
  <si>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</si>
  <si>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</si>
  <si>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</si>
  <si>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</si>
  <si>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</si>
  <si>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</si>
  <si>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</si>
  <si>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</si>
  <si>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</si>
  <si>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</si>
  <si>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</si>
  <si>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</si>
  <si>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</si>
  <si>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</si>
  <si>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</si>
  <si>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</si>
  <si>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</si>
  <si>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</si>
  <si>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</si>
  <si>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</si>
  <si>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</si>
  <si>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</si>
  <si>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</si>
  <si>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</si>
  <si>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</si>
  <si>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</si>
  <si>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</si>
  <si>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</si>
  <si>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</si>
  <si>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</si>
  <si>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</si>
  <si>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</si>
  <si>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</si>
  <si>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</si>
  <si>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</si>
  <si>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</si>
  <si>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</si>
  <si>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</si>
  <si>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</si>
  <si>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</si>
  <si>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</si>
  <si>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</si>
  <si>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</si>
  <si>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</si>
  <si>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</si>
  <si>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</si>
  <si>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</si>
  <si>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</si>
  <si>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</si>
  <si>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</si>
  <si>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</si>
  <si>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</si>
  <si>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</si>
  <si>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</si>
  <si>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</si>
  <si>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</si>
  <si>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</si>
  <si>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</si>
  <si>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</si>
  <si>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</si>
  <si>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</si>
  <si>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</si>
  <si>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LOW</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</si>
  <si>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</si>
  <si>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</si>
  <si>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</si>
  <si>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</si>
  <si>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</si>
  <si>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</si>
  <si>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</si>
  <si>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</si>
  <si>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</si>
  <si>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</si>
  <si>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</si>
  <si>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</si>
  <si>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</si>
  <si>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</si>
  <si>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</si>
  <si>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</si>
  <si>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</si>
  <si>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</si>
  <si>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</si>
  <si>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</si>
  <si>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</si>
  <si>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</si>
  <si>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</si>
  <si>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</si>
  <si>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</si>
  <si>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</si>
  <si>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</si>
  <si>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</si>
  <si>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</si>
  <si>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</si>
  <si>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</si>
  <si>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</si>
  <si>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</si>
  <si>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</si>
  <si>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</si>
  <si>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</si>
  <si>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</si>
  <si>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</si>
  <si>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</si>
  <si>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</si>
  <si>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</si>
  <si>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</si>
  <si>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</si>
  <si>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</si>
  <si>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</si>
  <si>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</si>
  <si>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</si>
  <si>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</si>
  <si>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</si>
  <si>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</si>
  <si>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</si>
  <si>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</si>
  <si>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</si>
  <si>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</si>
  <si>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</si>
  <si>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</si>
  <si>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</si>
  <si>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</si>
  <si>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</si>
  <si>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</si>
  <si>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</si>
  <si>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</si>
  <si>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Intel</t>
  </si>
  <si>
    <t>Program verification: 5/7 confirmed. W-TRS is $3.7B not $2B.</t>
  </si>
  <si>
    <t>Strategic Roadmap</t>
  </si>
  <si>
    <t>11</t>
  </si>
  <si>
    <t>Master_Build_v_16.xlsx</t>
  </si>
  <si>
    <t>Workbook</t>
  </si>
  <si>
    <t>~850KB</t>
  </si>
  <si>
    <t>Updated with full session tracking + all new sheets.</t>
  </si>
  <si>
    <t>Master record</t>
  </si>
  <si>
    <t>COMPONENTS DETAIL</t>
  </si>
  <si>
    <t>Chart/Module</t>
  </si>
  <si>
    <t>Decision Question</t>
  </si>
  <si>
    <t>Data Source</t>
  </si>
  <si>
    <t>Tab</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</si>
  <si>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</si>
  <si>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</si>
  <si>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</si>
  <si>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</si>
  <si>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</si>
  <si>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</si>
  <si>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</si>
  <si>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</si>
  <si>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</si>
  <si>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</si>
  <si>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</si>
  <si>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</si>
  <si>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</si>
  <si>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</si>
  <si>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</si>
  <si>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</si>
  <si>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</si>
  <si>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</si>
  <si>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Trading</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</si>
  <si>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</si>
  <si>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</si>
  <si>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</si>
  <si>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</si>
  <si>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</si>
  <si>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</si>
  <si>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</si>
  <si>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</si>
  <si>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</si>
  <si>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</si>
  <si>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</si>
  <si>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</si>
  <si>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</si>
  <si>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</si>
  <si>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</si>
  <si>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</si>
  <si>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</si>
  <si>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</si>
  <si>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</si>
  <si>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</si>
  <si>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</si>
  <si>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</si>
  <si>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</si>
  <si>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</si>
  <si>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</si>
  <si>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</si>
  <si>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</si>
  <si>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</si>
  <si>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</si>
  <si>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</si>
  <si>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</si>
  <si>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</si>
  <si>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</si>
  <si>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</si>
  <si>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</si>
  <si>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</si>
  <si>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</si>
  <si>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</si>
  <si>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</si>
  <si>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</si>
  <si>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</si>
  <si>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</si>
  <si>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</si>
  <si>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</si>
  <si>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</si>
  <si>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</si>
  <si>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</si>
  <si>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</si>
  <si>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</si>
  <si>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</si>
  <si>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</si>
  <si>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</si>
  <si>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</si>
  <si>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</si>
  <si>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</si>
  <si>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</si>
  <si>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</si>
  <si>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</si>
  <si>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MCP</t>
  </si>
  <si>
    <t>GDA.api.trade-scans workflow (RIS6TTn5W4Ytl2Up) — 11 nodes, 3 routes</t>
  </si>
  <si>
    <t>Backend-2</t>
  </si>
  <si>
    <t>GDA.sched.opp-refresh (PeLGDqgLAsEh5Gsd) — 16 nodes, dual trigger, scoring engine</t>
  </si>
  <si>
    <t>Backend-3</t>
  </si>
  <si>
    <t>3 PG tables: gda_trade_scans, gda_trade_signals, opportunity_alerts (+indexes)</t>
  </si>
  <si>
    <t>CREATED</t>
  </si>
  <si>
    <t>Backend-4</t>
  </si>
  <si>
    <t>20 GovTribe opportunities discovered — SETA, training/sim, cyber, IT, intel</t>
  </si>
  <si>
    <t>LOADED</t>
  </si>
  <si>
    <t>Frontend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</si>
  <si>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</si>
  <si>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</si>
  <si>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</si>
  <si>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</si>
  <si>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</si>
  <si>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</si>
  <si>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</si>
  <si>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</si>
  <si>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</si>
  <si>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</si>
  <si>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</si>
  <si>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</si>
  <si>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</si>
  <si>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</si>
  <si>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</si>
  <si>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</si>
  <si>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</si>
  <si>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</si>
  <si>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</si>
  <si>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</si>
  <si>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</si>
  <si>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</si>
  <si>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</si>
  <si>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</si>
  <si>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</si>
  <si>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</si>
  <si>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</si>
  <si>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GDA.api.comp-intel</t>
  </si>
  <si>
    <t>E2E TEST RESULTS</t>
  </si>
  <si>
    <t>Total Endpoints</t>
  </si>
  <si>
    <t>FAIL</t>
  </si>
  <si>
    <t>Pass Rate</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</si>
  <si>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</si>
  <si>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</si>
  <si>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</si>
  <si>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</si>
  <si>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</si>
  <si>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</si>
  <si>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</si>
  <si>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</si>
  <si>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</si>
  <si>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</si>
  <si>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</si>
  <si>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</si>
  <si>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</si>
  <si>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</si>
  <si>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</si>
  <si>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</si>
  <si>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</si>
  <si>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</si>
  <si>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</si>
  <si>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</si>
  <si>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</si>
  <si>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</si>
  <si>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</si>
  <si>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</si>
  <si>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</si>
  <si>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</si>
  <si>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</si>
  <si>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</si>
  <si>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</si>
  <si>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</si>
  <si>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</si>
  <si>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</si>
  <si>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</si>
  <si>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</si>
  <si>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</si>
  <si>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</si>
  <si>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</si>
  <si>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</si>
  <si>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</si>
  <si>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</si>
  <si>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</si>
  <si>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</si>
  <si>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</si>
  <si>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</si>
  <si>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</si>
  <si>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</si>
  <si>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</si>
  <si>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</si>
  <si>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</si>
  <si>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</si>
  <si>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</si>
  <si>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</si>
  <si>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</si>
  <si>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</si>
  <si>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</si>
  <si>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</si>
  <si>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</si>
  <si>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</si>
  <si>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</si>
  <si>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</si>
  <si>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</si>
  <si>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</si>
  <si>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</si>
  <si>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</si>
  <si>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</si>
  <si>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</si>
  <si>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</si>
  <si>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</si>
  <si>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</si>
  <si>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</si>
  <si>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</si>
  <si>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</si>
  <si>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</si>
  <si>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</si>
  <si>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</si>
  <si>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</si>
  <si>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</si>
  <si>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</si>
  <si>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</si>
  <si>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</si>
  <si>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</si>
  <si>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</si>
  <si>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</si>
  <si>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</si>
  <si>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</si>
  <si>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</si>
  <si>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</si>
  <si>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</si>
  <si>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</si>
  <si>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</si>
  <si>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</si>
  <si>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</si>
  <si>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</si>
  <si>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</si>
  <si>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</si>
  <si>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</si>
  <si>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</si>
  <si>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</si>
  <si>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</si>
  <si>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</si>
  <si>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</si>
  <si>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</si>
  <si>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</si>
  <si>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</si>
  <si>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</si>
  <si>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</si>
  <si>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</si>
  <si>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</si>
  <si>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</si>
  <si>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</si>
  <si>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</si>
  <si>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</si>
  <si>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</si>
  <si>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</si>
  <si>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</si>
  <si>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</si>
  <si>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</si>
  <si>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</si>
  <si>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</si>
  <si>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</si>
  <si>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</si>
  <si>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</si>
  <si>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</si>
  <si>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</si>
  <si>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</si>
  <si>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</si>
  <si>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</si>
  <si>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</si>
  <si>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</si>
  <si>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</si>
  <si>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</si>
  <si>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</si>
  <si>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</si>
  <si>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</si>
  <si>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</si>
  <si>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</si>
  <si>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</si>
  <si>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</si>
  <si>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</si>
  <si>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</si>
  <si>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</si>
  <si>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</si>
  <si>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</si>
  <si>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</si>
  <si>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</si>
  <si>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</si>
  <si>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</si>
  <si>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</si>
  <si>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</si>
  <si>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</si>
  <si>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</si>
  <si>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</si>
  <si>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</si>
  <si>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</si>
  <si>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</si>
  <si>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</si>
  <si>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</si>
  <si>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</si>
  <si>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</si>
  <si>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</si>
  <si>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</si>
  <si>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</si>
  <si>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</si>
  <si>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</si>
  <si>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</si>
  <si>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</si>
  <si>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</si>
  <si>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</si>
  <si>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</si>
  <si>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</si>
  <si>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</si>
  <si>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</si>
  <si>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</si>
  <si>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</si>
  <si>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</si>
  <si>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</si>
  <si>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</si>
  <si>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</si>
  <si>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</si>
  <si>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</si>
  <si>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</si>
  <si>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</si>
  <si>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</si>
  <si>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</si>
  <si>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</si>
  <si>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</si>
  <si>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</si>
  <si>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</si>
  <si>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</si>
  <si>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</si>
  <si>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</si>
  <si>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</si>
  <si>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</si>
  <si>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</si>
  <si>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</si>
  <si>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</si>
  <si>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</si>
  <si>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</si>
  <si>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</si>
  <si>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</si>
  <si>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</si>
  <si>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</si>
  <si>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</si>
  <si>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</si>
  <si>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</si>
  <si>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</si>
  <si>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</si>
  <si>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</si>
  <si>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</si>
  <si>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</si>
  <si>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</si>
  <si>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</si>
  <si>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</si>
  <si>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</si>
  <si>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</si>
  <si>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</si>
  <si>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</si>
  <si>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</si>
  <si>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</si>
  <si>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</si>
  <si>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</si>
  <si>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</si>
  <si>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</si>
  <si>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</si>
  <si>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</si>
  <si>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</si>
  <si>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</si>
  <si>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</si>
  <si>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</si>
  <si>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</si>
  <si>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</si>
  <si>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</si>
  <si>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</si>
  <si>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</si>
  <si>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</si>
  <si>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</si>
  <si>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</si>
  <si>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</si>
  <si>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</si>
  <si>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</si>
  <si>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</si>
  <si>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</si>
  <si>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</si>
  <si>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</si>
  <si>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</si>
  <si>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</si>
  <si>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</si>
  <si>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</si>
  <si>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</si>
  <si>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</si>
  <si>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</si>
  <si>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</si>
  <si>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</si>
  <si>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</si>
  <si>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</si>
  <si>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</si>
  <si>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</si>
  <si>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</si>
  <si>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</si>
  <si>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</si>
  <si>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</si>
  <si>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</si>
  <si>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</si>
  <si>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</si>
  <si>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</si>
  <si>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</si>
  <si>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</si>
  <si>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</si>
  <si>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</si>
  <si>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</si>
  <si>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</si>
  <si>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</si>
  <si>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</si>
  <si>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</si>
  <si>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</si>
  <si>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</si>
  <si>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</si>
  <si>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</si>
  <si>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</si>
  <si>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</si>
  <si>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</si>
  <si>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</si>
  <si>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</si>
  <si>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</si>
  <si>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</si>
  <si>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</si>
  <si>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</si>
  <si>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</si>
  <si>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</si>
  <si>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</si>
  <si>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</si>
  <si>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</si>
  <si>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</si>
  <si>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</si>
  <si>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</si>
  <si>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</si>
  <si>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</si>
  <si>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</si>
  <si>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</si>
  <si>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</si>
  <si>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</si>
  <si>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</si>
  <si>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</si>
  <si>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</si>
  <si>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</si>
  <si>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</si>
  <si>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</si>
  <si>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</si>
  <si>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</si>
  <si>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</si>
  <si>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Metric</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</si>
  <si>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</si>
  <si>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</si>
  <si>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</si>
  <si>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</si>
  <si>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</si>
  <si>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</si>
  <si>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</si>
  <si>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</si>
  <si>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</si>
  <si>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</si>
  <si>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</si>
  <si>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</si>
  <si>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</si>
  <si>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</si>
  <si>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</si>
  <si>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</si>
  <si>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</si>
  <si>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</si>
  <si>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</si>
  <si>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</si>
  <si>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</si>
  <si>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</si>
  <si>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</si>
  <si>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</si>
  <si>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</si>
  <si>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</si>
  <si>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</si>
  <si>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</si>
  <si>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</si>
  <si>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</si>
  <si>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</si>
  <si>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</si>
  <si>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</si>
  <si>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</si>
  <si>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</si>
  <si>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</si>
  <si>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</si>
  <si>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</si>
  <si>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</si>
  <si>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</si>
  <si>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</si>
  <si>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</si>
  <si>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</si>
  <si>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</si>
  <si>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</si>
  <si>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</si>
  <si>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</si>
  <si>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</si>
  <si>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</si>
  <si>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</si>
  <si>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</si>
  <si>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</si>
  <si>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</si>
  <si>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</si>
  <si>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</si>
  <si>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</si>
  <si>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</si>
  <si>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</si>
  <si>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</si>
  <si>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</si>
  <si>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</si>
  <si>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</si>
  <si>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</si>
  <si>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</si>
  <si>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</si>
  <si>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</si>
  <si>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</si>
  <si>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</si>
  <si>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</si>
  <si>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</si>
  <si>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</si>
  <si>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</si>
  <si>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</si>
  <si>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</si>
  <si>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</si>
  <si>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</si>
  <si>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</si>
  <si>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</si>
  <si>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</si>
  <si>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</si>
  <si>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</si>
  <si>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</si>
  <si>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</si>
  <si>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</si>
  <si>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</si>
  <si>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</si>
  <si>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</si>
  <si>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</si>
  <si>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</si>
  <si>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</si>
  <si>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</si>
  <si>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</si>
  <si>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</si>
  <si>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</si>
  <si>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</si>
  <si>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</si>
  <si>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</si>
  <si>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</si>
  <si>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</si>
  <si>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</si>
  <si>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</si>
  <si>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</si>
  <si>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</si>
  <si>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</si>
  <si>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</si>
  <si>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</si>
  <si>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</si>
  <si>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</si>
  <si>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</si>
  <si>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</si>
  <si>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</si>
  <si>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</si>
  <si>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COMPLETED</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</si>
  <si>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</si>
  <si>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</si>
  <si>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</si>
  <si>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</si>
  <si>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</si>
  <si>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</si>
  <si>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</si>
  <si>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</si>
  <si>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</si>
  <si>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</si>
  <si>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</si>
  <si>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</si>
  <si>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</si>
  <si>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</si>
  <si>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</si>
  <si>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</si>
  <si>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</si>
  <si>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</si>
  <si>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</si>
  <si>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</si>
  <si>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</si>
  <si>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</si>
  <si>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</si>
  <si>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</si>
  <si>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</si>
  <si>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</si>
  <si>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</si>
  <si>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</si>
  <si>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</si>
  <si>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</si>
  <si>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</si>
  <si>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</si>
  <si>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</si>
  <si>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</si>
  <si>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</si>
  <si>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</si>
  <si>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</si>
  <si>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</si>
  <si>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</si>
  <si>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</si>
  <si>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</si>
  <si>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</si>
  <si>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</si>
  <si>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</si>
  <si>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</si>
  <si>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</si>
  <si>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</si>
  <si>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</si>
  <si>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</si>
  <si>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</si>
  <si>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</si>
  <si>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</si>
  <si>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</si>
  <si>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</si>
  <si>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</si>
  <si>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</si>
  <si>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</si>
  <si>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</si>
  <si>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</si>
  <si>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</si>
  <si>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</si>
  <si>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</si>
  <si>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</si>
  <si>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</si>
  <si>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</si>
  <si>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</si>
  <si>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</si>
  <si>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</si>
  <si>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</si>
  <si>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</si>
  <si>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</si>
  <si>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</si>
  <si>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</si>
  <si>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</si>
  <si>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</si>
  <si>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</si>
  <si>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</si>
  <si>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</si>
  <si>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</si>
  <si>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</si>
  <si>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</si>
  <si>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</si>
  <si>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</si>
  <si>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</si>
  <si>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</si>
  <si>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</si>
  <si>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</si>
  <si>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</si>
  <si>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</si>
  <si>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</si>
  <si>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</si>
  <si>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</si>
  <si>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</si>
  <si>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</si>
  <si>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</si>
  <si>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Duration</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</si>
  <si>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</si>
  <si>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</si>
  <si>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</si>
  <si>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</si>
  <si>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</si>
  <si>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</si>
  <si>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</si>
  <si>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</si>
  <si>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</si>
  <si>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</si>
  <si>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</si>
  <si>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</si>
  <si>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</si>
  <si>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</si>
  <si>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</si>
  <si>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</si>
  <si>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</si>
  <si>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</si>
  <si>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</si>
  <si>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</si>
  <si>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</si>
  <si>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</si>
  <si>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</si>
  <si>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</si>
  <si>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</si>
  <si>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</si>
  <si>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</si>
  <si>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</si>
  <si>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</si>
  <si>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</si>
  <si>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</si>
  <si>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</si>
  <si>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</si>
  <si>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</si>
  <si>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</si>
  <si>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</si>
  <si>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</si>
  <si>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</si>
  <si>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</si>
  <si>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</si>
  <si>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</si>
  <si>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</si>
  <si>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</si>
  <si>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</si>
  <si>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</si>
  <si>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</si>
  <si>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</si>
  <si>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</si>
  <si>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</si>
  <si>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</si>
  <si>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</si>
  <si>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</si>
  <si>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</si>
  <si>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</si>
  <si>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</si>
  <si>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</si>
  <si>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</si>
  <si>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</si>
  <si>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</si>
  <si>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</si>
  <si>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</si>
  <si>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</si>
  <si>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</si>
  <si>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</si>
  <si>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</si>
  <si>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</si>
  <si>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</si>
  <si>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</si>
  <si>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</si>
  <si>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</si>
  <si>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</si>
  <si>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</si>
  <si>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</si>
  <si>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</si>
  <si>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</si>
  <si>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</si>
  <si>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</si>
  <si>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</si>
  <si>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</si>
  <si>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</si>
  <si>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</si>
  <si>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</si>
  <si>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</si>
  <si>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</si>
  <si>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</si>
  <si>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</si>
  <si>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</si>
  <si>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</si>
  <si>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</si>
  <si>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</si>
  <si>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</si>
  <si>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</si>
  <si>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</si>
  <si>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</si>
  <si>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</si>
  <si>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</si>
  <si>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</si>
  <si>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</si>
  <si>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</si>
  <si>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</si>
  <si>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</si>
  <si>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</si>
  <si>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</si>
  <si>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</si>
  <si>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</si>
  <si>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</si>
  <si>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</si>
  <si>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</si>
  <si>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</si>
  <si>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</si>
  <si>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</si>
  <si>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</si>
  <si>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</si>
  <si>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</si>
  <si>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</si>
  <si>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</si>
  <si>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</si>
  <si>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</si>
  <si>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</si>
  <si>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</si>
  <si>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</si>
  <si>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</si>
  <si>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</si>
  <si>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</si>
  <si>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</si>
  <si>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</si>
  <si>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</si>
  <si>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</si>
  <si>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</si>
  <si>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</si>
  <si>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</si>
  <si>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</si>
  <si>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</si>
  <si>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</si>
  <si>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</si>
  <si>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</si>
  <si>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</si>
  <si>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</si>
  <si>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</si>
  <si>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</si>
  <si>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</si>
  <si>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</si>
  <si>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</si>
  <si>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</si>
  <si>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</si>
  <si>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</si>
  <si>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</si>
  <si>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</si>
  <si>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</si>
  <si>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</si>
  <si>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</si>
  <si>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</si>
  <si>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</si>
  <si>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</si>
  <si>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</si>
  <si>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</si>
  <si>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</si>
  <si>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</si>
  <si>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</si>
  <si>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</si>
  <si>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</si>
  <si>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</si>
  <si>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</si>
  <si>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</si>
  <si>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</si>
  <si>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</si>
  <si>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</si>
  <si>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</si>
  <si>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</si>
  <si>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</si>
  <si>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</si>
  <si>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</si>
  <si>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</si>
  <si>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</si>
  <si>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</si>
  <si>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</si>
  <si>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</si>
  <si>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</si>
  <si>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</si>
  <si>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</si>
  <si>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</si>
  <si>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</si>
  <si>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</si>
  <si>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</si>
  <si>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</si>
  <si>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</si>
  <si>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</si>
  <si>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</si>
  <si>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</si>
  <si>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</si>
  <si>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</si>
  <si>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</si>
  <si>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</si>
  <si>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</si>
  <si>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</si>
  <si>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</si>
  <si>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</si>
  <si>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</si>
  <si>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</si>
  <si>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</si>
  <si>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</si>
  <si>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</si>
  <si>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</si>
  <si>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</si>
  <si>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</si>
  <si>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</si>
  <si>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</si>
  <si>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</si>
  <si>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</si>
  <si>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</si>
  <si>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</si>
  <si>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</si>
  <si>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</si>
  <si>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</si>
  <si>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</si>
  <si>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</si>
  <si>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</si>
  <si>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</si>
  <si>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</si>
  <si>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</si>
  <si>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</si>
  <si>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</si>
  <si>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</si>
  <si>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</si>
  <si>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</si>
  <si>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</si>
  <si>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</si>
  <si>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</si>
  <si>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</si>
  <si>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</si>
  <si>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</si>
  <si>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</si>
  <si>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</si>
  <si>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</si>
  <si>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</si>
  <si>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</si>
  <si>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</si>
  <si>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</si>
  <si>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</si>
  <si>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</si>
  <si>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</si>
  <si>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</si>
  <si>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</si>
  <si>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</si>
  <si>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</si>
  <si>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</si>
  <si>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</si>
  <si>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</si>
  <si>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</si>
  <si>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</si>
  <si>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</si>
  <si>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</si>
  <si>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</si>
  <si>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</si>
  <si>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</si>
  <si>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</si>
  <si>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</si>
  <si>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</si>
  <si>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</si>
  <si>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</si>
  <si>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</si>
  <si>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</si>
  <si>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</si>
  <si>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</si>
  <si>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</si>
  <si>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</si>
  <si>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</si>
  <si>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</si>
  <si>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</si>
  <si>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</si>
  <si>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</si>
  <si>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</si>
  <si>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</si>
  <si>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</si>
  <si>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</si>
  <si>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</si>
  <si>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</si>
  <si>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</si>
  <si>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</si>
  <si>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</si>
  <si>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</si>
  <si>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</si>
  <si>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</si>
  <si>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</si>
  <si>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</si>
  <si>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</si>
  <si>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</si>
  <si>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</si>
  <si>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</si>
  <si>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</si>
  <si>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</si>
  <si>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</si>
  <si>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</si>
  <si>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</si>
  <si>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</si>
  <si>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</si>
  <si>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</si>
  <si>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</si>
  <si>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</si>
  <si>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</si>
  <si>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</si>
  <si>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</si>
  <si>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</si>
  <si>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</si>
  <si>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</si>
  <si>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</si>
  <si>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</si>
  <si>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</si>
  <si>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</si>
  <si>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</si>
  <si>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</si>
  <si>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</si>
  <si>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</si>
  <si>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</si>
  <si>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</si>
  <si>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</si>
  <si>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</si>
  <si>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</si>
  <si>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</si>
  <si>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</si>
  <si>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</si>
  <si>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</si>
  <si>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</si>
  <si>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</si>
  <si>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</si>
  <si>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</si>
  <si>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</si>
  <si>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</si>
  <si>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</si>
  <si>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</si>
  <si>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</si>
  <si>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</si>
  <si>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</si>
  <si>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</si>
  <si>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</si>
  <si>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</si>
  <si>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</si>
  <si>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</si>
  <si>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</si>
  <si>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</si>
  <si>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</si>
  <si>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</si>
  <si>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</si>
  <si>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</si>
  <si>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</si>
  <si>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</si>
  <si>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</si>
  <si>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</si>
  <si>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</si>
  <si>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</si>
  <si>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</si>
  <si>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</si>
  <si>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</si>
  <si>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</si>
  <si>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</si>
  <si>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</si>
  <si>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</si>
  <si>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</si>
  <si>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</si>
  <si>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</si>
  <si>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</si>
  <si>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</si>
  <si>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</si>
  <si>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</si>
  <si>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</si>
  <si>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</si>
  <si>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</si>
  <si>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</si>
  <si>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</si>
  <si>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</si>
  <si>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</si>
  <si>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</si>
  <si>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</si>
  <si>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</si>
  <si>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</si>
  <si>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</si>
  <si>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</si>
  <si>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</si>
  <si>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</si>
  <si>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</si>
  <si>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</si>
  <si>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</si>
  <si>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</si>
  <si>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</si>
  <si>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</si>
  <si>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</si>
  <si>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</si>
  <si>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</si>
  <si>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</si>
  <si>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</si>
  <si>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</si>
  <si>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</si>
  <si>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</si>
  <si>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</si>
  <si>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</si>
  <si>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</si>
  <si>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</si>
  <si>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</si>
  <si>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</si>
  <si>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</si>
  <si>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</si>
  <si>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</si>
  <si>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</si>
  <si>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</si>
  <si>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</si>
  <si>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</si>
  <si>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</si>
  <si>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</si>
  <si>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</si>
  <si>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</si>
  <si>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</si>
  <si>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</si>
  <si>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</si>
  <si>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</si>
  <si>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</si>
  <si>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</si>
  <si>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</si>
  <si>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</si>
  <si>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</si>
  <si>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</si>
  <si>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</si>
  <si>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</si>
  <si>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</si>
  <si>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</si>
  <si>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</si>
  <si>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</si>
  <si>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</si>
  <si>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</si>
  <si>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</si>
  <si>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</si>
  <si>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</si>
  <si>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</si>
  <si>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</si>
  <si>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</si>
  <si>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</si>
  <si>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</si>
  <si>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</si>
  <si>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</si>
  <si>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</si>
  <si>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</si>
  <si>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</si>
  <si>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</si>
  <si>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</si>
  <si>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</si>
  <si>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</si>
  <si>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</si>
  <si>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</si>
  <si>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</si>
  <si>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</si>
  <si>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</si>
  <si>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</si>
  <si>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</si>
  <si>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</si>
  <si>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</si>
  <si>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</si>
  <si>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</si>
  <si>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</si>
  <si>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</si>
  <si>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</si>
  <si>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</si>
  <si>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</si>
  <si>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</si>
  <si>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</si>
  <si>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</si>
  <si>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</si>
  <si>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</si>
  <si>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</si>
  <si>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</si>
  <si>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</si>
  <si>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</si>
  <si>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</si>
  <si>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</si>
  <si>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</si>
  <si>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</si>
  <si>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</si>
  <si>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</si>
  <si>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</si>
  <si>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</si>
  <si>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</si>
  <si>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</si>
  <si>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</si>
  <si>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</si>
  <si>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</si>
  <si>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</si>
  <si>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</si>
  <si>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</si>
  <si>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</si>
  <si>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</si>
  <si>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</si>
  <si>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</si>
  <si>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</si>
  <si>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</si>
  <si>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</si>
  <si>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</si>
  <si>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</si>
  <si>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</si>
  <si>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</si>
  <si>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</si>
  <si>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</si>
  <si>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</si>
  <si>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</si>
  <si>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</si>
  <si>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</si>
  <si>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</si>
  <si>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</si>
  <si>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</si>
  <si>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</si>
  <si>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</si>
  <si>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</si>
  <si>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</si>
  <si>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</si>
  <si>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</si>
  <si>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</si>
  <si>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</si>
  <si>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</si>
  <si>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</si>
  <si>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</si>
  <si>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</si>
  <si>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</si>
  <si>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</si>
  <si>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</si>
  <si>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</si>
  <si>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</si>
  <si>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</si>
  <si>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</si>
  <si>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</si>
  <si>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</si>
  <si>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</si>
  <si>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</si>
  <si>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</si>
  <si>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</si>
  <si>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</si>
  <si>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</si>
  <si>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</si>
  <si>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</si>
  <si>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</si>
  <si>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</si>
  <si>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</si>
  <si>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</si>
  <si>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</si>
  <si>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</si>
  <si>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</si>
  <si>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</si>
  <si>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</si>
  <si>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</si>
  <si>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</si>
  <si>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</si>
  <si>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</si>
  <si>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</si>
  <si>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</si>
  <si>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</si>
  <si>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</si>
  <si>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</si>
  <si>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</si>
  <si>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</si>
  <si>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</si>
  <si>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</si>
  <si>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</si>
  <si>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</si>
  <si>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</si>
  <si>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</si>
  <si>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</si>
  <si>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</si>
  <si>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</si>
  <si>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</si>
  <si>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</si>
  <si>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</si>
  <si>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</si>
  <si>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</si>
  <si>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</si>
  <si>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</si>
  <si>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</si>
  <si>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</si>
  <si>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</si>
  <si>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</si>
  <si>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</si>
  <si>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</si>
  <si>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</si>
  <si>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</si>
  <si>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</si>
  <si>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</si>
  <si>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</si>
  <si>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</si>
  <si>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</si>
  <si>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</si>
  <si>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</si>
  <si>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</si>
  <si>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</si>
  <si>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</si>
  <si>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</si>
  <si>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</si>
  <si>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</si>
  <si>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</si>
  <si>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</si>
  <si>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</si>
  <si>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</si>
  <si>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</si>
  <si>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</si>
  <si>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</si>
  <si>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</si>
  <si>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</si>
  <si>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</si>
  <si>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</si>
  <si>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</si>
  <si>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</si>
  <si>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</si>
  <si>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</si>
  <si>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</si>
  <si>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</si>
  <si>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</si>
  <si>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</si>
  <si>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</si>
  <si>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</si>
  <si>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</si>
  <si>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</si>
  <si>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</si>
  <si>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</si>
  <si>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</si>
  <si>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</si>
  <si>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</si>
  <si>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</si>
  <si>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</si>
  <si>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</si>
  <si>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</si>
  <si>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</si>
  <si>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</si>
  <si>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</si>
  <si>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</si>
  <si>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</si>
  <si>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</si>
  <si>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</si>
  <si>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</si>
  <si>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</si>
  <si>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</si>
  <si>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</si>
  <si>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</si>
  <si>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</si>
  <si>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</si>
  <si>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</si>
  <si>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</si>
  <si>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</si>
  <si>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</si>
  <si>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</si>
  <si>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</si>
  <si>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</si>
  <si>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</si>
  <si>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</si>
  <si>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</si>
  <si>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</si>
  <si>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</si>
  <si>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</si>
  <si>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</si>
  <si>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</si>
  <si>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</si>
  <si>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</si>
  <si>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</si>
  <si>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</si>
  <si>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</si>
  <si>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</si>
  <si>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</si>
  <si>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</si>
  <si>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</si>
  <si>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</si>
  <si>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</si>
  <si>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</si>
  <si>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</si>
  <si>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</si>
  <si>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</si>
  <si>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</si>
  <si>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</si>
  <si>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</si>
  <si>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</si>
  <si>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</si>
  <si>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</si>
  <si>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</si>
  <si>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</si>
  <si>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</si>
  <si>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</si>
  <si>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</si>
  <si>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</si>
  <si>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</si>
  <si>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</si>
  <si>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</si>
  <si>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</si>
  <si>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</si>
  <si>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</si>
  <si>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</si>
  <si>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</si>
  <si>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</si>
  <si>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</si>
  <si>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</si>
  <si>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</si>
  <si>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</si>
  <si>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</si>
  <si>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</si>
  <si>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</si>
  <si>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</si>
  <si>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</si>
  <si>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</si>
  <si>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</si>
  <si>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</si>
  <si>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</si>
  <si>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</si>
  <si>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</si>
  <si>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</si>
  <si>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</si>
  <si>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</si>
  <si>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</si>
  <si>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</si>
  <si>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</si>
  <si>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</si>
  <si>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</si>
  <si>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</si>
  <si>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</si>
  <si>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</si>
  <si>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</si>
  <si>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</si>
  <si>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</si>
  <si>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</si>
  <si>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</si>
  <si>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</si>
  <si>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</si>
  <si>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</si>
  <si>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</si>
  <si>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</si>
  <si>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</si>
  <si>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</si>
  <si>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</si>
  <si>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</si>
  <si>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</si>
  <si>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</si>
  <si>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</si>
  <si>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</si>
  <si>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</si>
  <si>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</si>
  <si>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</si>
  <si>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</si>
  <si>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</si>
  <si>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</si>
  <si>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</si>
  <si>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</si>
  <si>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</si>
  <si>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</si>
  <si>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</si>
  <si>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</si>
  <si>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</si>
  <si>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</si>
  <si>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</si>
  <si>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</si>
  <si>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</si>
  <si>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</si>
  <si>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</si>
  <si>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</si>
  <si>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</si>
  <si>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</si>
  <si>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</si>
  <si>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</si>
  <si>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</si>
  <si>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</si>
  <si>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</si>
  <si>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</si>
  <si>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</si>
  <si>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</si>
  <si>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</si>
  <si>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</si>
  <si>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</si>
  <si>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</si>
  <si>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</si>
  <si>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</si>
  <si>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</si>
  <si>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</si>
  <si>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</si>
  <si>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</si>
  <si>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</si>
  <si>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</si>
  <si>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</si>
  <si>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</si>
  <si>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Test #</t>
  </si>
  <si>
    <t>Test Description</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</si>
  <si>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</si>
  <si>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</si>
  <si>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</si>
  <si>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</si>
  <si>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</si>
  <si>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</si>
  <si>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</si>
  <si>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</si>
  <si>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</si>
  <si>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</si>
  <si>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</si>
  <si>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</si>
  <si>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</si>
  <si>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</si>
  <si>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</si>
  <si>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</si>
  <si>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</si>
  <si>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</si>
  <si>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</si>
  <si>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</si>
  <si>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</si>
  <si>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</si>
  <si>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</si>
  <si>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</si>
  <si>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</si>
  <si>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</si>
  <si>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</si>
  <si>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</si>
  <si>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</si>
  <si>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</si>
  <si>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</si>
  <si>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</si>
  <si>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</si>
  <si>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</si>
  <si>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</si>
  <si>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</si>
  <si>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</si>
  <si>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</si>
  <si>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</si>
  <si>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</si>
  <si>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</si>
  <si>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</si>
  <si>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</si>
  <si>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</si>
  <si>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</si>
  <si>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</si>
  <si>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</si>
  <si>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</si>
  <si>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</si>
  <si>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</si>
  <si>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</si>
  <si>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</si>
  <si>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</si>
  <si>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</si>
  <si>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</si>
  <si>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</si>
  <si>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</si>
  <si>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</si>
  <si>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</si>
  <si>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</si>
  <si>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</si>
  <si>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</si>
  <si>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</si>
  <si>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</si>
  <si>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</si>
  <si>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</si>
  <si>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</si>
  <si>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</si>
  <si>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</si>
  <si>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</si>
  <si>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</si>
  <si>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</si>
  <si>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</si>
  <si>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</si>
  <si>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</si>
  <si>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</si>
  <si>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</si>
  <si>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</si>
  <si>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</si>
  <si>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</si>
  <si>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</si>
  <si>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</si>
  <si>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</si>
  <si>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</si>
  <si>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</si>
  <si>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</si>
  <si>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</si>
  <si>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</si>
  <si>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</si>
  <si>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</si>
  <si>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</si>
  <si>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</si>
  <si>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</si>
  <si>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</si>
  <si>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</si>
  <si>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</si>
  <si>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</si>
  <si>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</si>
  <si>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</si>
  <si>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</si>
  <si>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</si>
  <si>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</si>
  <si>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</si>
  <si>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</si>
  <si>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</si>
  <si>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</si>
  <si>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</si>
  <si>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</si>
  <si>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</si>
  <si>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</si>
  <si>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</si>
  <si>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</si>
  <si>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</si>
  <si>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</si>
  <si>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</si>
  <si>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</si>
  <si>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</si>
  <si>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</si>
  <si>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</si>
  <si>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</si>
  <si>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</si>
  <si>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</si>
  <si>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</si>
  <si>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</si>
  <si>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</si>
  <si>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</si>
  <si>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</si>
  <si>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</si>
  <si>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</si>
  <si>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</si>
  <si>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</si>
  <si>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</si>
  <si>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</si>
  <si>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</si>
  <si>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</si>
  <si>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</si>
  <si>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</si>
  <si>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</si>
  <si>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</si>
  <si>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</si>
  <si>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</si>
  <si>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</si>
  <si>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</si>
  <si>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</si>
  <si>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</si>
  <si>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</si>
  <si>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</si>
  <si>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</si>
  <si>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</si>
  <si>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</si>
  <si>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</si>
  <si>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</si>
  <si>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</si>
  <si>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</si>
  <si>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</si>
  <si>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</si>
  <si>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</si>
  <si>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</si>
  <si>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</si>
  <si>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</si>
  <si>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</si>
  <si>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</si>
  <si>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</si>
  <si>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</si>
  <si>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</si>
  <si>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</si>
  <si>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</si>
  <si>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</si>
  <si>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</si>
  <si>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</si>
  <si>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</si>
  <si>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</si>
  <si>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</si>
  <si>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</si>
  <si>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</si>
  <si>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</si>
  <si>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</si>
  <si>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</si>
  <si>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</si>
  <si>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</si>
  <si>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</si>
  <si>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</si>
  <si>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</si>
  <si>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</si>
  <si>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</si>
  <si>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</si>
  <si>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</si>
  <si>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</si>
  <si>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</si>
  <si>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</si>
  <si>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</si>
  <si>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</si>
  <si>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</si>
  <si>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</si>
  <si>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</si>
  <si>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</si>
  <si>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</si>
  <si>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</si>
  <si>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</si>
  <si>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</si>
  <si>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</si>
  <si>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</si>
  <si>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</si>
  <si>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</si>
  <si>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</si>
  <si>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</si>
  <si>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</si>
  <si>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</si>
  <si>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</si>
  <si>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</si>
  <si>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</si>
  <si>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</si>
  <si>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</si>
  <si>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</si>
  <si>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</si>
  <si>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</si>
  <si>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</si>
  <si>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</si>
  <si>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</si>
  <si>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</si>
  <si>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</si>
  <si>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</si>
  <si>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</si>
  <si>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</si>
  <si>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</si>
  <si>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</si>
  <si>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</si>
  <si>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</si>
  <si>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</si>
  <si>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</si>
  <si>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</si>
  <si>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</si>
  <si>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</si>
  <si>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</si>
  <si>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</si>
  <si>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</si>
  <si>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</si>
  <si>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</si>
  <si>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</si>
  <si>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</si>
  <si>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</si>
  <si>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</si>
  <si>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</si>
  <si>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</si>
  <si>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</si>
  <si>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</si>
  <si>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</si>
  <si>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</si>
  <si>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</si>
  <si>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</si>
  <si>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</si>
  <si>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</si>
  <si>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</si>
  <si>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</si>
  <si>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</si>
  <si>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</si>
  <si>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</si>
  <si>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</si>
  <si>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</si>
  <si>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</si>
  <si>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</si>
  <si>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</si>
  <si>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</si>
  <si>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</si>
  <si>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</si>
  <si>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</si>
  <si>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</si>
  <si>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</si>
  <si>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</si>
  <si>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</si>
  <si>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</si>
  <si>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</si>
  <si>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</si>
  <si>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</si>
  <si>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</si>
  <si>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</si>
  <si>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</si>
  <si>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</si>
  <si>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</si>
  <si>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</si>
  <si>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</si>
  <si>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</si>
  <si>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</si>
  <si>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</si>
  <si>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</si>
  <si>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</si>
  <si>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</si>
  <si>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</si>
  <si>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</si>
  <si>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</si>
  <si>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</si>
  <si>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</si>
  <si>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</si>
  <si>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</si>
  <si>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</si>
  <si>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</si>
  <si>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</si>
  <si>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</si>
  <si>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</si>
  <si>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</si>
  <si>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</si>
  <si>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</si>
  <si>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</si>
  <si>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</si>
  <si>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</si>
  <si>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</si>
  <si>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</si>
  <si>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</si>
  <si>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</si>
  <si>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</si>
  <si>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</si>
  <si>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</si>
  <si>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</si>
  <si>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</si>
  <si>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</si>
  <si>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</si>
  <si>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</si>
  <si>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</si>
  <si>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</si>
  <si>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</si>
  <si>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</si>
  <si>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</si>
  <si>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</si>
  <si>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</si>
  <si>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</si>
  <si>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</si>
  <si>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</si>
  <si>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</si>
  <si>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</si>
  <si>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</si>
  <si>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</si>
  <si>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</si>
  <si>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</si>
  <si>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</si>
  <si>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</si>
  <si>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</si>
  <si>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</si>
  <si>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</si>
  <si>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</si>
  <si>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</si>
  <si>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</si>
  <si>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</si>
  <si>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</si>
  <si>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</si>
  <si>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</si>
  <si>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</si>
  <si>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</si>
  <si>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</si>
  <si>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</si>
  <si>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</si>
  <si>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</si>
  <si>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</si>
  <si>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</si>
  <si>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</si>
  <si>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</si>
  <si>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</si>
  <si>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</si>
  <si>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</si>
  <si>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</si>
  <si>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</si>
  <si>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</si>
  <si>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</si>
  <si>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</si>
  <si>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</si>
  <si>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</si>
  <si>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</si>
  <si>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</si>
  <si>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</si>
  <si>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</si>
  <si>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</si>
  <si>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</si>
  <si>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</si>
  <si>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</si>
  <si>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</si>
  <si>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</si>
  <si>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</si>
  <si>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</si>
  <si>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</si>
  <si>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</si>
  <si>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</si>
  <si>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</si>
  <si>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</si>
  <si>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</si>
  <si>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</si>
  <si>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</si>
  <si>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</si>
  <si>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</si>
  <si>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</si>
  <si>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</si>
  <si>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</si>
  <si>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</si>
  <si>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</si>
  <si>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</si>
  <si>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</si>
  <si>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</si>
  <si>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</si>
  <si>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</si>
  <si>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</si>
  <si>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</si>
  <si>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</si>
  <si>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</si>
  <si>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</si>
  <si>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</si>
  <si>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</si>
  <si>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</si>
  <si>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</si>
  <si>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</si>
  <si>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</si>
  <si>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</si>
  <si>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</si>
  <si>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</si>
  <si>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</si>
  <si>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</si>
  <si>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</si>
  <si>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</si>
  <si>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</si>
  <si>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</si>
  <si>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</si>
  <si>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</si>
  <si>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</si>
  <si>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</si>
  <si>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</si>
  <si>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</si>
  <si>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</si>
  <si>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</si>
  <si>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</si>
  <si>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</si>
  <si>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</si>
  <si>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</si>
  <si>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</si>
  <si>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</si>
  <si>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</si>
  <si>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</si>
  <si>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</si>
  <si>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</si>
  <si>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</si>
  <si>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</si>
  <si>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</si>
  <si>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</si>
  <si>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</si>
  <si>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</si>
  <si>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</si>
  <si>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</si>
  <si>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</si>
  <si>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</si>
  <si>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</si>
  <si>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</si>
  <si>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</si>
  <si>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</si>
  <si>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</si>
  <si>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</si>
  <si>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</si>
  <si>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</si>
  <si>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</si>
  <si>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</si>
  <si>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</si>
  <si>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</si>
  <si>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</si>
  <si>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</si>
  <si>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</si>
  <si>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</si>
  <si>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</si>
  <si>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</si>
  <si>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</si>
  <si>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</si>
  <si>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</si>
  <si>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</si>
  <si>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</si>
  <si>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</si>
  <si>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</si>
  <si>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</si>
  <si>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</si>
  <si>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</si>
  <si>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</si>
  <si>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</si>
  <si>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</si>
  <si>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</si>
  <si>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</si>
  <si>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</si>
  <si>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</si>
  <si>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</si>
  <si>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</si>
  <si>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</si>
  <si>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</si>
  <si>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</si>
  <si>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</si>
  <si>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</si>
  <si>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</si>
  <si>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</si>
  <si>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</si>
  <si>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</si>
  <si>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</si>
  <si>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</si>
  <si>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</si>
  <si>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</si>
  <si>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</si>
  <si>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</si>
  <si>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</si>
  <si>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</si>
  <si>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</si>
  <si>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</si>
  <si>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</si>
  <si>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</si>
  <si>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</si>
  <si>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</si>
  <si>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</si>
  <si>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</si>
  <si>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</si>
  <si>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</si>
  <si>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</si>
  <si>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</si>
  <si>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</si>
  <si>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</si>
  <si>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</si>
  <si>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</si>
  <si>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</si>
  <si>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</si>
  <si>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</si>
  <si>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</si>
  <si>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</si>
  <si>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</si>
  <si>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</si>
  <si>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</si>
  <si>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</si>
  <si>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</si>
  <si>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</si>
  <si>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</si>
  <si>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</si>
  <si>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</si>
  <si>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</si>
  <si>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</si>
  <si>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</si>
  <si>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</si>
  <si>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</si>
  <si>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</si>
  <si>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</si>
  <si>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</si>
  <si>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</si>
  <si>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</si>
  <si>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</si>
  <si>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</si>
  <si>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</si>
  <si>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</si>
  <si>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</si>
  <si>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</si>
  <si>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</si>
  <si>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</si>
  <si>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</si>
  <si>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</si>
  <si>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</si>
  <si>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</si>
  <si>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</si>
  <si>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</si>
  <si>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</si>
  <si>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</si>
  <si>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</si>
  <si>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</si>
  <si>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</si>
  <si>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</si>
  <si>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</si>
  <si>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</si>
  <si>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</si>
  <si>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</si>
  <si>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</si>
  <si>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</si>
  <si>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</si>
  <si>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</si>
  <si>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</si>
  <si>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</si>
  <si>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</si>
  <si>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</si>
  <si>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</si>
  <si>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</si>
  <si>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</si>
  <si>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</si>
  <si>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</si>
  <si>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</si>
  <si>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</si>
  <si>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</si>
  <si>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</si>
  <si>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</si>
  <si>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</si>
  <si>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</si>
  <si>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</si>
  <si>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</si>
  <si>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</si>
  <si>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</si>
  <si>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</si>
  <si>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</si>
  <si>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</si>
  <si>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</si>
  <si>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</si>
  <si>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</si>
  <si>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</si>
  <si>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</si>
  <si>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</si>
  <si>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</si>
  <si>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</si>
  <si>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</si>
  <si>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</si>
  <si>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</si>
  <si>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</si>
  <si>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</si>
  <si>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</si>
  <si>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</si>
  <si>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</si>
  <si>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</si>
  <si>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</si>
  <si>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</si>
  <si>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</si>
  <si>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</si>
  <si>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</si>
  <si>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</si>
  <si>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</si>
  <si>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</si>
  <si>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</si>
  <si>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</si>
  <si>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</si>
  <si>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</si>
  <si>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</si>
  <si>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</si>
  <si>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</si>
  <si>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</si>
  <si>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</si>
  <si>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</si>
  <si>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</si>
  <si>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</si>
  <si>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</si>
  <si>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</si>
  <si>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</si>
  <si>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</si>
  <si>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</si>
  <si>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</si>
  <si>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</si>
  <si>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</si>
  <si>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</si>
  <si>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</si>
  <si>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</si>
  <si>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</si>
  <si>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</si>
  <si>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</si>
  <si>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</si>
  <si>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</si>
  <si>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</si>
  <si>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</si>
  <si>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</si>
  <si>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</si>
  <si>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</si>
  <si>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</si>
  <si>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</si>
  <si>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</si>
  <si>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</si>
  <si>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</si>
  <si>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</si>
  <si>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</si>
  <si>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</si>
  <si>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</si>
  <si>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</si>
  <si>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</si>
  <si>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</si>
  <si>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</si>
  <si>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</si>
  <si>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</si>
  <si>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</si>
  <si>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</si>
  <si>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</si>
  <si>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</si>
  <si>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</si>
  <si>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</si>
  <si>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</si>
  <si>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</si>
  <si>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</si>
  <si>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</si>
  <si>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</si>
  <si>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</si>
  <si>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</si>
  <si>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</si>
  <si>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</si>
  <si>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</si>
  <si>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</si>
  <si>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</si>
  <si>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</si>
  <si>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</si>
  <si>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</si>
  <si>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</si>
  <si>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</si>
  <si>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</si>
  <si>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</si>
  <si>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</si>
  <si>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</si>
  <si>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</si>
  <si>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</si>
  <si>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</si>
  <si>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</si>
  <si>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</si>
  <si>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</si>
  <si>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</si>
  <si>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</si>
  <si>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</si>
  <si>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</si>
  <si>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</si>
  <si>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</si>
  <si>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</si>
  <si>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</si>
  <si>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</si>
  <si>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</si>
  <si>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</si>
  <si>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</si>
  <si>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</si>
  <si>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</si>
  <si>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</si>
  <si>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</si>
  <si>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</si>
  <si>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</si>
  <si>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</si>
  <si>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</si>
  <si>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</si>
  <si>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</si>
  <si>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</si>
  <si>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</si>
  <si>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</si>
  <si>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</si>
  <si>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</si>
  <si>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</si>
  <si>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</si>
  <si>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</si>
  <si>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</si>
  <si>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</si>
  <si>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</si>
  <si>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</si>
  <si>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</si>
  <si>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</si>
  <si>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</si>
  <si>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</si>
  <si>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</si>
  <si>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</si>
  <si>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</si>
  <si>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</si>
  <si>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</si>
  <si>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</si>
  <si>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</si>
  <si>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</si>
  <si>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</si>
  <si>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</si>
  <si>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</si>
  <si>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</si>
  <si>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</si>
  <si>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</si>
  <si>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</si>
  <si>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</si>
  <si>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</si>
  <si>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</si>
  <si>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</si>
  <si>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</si>
  <si>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</si>
  <si>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</si>
  <si>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</si>
  <si>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</si>
  <si>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</si>
  <si>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</si>
  <si>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</si>
  <si>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</si>
  <si>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</si>
  <si>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</si>
  <si>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</si>
  <si>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</si>
  <si>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</si>
  <si>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</si>
  <si>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</si>
  <si>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</si>
  <si>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</si>
  <si>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</si>
  <si>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</si>
  <si>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</si>
  <si>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</si>
  <si>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</si>
  <si>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</si>
  <si>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</si>
  <si>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</si>
  <si>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</si>
  <si>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</si>
  <si>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</si>
  <si>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</si>
  <si>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</si>
  <si>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</si>
  <si>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</si>
  <si>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</si>
  <si>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</si>
  <si>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</si>
  <si>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</si>
  <si>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</si>
  <si>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</si>
  <si>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</si>
  <si>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</si>
  <si>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</si>
  <si>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</si>
  <si>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</si>
  <si>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</si>
  <si>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</si>
  <si>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</si>
  <si>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</si>
  <si>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</si>
  <si>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</si>
  <si>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</si>
  <si>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</si>
  <si>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</si>
  <si>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</si>
  <si>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</si>
  <si>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</si>
  <si>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</si>
  <si>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</si>
  <si>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</si>
  <si>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</si>
  <si>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</si>
  <si>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</si>
  <si>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</si>
  <si>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</si>
  <si>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</si>
  <si>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</si>
  <si>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</si>
  <si>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</si>
  <si>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</si>
  <si>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</si>
  <si>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</si>
  <si>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</si>
  <si>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</si>
  <si>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</si>
  <si>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</si>
  <si>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</si>
  <si>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</si>
  <si>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</si>
  <si>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</si>
  <si>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</si>
  <si>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</si>
  <si>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</si>
  <si>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</si>
  <si>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</si>
  <si>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</si>
  <si>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</si>
  <si>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</si>
  <si>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</si>
  <si>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</si>
  <si>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</si>
  <si>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</si>
  <si>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</si>
  <si>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</si>
  <si>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</si>
  <si>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</si>
  <si>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</si>
  <si>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</si>
  <si>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</si>
  <si>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</si>
  <si>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</si>
  <si>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</si>
  <si>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</si>
  <si>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</si>
  <si>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</si>
  <si>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</si>
  <si>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</si>
  <si>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</si>
  <si>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</si>
  <si>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</si>
  <si>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</si>
  <si>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</si>
  <si>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</si>
  <si>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</si>
  <si>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</si>
  <si>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</si>
  <si>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</si>
  <si>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</si>
  <si>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</si>
  <si>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</si>
  <si>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</si>
  <si>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</si>
  <si>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</si>
  <si>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</si>
  <si>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</si>
  <si>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</si>
  <si>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</si>
  <si>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</si>
  <si>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</si>
  <si>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</si>
  <si>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</si>
  <si>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</si>
  <si>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</si>
  <si>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</si>
  <si>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</si>
  <si>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</si>
  <si>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</si>
  <si>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</si>
  <si>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</si>
  <si>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</si>
  <si>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</si>
  <si>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</si>
  <si>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</si>
  <si>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</si>
  <si>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</si>
  <si>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</si>
  <si>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</si>
  <si>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</si>
  <si>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</si>
  <si>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</si>
  <si>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</si>
  <si>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</si>
  <si>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</si>
  <si>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</si>
  <si>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</si>
  <si>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</si>
  <si>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</si>
  <si>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</si>
  <si>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</si>
  <si>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</si>
  <si>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</si>
  <si>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</si>
  <si>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</si>
  <si>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</si>
  <si>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</si>
  <si>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</si>
  <si>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</si>
  <si>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</si>
  <si>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</si>
  <si>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</si>
  <si>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</si>
  <si>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</si>
  <si>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</si>
  <si>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</si>
  <si>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</si>
  <si>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</si>
  <si>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</si>
  <si>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</si>
  <si>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</si>
  <si>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</si>
  <si>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</si>
  <si>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</si>
  <si>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</si>
  <si>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</si>
  <si>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</si>
  <si>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</si>
  <si>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</si>
  <si>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</si>
  <si>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</si>
  <si>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</si>
  <si>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</si>
  <si>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</si>
  <si>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</si>
  <si>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</si>
  <si>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</si>
  <si>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</si>
  <si>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</si>
  <si>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</si>
  <si>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</si>
  <si>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</si>
  <si>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</si>
  <si>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</si>
  <si>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</si>
  <si>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</si>
  <si>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</si>
  <si>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</si>
  <si>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</si>
  <si>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</si>
  <si>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</si>
  <si>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</si>
  <si>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</si>
  <si>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</si>
  <si>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</si>
  <si>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</si>
  <si>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</si>
  <si>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</si>
  <si>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</si>
  <si>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</si>
  <si>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</si>
  <si>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</si>
  <si>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</si>
  <si>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</si>
  <si>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</si>
  <si>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</si>
  <si>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</si>
  <si>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</si>
  <si>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</si>
  <si>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</si>
  <si>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</si>
  <si>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</si>
  <si>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</si>
  <si>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</si>
  <si>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</si>
  <si>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</si>
  <si>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</si>
  <si>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</si>
  <si>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</si>
  <si>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</si>
  <si>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</si>
  <si>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</si>
  <si>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</si>
  <si>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</si>
  <si>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</si>
  <si>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</si>
  <si>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</si>
  <si>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</si>
  <si>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</si>
  <si>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</si>
  <si>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</si>
  <si>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</si>
  <si>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</si>
  <si>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</si>
  <si>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</si>
  <si>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</si>
  <si>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</si>
  <si>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</si>
  <si>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</si>
  <si>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</si>
  <si>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</si>
  <si>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</si>
  <si>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</si>
  <si>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</si>
  <si>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</si>
  <si>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</si>
  <si>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</si>
  <si>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</si>
  <si>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</si>
  <si>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</si>
  <si>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</si>
  <si>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</si>
  <si>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</si>
  <si>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</si>
  <si>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</si>
  <si>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</si>
  <si>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</si>
  <si>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</si>
  <si>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</si>
  <si>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</si>
  <si>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</si>
  <si>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</si>
  <si>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</si>
  <si>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</si>
  <si>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</si>
  <si>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</si>
  <si>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</si>
  <si>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</si>
  <si>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</si>
  <si>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</si>
  <si>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</si>
  <si>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</si>
  <si>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</si>
  <si>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</si>
  <si>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</si>
  <si>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</si>
  <si>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</si>
  <si>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</si>
  <si>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</si>
  <si>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</si>
  <si>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</si>
  <si>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</si>
  <si>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</si>
  <si>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</si>
  <si>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</si>
  <si>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</si>
  <si>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</si>
  <si>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</si>
  <si>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</si>
  <si>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</si>
  <si>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</si>
  <si>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</si>
  <si>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</si>
  <si>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</si>
  <si>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</si>
  <si>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</si>
  <si>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</si>
  <si>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</si>
  <si>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</si>
  <si>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</si>
  <si>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</si>
  <si>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</si>
  <si>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</si>
  <si>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</si>
  <si>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</si>
  <si>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</si>
  <si>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</si>
  <si>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</si>
  <si>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</si>
  <si>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</si>
  <si>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</si>
  <si>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</si>
  <si>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</si>
  <si>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</si>
  <si>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</si>
  <si>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</si>
  <si>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</si>
  <si>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</si>
  <si>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</si>
  <si>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</si>
  <si>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</si>
  <si>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</si>
  <si>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</si>
  <si>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</si>
  <si>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</si>
  <si>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</si>
  <si>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</si>
  <si>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</si>
  <si>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</si>
  <si>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</si>
  <si>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</si>
  <si>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</si>
  <si>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</si>
  <si>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</si>
  <si>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</si>
  <si>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</si>
  <si>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</si>
  <si>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</si>
  <si>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</si>
  <si>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</si>
  <si>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</si>
  <si>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</si>
  <si>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</si>
  <si>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</si>
  <si>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</si>
  <si>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</si>
  <si>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</si>
  <si>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</si>
  <si>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</si>
  <si>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</si>
  <si>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</si>
  <si>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</si>
  <si>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</si>
  <si>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</si>
  <si>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</si>
  <si>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</si>
  <si>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</si>
  <si>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</si>
  <si>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</si>
  <si>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</si>
  <si>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</si>
  <si>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</si>
  <si>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</si>
  <si>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</si>
  <si>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</si>
  <si>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</si>
  <si>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</si>
  <si>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</si>
  <si>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</si>
  <si>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</si>
  <si>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</si>
  <si>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</si>
  <si>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</si>
  <si>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</si>
  <si>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</si>
  <si>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</si>
  <si>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</si>
  <si>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</si>
  <si>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</si>
  <si>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</si>
  <si>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</si>
  <si>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</si>
  <si>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</si>
  <si>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</si>
  <si>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</si>
  <si>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</si>
  <si>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</si>
  <si>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</si>
  <si>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</si>
  <si>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</si>
  <si>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</si>
  <si>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</si>
  <si>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</si>
  <si>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</si>
  <si>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</si>
  <si>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</si>
  <si>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</si>
  <si>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</si>
  <si>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</si>
  <si>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</si>
  <si>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</si>
  <si>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</si>
  <si>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</si>
  <si>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</si>
  <si>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</si>
  <si>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</si>
  <si>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</si>
  <si>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</si>
  <si>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</si>
  <si>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</si>
  <si>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</si>
  <si>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</si>
  <si>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</si>
  <si>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</si>
  <si>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</si>
  <si>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</si>
  <si>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</si>
  <si>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</si>
  <si>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</si>
  <si>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</si>
  <si>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</si>
  <si>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</si>
  <si>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</si>
  <si>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</si>
  <si>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</si>
  <si>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</si>
  <si>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</si>
  <si>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</si>
  <si>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</si>
  <si>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</si>
  <si>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</si>
  <si>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</si>
  <si>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</si>
  <si>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</si>
  <si>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</si>
  <si>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</si>
  <si>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</si>
  <si>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</si>
  <si>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</si>
  <si>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</si>
  <si>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</si>
  <si>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</si>
  <si>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</si>
  <si>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</si>
  <si>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</si>
  <si>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</si>
  <si>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</si>
  <si>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</si>
  <si>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</si>
  <si>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</si>
  <si>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</si>
  <si>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</si>
  <si>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</si>
  <si>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</si>
  <si>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</si>
  <si>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</si>
  <si>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</si>
  <si>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</si>
  <si>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</si>
  <si>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</si>
  <si>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</si>
  <si>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</si>
  <si>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</si>
  <si>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</si>
  <si>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</si>
  <si>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</si>
  <si>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</si>
  <si>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</si>
  <si>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</si>
  <si>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</si>
  <si>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</si>
  <si>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</si>
  <si>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</si>
  <si>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</si>
  <si>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</si>
  <si>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</si>
  <si>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</si>
  <si>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</si>
  <si>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</si>
  <si>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</si>
  <si>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</si>
  <si>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</si>
  <si>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</si>
  <si>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</si>
  <si>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</si>
  <si>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</si>
  <si>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</si>
  <si>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</si>
  <si>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</si>
  <si>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</si>
  <si>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</si>
  <si>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</si>
  <si>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</si>
  <si>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</si>
  <si>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</si>
  <si>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</si>
  <si>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</si>
  <si>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</si>
  <si>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</si>
  <si>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</si>
  <si>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</si>
  <si>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</si>
  <si>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</si>
  <si>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</si>
  <si>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</si>
  <si>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</si>
  <si>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</si>
  <si>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</si>
  <si>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</si>
  <si>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</si>
  <si>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</si>
  <si>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</si>
  <si>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</si>
  <si>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</si>
  <si>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</si>
  <si>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</si>
  <si>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</si>
  <si>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</si>
  <si>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</si>
  <si>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</si>
  <si>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</si>
  <si>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</si>
  <si>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</si>
  <si>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</si>
  <si>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</si>
  <si>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</si>
  <si>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</si>
  <si>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</si>
  <si>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</si>
  <si>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</si>
  <si>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</si>
  <si>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</si>
  <si>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</si>
  <si>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</si>
  <si>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</si>
  <si>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</si>
  <si>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</si>
  <si>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</si>
  <si>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</si>
  <si>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</si>
  <si>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</si>
  <si>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</si>
  <si>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</si>
  <si>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</si>
  <si>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</si>
  <si>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</si>
  <si>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</si>
  <si>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</si>
  <si>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</si>
  <si>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</si>
  <si>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</si>
  <si>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</si>
  <si>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</si>
  <si>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</si>
  <si>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</si>
  <si>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</si>
  <si>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</si>
  <si>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</si>
  <si>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</si>
  <si>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</si>
  <si>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</si>
  <si>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</si>
  <si>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</si>
  <si>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</si>
  <si>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</si>
  <si>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</si>
  <si>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</si>
  <si>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</si>
  <si>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</si>
  <si>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</si>
  <si>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</si>
  <si>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</si>
  <si>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</si>
  <si>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</si>
  <si>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</si>
  <si>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</si>
  <si>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</si>
  <si>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</si>
  <si>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</si>
  <si>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</si>
  <si>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</si>
  <si>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</si>
  <si>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</si>
  <si>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</si>
  <si>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</si>
  <si>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</si>
  <si>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</si>
  <si>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</si>
  <si>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</si>
  <si>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</si>
  <si>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</si>
  <si>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</si>
  <si>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</si>
  <si>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</si>
  <si>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</si>
  <si>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</si>
  <si>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</si>
  <si>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</si>
  <si>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</si>
  <si>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</si>
  <si>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</si>
  <si>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</si>
  <si>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</si>
  <si>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</si>
  <si>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</si>
  <si>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</si>
  <si>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</si>
  <si>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</si>
  <si>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</si>
  <si>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</si>
  <si>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</si>
  <si>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</si>
  <si>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</si>
  <si>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</si>
  <si>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</si>
  <si>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</si>
  <si>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</si>
  <si>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</si>
  <si>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</si>
  <si>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</si>
  <si>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</si>
  <si>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</si>
  <si>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</si>
  <si>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</si>
  <si>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</si>
  <si>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</si>
  <si>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</si>
  <si>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</si>
  <si>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</si>
  <si>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</si>
  <si>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</si>
  <si>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</si>
  <si>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</si>
  <si>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</si>
  <si>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</si>
  <si>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</si>
  <si>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</si>
  <si>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</si>
  <si>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</si>
  <si>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</si>
  <si>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</si>
  <si>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</si>
  <si>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</si>
  <si>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</si>
  <si>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</si>
  <si>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</si>
  <si>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</si>
  <si>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</si>
  <si>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</si>
  <si>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</si>
  <si>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</si>
  <si>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</si>
  <si>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</si>
  <si>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</si>
  <si>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</si>
  <si>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</si>
  <si>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</si>
  <si>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</si>
  <si>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</si>
  <si>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</si>
  <si>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</si>
  <si>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</si>
  <si>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</si>
  <si>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</si>
  <si>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</si>
  <si>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</si>
  <si>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</si>
  <si>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</si>
  <si>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</si>
  <si>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</si>
  <si>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</si>
  <si>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</si>
  <si>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</si>
  <si>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</si>
  <si>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</si>
  <si>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</si>
  <si>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</si>
  <si>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</si>
  <si>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</si>
  <si>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</si>
  <si>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</si>
  <si>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</si>
  <si>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</si>
  <si>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</si>
  <si>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</si>
  <si>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</si>
  <si>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</si>
  <si>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</si>
  <si>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</si>
  <si>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</si>
  <si>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</si>
  <si>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</si>
  <si>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</si>
  <si>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</si>
  <si>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</si>
  <si>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</si>
  <si>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</si>
  <si>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</si>
  <si>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</si>
  <si>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</si>
  <si>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</si>
  <si>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</si>
  <si>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</si>
  <si>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</si>
  <si>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</si>
  <si>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</si>
  <si>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</si>
  <si>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</si>
  <si>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</si>
  <si>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</si>
  <si>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</si>
  <si>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</si>
  <si>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</si>
  <si>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</si>
  <si>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</si>
  <si>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</si>
  <si>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</si>
  <si>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</si>
  <si>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</si>
  <si>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</si>
  <si>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</si>
  <si>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</si>
  <si>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</si>
  <si>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</si>
  <si>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</si>
  <si>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</si>
  <si>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</si>
  <si>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</si>
  <si>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</si>
  <si>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</si>
  <si>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</si>
  <si>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</si>
  <si>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</si>
  <si>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</si>
  <si>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</si>
  <si>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</si>
  <si>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</si>
  <si>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</si>
  <si>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</si>
  <si>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</si>
  <si>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</si>
  <si>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</si>
  <si>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</si>
  <si>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</si>
  <si>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</si>
  <si>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</si>
  <si>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</si>
  <si>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</si>
  <si>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</si>
  <si>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</si>
  <si>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</si>
  <si>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</si>
  <si>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</si>
  <si>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</si>
  <si>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</si>
  <si>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</si>
  <si>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</si>
  <si>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</si>
  <si>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</si>
  <si>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</si>
  <si>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</si>
  <si>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</si>
  <si>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</si>
  <si>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</si>
  <si>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</si>
  <si>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</si>
  <si>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</si>
  <si>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</si>
  <si>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</si>
  <si>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</si>
  <si>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</si>
  <si>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</si>
  <si>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</si>
  <si>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</si>
  <si>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</si>
  <si>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</si>
  <si>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</si>
  <si>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</si>
  <si>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</si>
  <si>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</si>
  <si>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</si>
  <si>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</si>
  <si>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</si>
  <si>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</si>
  <si>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</si>
  <si>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</si>
  <si>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</si>
  <si>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</si>
  <si>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</si>
  <si>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</si>
  <si>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</si>
  <si>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</si>
  <si>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</si>
  <si>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</si>
  <si>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</si>
  <si>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</si>
  <si>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</si>
  <si>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</si>
  <si>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</si>
  <si>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</si>
  <si>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</si>
  <si>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</si>
  <si>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</si>
  <si>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</si>
  <si>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</si>
  <si>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</si>
  <si>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</si>
  <si>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</si>
  <si>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</si>
  <si>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</si>
  <si>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</si>
  <si>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</si>
  <si>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</si>
  <si>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</si>
  <si>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</si>
  <si>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</si>
  <si>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</si>
  <si>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</si>
  <si>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</si>
  <si>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</si>
  <si>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</si>
  <si>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</si>
  <si>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</si>
  <si>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</si>
  <si>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</si>
  <si>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</si>
  <si>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</si>
  <si>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</si>
  <si>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</si>
  <si>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</si>
  <si>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</si>
  <si>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</si>
  <si>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</si>
  <si>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</si>
  <si>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</si>
  <si>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</si>
  <si>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</si>
  <si>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</si>
  <si>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</si>
  <si>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</si>
  <si>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</si>
  <si>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</si>
  <si>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</si>
  <si>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</si>
  <si>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</si>
  <si>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</si>
  <si>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</si>
  <si>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</si>
  <si>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</si>
  <si>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</si>
  <si>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</si>
  <si>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</si>
  <si>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</si>
  <si>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</si>
  <si>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</si>
  <si>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</si>
  <si>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</si>
  <si>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</si>
  <si>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</si>
  <si>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</si>
  <si>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</si>
  <si>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</si>
  <si>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</si>
  <si>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</si>
  <si>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</si>
  <si>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</si>
  <si>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</si>
  <si>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</si>
  <si>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</si>
  <si>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</si>
  <si>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</si>
  <si>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</si>
  <si>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</si>
  <si>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</si>
  <si>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</si>
  <si>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</si>
  <si>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</si>
  <si>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</si>
  <si>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</si>
  <si>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</si>
  <si>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</si>
  <si>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</si>
  <si>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</si>
  <si>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</si>
  <si>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</si>
  <si>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</si>
  <si>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</si>
  <si>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</si>
  <si>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</si>
  <si>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</si>
  <si>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</si>
  <si>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</si>
  <si>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</si>
  <si>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</si>
  <si>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</si>
  <si>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</si>
  <si>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</si>
  <si>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</si>
  <si>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</si>
  <si>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</si>
  <si>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</si>
  <si>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</si>
  <si>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</si>
  <si>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</si>
  <si>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</si>
  <si>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</si>
  <si>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</si>
  <si>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</si>
  <si>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</si>
  <si>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</si>
  <si>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</si>
  <si>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</si>
  <si>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</si>
  <si>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</si>
  <si>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</si>
  <si>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</si>
  <si>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</si>
  <si>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</si>
  <si>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</si>
  <si>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</si>
  <si>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</si>
  <si>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</si>
  <si>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</si>
  <si>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</si>
  <si>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</si>
  <si>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</si>
  <si>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</si>
  <si>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</si>
  <si>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</si>
  <si>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</si>
  <si>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</si>
  <si>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</si>
  <si>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</si>
  <si>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</si>
  <si>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</si>
  <si>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</si>
  <si>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</si>
  <si>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</si>
  <si>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</si>
  <si>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</si>
  <si>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</si>
  <si>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</si>
  <si>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</si>
  <si>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</si>
  <si>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</si>
  <si>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</si>
  <si>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</si>
  <si>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</si>
  <si>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</si>
  <si>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</si>
  <si>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</si>
  <si>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</si>
  <si>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</si>
  <si>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</si>
  <si>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</si>
  <si>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</si>
  <si>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</si>
  <si>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</si>
  <si>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</si>
  <si>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</si>
  <si>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</si>
  <si>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</si>
  <si>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</si>
  <si>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</si>
  <si>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</si>
  <si>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</si>
  <si>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</si>
  <si>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</si>
  <si>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</si>
  <si>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</si>
  <si>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</si>
  <si>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</si>
  <si>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</si>
  <si>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</si>
  <si>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</si>
  <si>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</si>
  <si>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</si>
  <si>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</si>
  <si>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</si>
  <si>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</si>
  <si>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</si>
  <si>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</si>
  <si>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</si>
  <si>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</si>
  <si>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</si>
  <si>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</si>
  <si>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</si>
  <si>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</si>
  <si>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</si>
  <si>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</si>
  <si>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</si>
  <si>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</si>
  <si>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</si>
  <si>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</si>
  <si>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</si>
  <si>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</si>
  <si>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</si>
  <si>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</si>
  <si>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</si>
  <si>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</si>
  <si>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</si>
  <si>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</si>
  <si>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</si>
  <si>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</si>
  <si>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</si>
  <si>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</si>
  <si>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</si>
  <si>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</si>
  <si>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</si>
  <si>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</si>
  <si>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</si>
  <si>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</si>
  <si>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</si>
  <si>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</si>
  <si>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</si>
  <si>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</si>
  <si>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</si>
  <si>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</si>
  <si>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</si>
  <si>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</si>
  <si>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</si>
  <si>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</si>
  <si>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</si>
  <si>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</si>
  <si>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</si>
  <si>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</si>
  <si>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</si>
  <si>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</si>
  <si>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</si>
  <si>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</si>
  <si>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</si>
  <si>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</si>
  <si>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</si>
  <si>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</si>
  <si>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</si>
  <si>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</si>
  <si>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</si>
  <si>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</si>
  <si>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</si>
  <si>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</si>
  <si>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</si>
  <si>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</si>
  <si>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</si>
  <si>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</si>
  <si>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</si>
  <si>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</si>
  <si>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</si>
  <si>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</si>
  <si>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</si>
  <si>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</si>
  <si>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</si>
  <si>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</si>
  <si>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</si>
  <si>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</si>
  <si>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</si>
  <si>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</si>
  <si>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</si>
  <si>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</si>
  <si>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</si>
  <si>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</si>
  <si>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</si>
  <si>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</si>
  <si>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</si>
  <si>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</si>
  <si>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</si>
  <si>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</si>
  <si>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</si>
  <si>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</si>
  <si>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</si>
  <si>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</si>
  <si>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</si>
  <si>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</si>
  <si>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</si>
  <si>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</si>
  <si>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</si>
  <si>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</si>
  <si>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</si>
  <si>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</si>
  <si>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</si>
  <si>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</si>
  <si>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</si>
  <si>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</si>
  <si>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</si>
  <si>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</si>
  <si>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</si>
  <si>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</si>
  <si>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</si>
  <si>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</si>
  <si>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</si>
  <si>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</si>
  <si>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</si>
  <si>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</si>
  <si>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</si>
  <si>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</si>
  <si>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</si>
  <si>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</si>
  <si>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</si>
  <si>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</si>
  <si>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</si>
  <si>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</si>
  <si>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</si>
  <si>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</si>
  <si>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</si>
  <si>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</si>
  <si>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</si>
  <si>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</si>
  <si>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</si>
  <si>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</si>
  <si>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</si>
  <si>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</si>
  <si>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</si>
  <si>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</si>
  <si>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</si>
  <si>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</si>
  <si>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</si>
  <si>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</si>
  <si>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</si>
  <si>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</si>
  <si>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</si>
  <si>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</si>
  <si>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</si>
  <si>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</si>
  <si>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</si>
  <si>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</si>
  <si>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</si>
  <si>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</si>
  <si>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</si>
  <si>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</si>
  <si>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</si>
  <si>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</si>
  <si>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</si>
  <si>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</si>
  <si>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</si>
  <si>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</si>
  <si>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REMOVED</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</si>
  <si>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</si>
  <si>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</si>
  <si>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</si>
  <si>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</si>
  <si>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</si>
  <si>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</si>
  <si>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</si>
  <si>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</si>
  <si>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</si>
  <si>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</si>
  <si>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</si>
  <si>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</si>
  <si>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</si>
  <si>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</si>
  <si>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</si>
  <si>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</si>
  <si>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</si>
  <si>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</si>
  <si>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</si>
  <si>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</si>
  <si>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</si>
  <si>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</si>
  <si>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</si>
  <si>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</si>
  <si>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</si>
  <si>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</si>
  <si>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</si>
  <si>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</si>
  <si>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</si>
  <si>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</si>
  <si>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</si>
  <si>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</si>
  <si>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</si>
  <si>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</si>
  <si>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</si>
  <si>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</si>
  <si>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</si>
  <si>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</si>
  <si>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</si>
  <si>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</si>
  <si>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</si>
  <si>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</si>
  <si>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</si>
  <si>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</si>
  <si>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</si>
  <si>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</si>
  <si>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</si>
  <si>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</si>
  <si>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</si>
  <si>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</si>
  <si>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</si>
  <si>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</si>
  <si>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</si>
  <si>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</si>
  <si>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</si>
  <si>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</si>
  <si>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</si>
  <si>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</si>
  <si>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</si>
  <si>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</si>
  <si>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</si>
  <si>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</si>
  <si>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</si>
  <si>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</si>
  <si>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</si>
  <si>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</si>
  <si>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</si>
  <si>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</si>
  <si>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</si>
  <si>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</si>
  <si>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</si>
  <si>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</si>
  <si>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</si>
  <si>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</si>
  <si>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</si>
  <si>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</si>
  <si>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</si>
  <si>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</si>
  <si>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</si>
  <si>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</si>
  <si>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</si>
  <si>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</si>
  <si>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</si>
  <si>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</si>
  <si>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</si>
  <si>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</si>
  <si>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</si>
  <si>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</si>
  <si>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</si>
  <si>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</si>
  <si>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</si>
  <si>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</si>
  <si>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</si>
  <si>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</si>
  <si>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</si>
  <si>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</si>
  <si>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</si>
  <si>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</si>
  <si>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</si>
  <si>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</si>
  <si>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</si>
  <si>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</si>
  <si>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</si>
  <si>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</si>
  <si>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</si>
  <si>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</si>
  <si>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</si>
  <si>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</si>
  <si>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</si>
  <si>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</si>
  <si>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</si>
  <si>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</si>
  <si>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</si>
  <si>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</si>
  <si>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</si>
  <si>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</si>
  <si>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</si>
  <si>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</si>
  <si>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</si>
  <si>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</si>
  <si>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</si>
  <si>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</si>
  <si>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</si>
  <si>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</si>
  <si>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</si>
  <si>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</si>
  <si>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</si>
  <si>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</si>
  <si>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</si>
  <si>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</si>
  <si>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</si>
  <si>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</si>
  <si>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</si>
  <si>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</si>
  <si>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</si>
  <si>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</si>
  <si>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</si>
  <si>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</si>
  <si>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</si>
  <si>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</si>
  <si>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</si>
  <si>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</si>
  <si>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</si>
  <si>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</si>
  <si>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</si>
  <si>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</si>
  <si>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</si>
  <si>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</si>
  <si>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</si>
  <si>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</si>
  <si>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</si>
  <si>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</si>
  <si>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</si>
  <si>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</si>
  <si>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</si>
  <si>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</si>
  <si>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</si>
  <si>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</si>
  <si>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</si>
  <si>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</si>
  <si>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</si>
  <si>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</si>
  <si>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</si>
  <si>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</si>
  <si>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</si>
  <si>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</si>
  <si>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</si>
  <si>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</si>
  <si>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</si>
  <si>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</si>
  <si>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</si>
  <si>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</si>
  <si>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</si>
  <si>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</si>
  <si>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</si>
  <si>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</si>
  <si>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</si>
  <si>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</si>
  <si>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</si>
  <si>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</si>
  <si>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</si>
  <si>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</si>
  <si>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</si>
  <si>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</si>
  <si>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</si>
  <si>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</si>
  <si>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</si>
  <si>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</si>
  <si>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</si>
  <si>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</si>
  <si>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</si>
  <si>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</si>
  <si>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</si>
  <si>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</si>
  <si>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</si>
  <si>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</si>
  <si>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</si>
  <si>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</si>
  <si>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</si>
  <si>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</si>
  <si>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</si>
  <si>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</si>
  <si>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</si>
  <si>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</si>
  <si>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</si>
  <si>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</si>
  <si>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</si>
  <si>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</si>
  <si>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</si>
  <si>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</si>
  <si>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</si>
  <si>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</si>
  <si>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</si>
  <si>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</si>
  <si>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</si>
  <si>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</si>
  <si>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</si>
  <si>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</si>
  <si>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</si>
  <si>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</si>
  <si>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</si>
  <si>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</si>
  <si>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</si>
  <si>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</si>
  <si>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</si>
  <si>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</si>
  <si>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</si>
  <si>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</si>
  <si>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</si>
  <si>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</si>
  <si>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</si>
  <si>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</si>
  <si>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</si>
  <si>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</si>
  <si>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</si>
  <si>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</si>
  <si>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</si>
  <si>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</si>
  <si>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</si>
  <si>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</si>
  <si>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</si>
  <si>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</si>
  <si>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</si>
  <si>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</si>
  <si>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</si>
  <si>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</si>
  <si>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</si>
  <si>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</si>
  <si>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</si>
  <si>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</si>
  <si>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</si>
  <si>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</si>
  <si>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</si>
  <si>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</si>
  <si>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</si>
  <si>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</si>
  <si>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</si>
  <si>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</si>
  <si>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</si>
  <si>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</si>
  <si>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</si>
  <si>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</si>
  <si>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</si>
  <si>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</si>
  <si>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</si>
  <si>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</si>
  <si>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</si>
  <si>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</si>
  <si>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</si>
  <si>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</si>
  <si>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</si>
  <si>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</si>
  <si>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</si>
  <si>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</si>
  <si>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</si>
  <si>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</si>
  <si>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</si>
  <si>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</si>
  <si>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</si>
  <si>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</si>
  <si>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</si>
  <si>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</si>
  <si>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</si>
  <si>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</si>
  <si>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</si>
  <si>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</si>
  <si>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</si>
  <si>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</si>
  <si>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</si>
  <si>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</si>
  <si>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</si>
  <si>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</si>
  <si>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</si>
  <si>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</si>
  <si>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</si>
  <si>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</si>
  <si>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</si>
  <si>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</si>
  <si>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</si>
  <si>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</si>
  <si>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</si>
  <si>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</si>
  <si>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</si>
  <si>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</si>
  <si>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</si>
  <si>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</si>
  <si>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</si>
  <si>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</si>
  <si>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</si>
  <si>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</si>
  <si>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</si>
  <si>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</si>
  <si>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</si>
  <si>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</si>
  <si>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</si>
  <si>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</si>
  <si>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</si>
  <si>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</si>
  <si>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</si>
  <si>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</si>
  <si>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</si>
  <si>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</si>
  <si>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</si>
  <si>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</si>
  <si>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</si>
  <si>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</si>
  <si>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</si>
  <si>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</si>
  <si>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</si>
  <si>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</si>
  <si>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</si>
  <si>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</si>
  <si>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</si>
  <si>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</si>
  <si>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</si>
  <si>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</si>
  <si>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</si>
  <si>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</si>
  <si>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</si>
  <si>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</si>
  <si>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</si>
  <si>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</si>
  <si>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</si>
  <si>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</si>
  <si>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</si>
  <si>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</si>
  <si>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</si>
  <si>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</si>
  <si>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</si>
  <si>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</si>
  <si>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</si>
  <si>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</si>
  <si>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</si>
  <si>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</si>
  <si>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</si>
  <si>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</si>
  <si>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</si>
  <si>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</si>
  <si>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</si>
  <si>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</si>
  <si>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</si>
  <si>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</si>
  <si>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</si>
  <si>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</si>
  <si>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</si>
  <si>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</si>
  <si>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</si>
  <si>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</si>
  <si>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</si>
  <si>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</si>
  <si>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</si>
  <si>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</si>
  <si>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</si>
  <si>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</si>
  <si>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</si>
  <si>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</si>
  <si>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</si>
  <si>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</si>
  <si>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</si>
  <si>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</si>
  <si>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</si>
  <si>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</si>
  <si>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</si>
  <si>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</si>
  <si>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</si>
  <si>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</si>
  <si>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</si>
  <si>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</si>
  <si>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</si>
  <si>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</si>
  <si>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</si>
  <si>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</si>
  <si>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</si>
  <si>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</si>
  <si>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</si>
  <si>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</si>
  <si>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</si>
  <si>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</si>
  <si>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</si>
  <si>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</si>
  <si>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</si>
  <si>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</si>
  <si>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</si>
  <si>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</si>
  <si>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</si>
  <si>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</si>
  <si>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</si>
  <si>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</si>
  <si>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</si>
  <si>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</si>
  <si>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</si>
  <si>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</si>
  <si>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</si>
  <si>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</si>
  <si>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</si>
  <si>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</si>
  <si>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</si>
  <si>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</si>
  <si>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</si>
  <si>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</si>
  <si>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</si>
  <si>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</si>
  <si>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</si>
  <si>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</si>
  <si>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</si>
  <si>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</si>
  <si>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</si>
  <si>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</si>
  <si>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</si>
  <si>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</si>
  <si>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</si>
  <si>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</si>
  <si>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</si>
  <si>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</si>
  <si>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</si>
  <si>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</si>
  <si>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</si>
  <si>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</si>
  <si>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</si>
  <si>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</si>
  <si>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</si>
  <si>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</si>
  <si>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</si>
  <si>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</si>
  <si>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</si>
  <si>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</si>
  <si>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</si>
  <si>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</si>
  <si>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</si>
  <si>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</si>
  <si>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</si>
  <si>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</si>
  <si>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</si>
  <si>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</si>
  <si>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</si>
  <si>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</si>
  <si>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</si>
  <si>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</si>
  <si>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</si>
  <si>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</si>
  <si>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</si>
  <si>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</si>
  <si>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</si>
  <si>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</si>
  <si>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</si>
  <si>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</si>
  <si>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</si>
  <si>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</si>
  <si>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</si>
  <si>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</si>
  <si>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</si>
  <si>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</si>
  <si>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</si>
  <si>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</si>
  <si>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</si>
  <si>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</si>
  <si>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</si>
  <si>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</si>
  <si>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</si>
  <si>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</si>
  <si>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</si>
  <si>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</si>
  <si>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</si>
  <si>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</si>
  <si>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</si>
  <si>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</si>
  <si>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</si>
  <si>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</si>
  <si>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</si>
  <si>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</si>
  <si>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</si>
  <si>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</si>
  <si>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</si>
  <si>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</si>
  <si>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</si>
  <si>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</si>
  <si>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</si>
  <si>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</si>
  <si>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</si>
  <si>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</si>
  <si>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</si>
  <si>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</si>
  <si>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</si>
  <si>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</si>
  <si>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</si>
  <si>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</si>
  <si>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</si>
  <si>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</si>
  <si>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</si>
  <si>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</si>
  <si>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</si>
  <si>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</si>
  <si>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</si>
  <si>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</si>
  <si>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</si>
  <si>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</si>
  <si>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</si>
  <si>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</si>
  <si>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</si>
  <si>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</si>
  <si>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</si>
  <si>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</si>
  <si>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</si>
  <si>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</si>
  <si>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</si>
  <si>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</si>
  <si>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</si>
  <si>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</si>
  <si>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</si>
  <si>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</si>
  <si>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</si>
  <si>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</si>
  <si>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</si>
  <si>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</si>
  <si>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</si>
  <si>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</si>
  <si>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</si>
  <si>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</si>
  <si>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</si>
  <si>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</si>
  <si>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</si>
  <si>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</si>
  <si>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</si>
  <si>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</si>
  <si>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</si>
  <si>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</si>
  <si>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</si>
  <si>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</si>
  <si>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</si>
  <si>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</si>
  <si>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</si>
  <si>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</si>
  <si>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</si>
  <si>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</si>
  <si>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</si>
  <si>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</si>
  <si>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</si>
  <si>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</si>
  <si>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</si>
  <si>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</si>
  <si>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</si>
  <si>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</si>
  <si>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</si>
  <si>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</si>
  <si>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</si>
  <si>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</si>
  <si>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</si>
  <si>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</si>
  <si>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</si>
  <si>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</si>
  <si>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</si>
  <si>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</si>
  <si>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</si>
  <si>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</si>
  <si>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</si>
  <si>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</si>
  <si>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</si>
  <si>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</si>
  <si>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</si>
  <si>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</si>
  <si>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</si>
  <si>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</si>
  <si>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</si>
  <si>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</si>
  <si>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</si>
  <si>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</si>
  <si>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</si>
  <si>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</si>
  <si>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</si>
  <si>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</si>
  <si>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</si>
  <si>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</si>
  <si>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</si>
  <si>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</si>
  <si>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</si>
  <si>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</si>
  <si>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</si>
  <si>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</si>
  <si>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</si>
  <si>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</si>
  <si>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</si>
  <si>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</si>
  <si>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</si>
  <si>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</si>
  <si>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</si>
  <si>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</si>
  <si>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</si>
  <si>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</si>
  <si>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</si>
  <si>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</si>
  <si>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</si>
  <si>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</si>
  <si>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</si>
  <si>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</si>
  <si>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</si>
  <si>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</si>
  <si>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</si>
  <si>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</si>
  <si>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</si>
  <si>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</si>
  <si>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</si>
  <si>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</si>
  <si>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</si>
  <si>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</si>
  <si>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</si>
  <si>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</si>
  <si>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</si>
  <si>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</si>
  <si>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</si>
  <si>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</si>
  <si>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</si>
  <si>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</si>
  <si>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</si>
  <si>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</si>
  <si>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</si>
  <si>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</si>
  <si>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</si>
  <si>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</si>
  <si>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</si>
  <si>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</si>
  <si>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</si>
  <si>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</si>
  <si>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</si>
  <si>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</si>
  <si>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</si>
  <si>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</si>
  <si>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</si>
  <si>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</si>
  <si>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</si>
  <si>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</si>
  <si>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</si>
  <si>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</si>
  <si>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</si>
  <si>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</si>
  <si>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</si>
  <si>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</si>
  <si>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</si>
  <si>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</si>
  <si>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</si>
  <si>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</si>
  <si>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</si>
  <si>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</si>
  <si>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</si>
  <si>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</si>
  <si>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</si>
  <si>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</si>
  <si>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</si>
  <si>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</si>
  <si>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</si>
  <si>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</si>
  <si>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</si>
  <si>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</si>
  <si>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</si>
  <si>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</si>
  <si>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</si>
  <si>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</si>
  <si>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</si>
  <si>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</si>
  <si>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</si>
  <si>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</si>
  <si>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</si>
  <si>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</si>
  <si>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</si>
  <si>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</si>
  <si>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</si>
  <si>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</si>
  <si>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</si>
  <si>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</si>
  <si>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</si>
  <si>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</si>
  <si>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</si>
  <si>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</si>
  <si>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</si>
  <si>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</si>
  <si>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</si>
  <si>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</si>
  <si>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</si>
  <si>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</si>
  <si>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</si>
  <si>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</si>
  <si>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</si>
  <si>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</si>
  <si>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</si>
  <si>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</si>
  <si>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</si>
  <si>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</si>
  <si>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</si>
  <si>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</si>
  <si>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</si>
  <si>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</si>
  <si>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</si>
  <si>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</si>
  <si>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</si>
  <si>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</si>
  <si>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</si>
  <si>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</si>
  <si>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</si>
  <si>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</si>
  <si>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</si>
  <si>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</si>
  <si>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</si>
  <si>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</si>
  <si>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</si>
  <si>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</si>
  <si>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</si>
  <si>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</si>
  <si>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</si>
  <si>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</si>
  <si>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</si>
  <si>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</si>
  <si>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</si>
  <si>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</si>
  <si>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</si>
  <si>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</si>
  <si>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</si>
  <si>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</si>
  <si>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</si>
  <si>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</si>
  <si>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</si>
  <si>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</si>
  <si>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</si>
  <si>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</si>
  <si>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</si>
  <si>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</si>
  <si>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</si>
  <si>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</si>
  <si>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</si>
  <si>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</si>
  <si>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</si>
  <si>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</si>
  <si>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</si>
  <si>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</si>
  <si>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</si>
  <si>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</si>
  <si>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</si>
  <si>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</si>
  <si>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</si>
  <si>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</si>
  <si>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</si>
  <si>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</si>
  <si>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</si>
  <si>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</si>
  <si>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</si>
  <si>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</si>
  <si>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</si>
  <si>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</si>
  <si>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</si>
  <si>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</si>
  <si>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</si>
  <si>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</si>
  <si>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</si>
  <si>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</si>
  <si>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</si>
  <si>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</si>
  <si>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</si>
  <si>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</si>
  <si>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</si>
  <si>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</si>
  <si>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</si>
  <si>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</si>
  <si>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</si>
  <si>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</si>
  <si>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</si>
  <si>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</si>
  <si>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</si>
  <si>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</si>
  <si>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</si>
  <si>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</si>
  <si>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</si>
  <si>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</si>
  <si>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</si>
  <si>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</si>
  <si>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</si>
  <si>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</si>
  <si>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</si>
  <si>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</si>
  <si>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</si>
  <si>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</si>
  <si>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</si>
  <si>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</si>
  <si>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</si>
  <si>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</si>
  <si>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</si>
  <si>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</si>
  <si>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</si>
  <si>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</si>
  <si>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</si>
  <si>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</si>
  <si>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</si>
  <si>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</si>
  <si>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</si>
  <si>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</si>
  <si>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</si>
  <si>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</si>
  <si>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</si>
  <si>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</si>
  <si>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</si>
  <si>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</si>
  <si>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</si>
  <si>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</si>
  <si>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</si>
  <si>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</si>
  <si>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</si>
  <si>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</si>
  <si>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</si>
  <si>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</si>
  <si>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</si>
  <si>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</si>
  <si>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</si>
  <si>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</si>
  <si>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</si>
  <si>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</si>
  <si>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</si>
  <si>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</si>
  <si>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</si>
  <si>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</si>
  <si>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</si>
  <si>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</si>
  <si>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</si>
  <si>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</si>
  <si>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</si>
  <si>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</si>
  <si>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</si>
  <si>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</si>
  <si>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</si>
  <si>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</si>
  <si>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</si>
  <si>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</si>
  <si>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</si>
  <si>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</si>
  <si>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</si>
  <si>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</si>
  <si>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</si>
  <si>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</si>
  <si>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</si>
  <si>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</si>
  <si>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</si>
  <si>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</si>
  <si>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</si>
  <si>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</si>
  <si>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</si>
  <si>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</si>
  <si>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</si>
  <si>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</si>
  <si>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</si>
  <si>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</si>
  <si>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</si>
  <si>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</si>
  <si>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</si>
  <si>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</si>
  <si>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</si>
  <si>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</si>
  <si>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</si>
  <si>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</si>
  <si>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</si>
  <si>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</si>
  <si>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</si>
  <si>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</si>
  <si>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</si>
  <si>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</si>
  <si>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</si>
  <si>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</si>
  <si>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</si>
  <si>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</si>
  <si>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</si>
  <si>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</si>
  <si>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</si>
  <si>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</si>
  <si>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</si>
  <si>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</si>
  <si>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</si>
  <si>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</si>
  <si>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</si>
  <si>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</si>
  <si>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</si>
  <si>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</si>
  <si>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</si>
  <si>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</si>
  <si>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</si>
  <si>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</si>
  <si>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</si>
  <si>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</si>
  <si>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</si>
  <si>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</si>
  <si>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</si>
  <si>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</si>
  <si>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</si>
  <si>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</si>
  <si>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</si>
  <si>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</si>
  <si>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</si>
  <si>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</si>
  <si>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</si>
  <si>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</si>
  <si>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</si>
  <si>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</si>
  <si>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</si>
  <si>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</si>
  <si>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</si>
  <si>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</si>
  <si>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</si>
  <si>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</si>
  <si>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</si>
  <si>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</si>
  <si>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</si>
  <si>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</si>
  <si>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</si>
  <si>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</si>
  <si>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</si>
  <si>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</si>
  <si>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</si>
  <si>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</si>
  <si>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</si>
  <si>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</si>
  <si>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</si>
  <si>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</si>
  <si>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</si>
  <si>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</si>
  <si>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</si>
  <si>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</si>
  <si>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</si>
  <si>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</si>
  <si>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</si>
  <si>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</si>
  <si>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</si>
  <si>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</si>
  <si>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</si>
  <si>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</si>
  <si>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</si>
  <si>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</si>
  <si>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</si>
  <si>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</si>
  <si>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</si>
  <si>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</si>
  <si>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</si>
  <si>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</si>
  <si>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</si>
  <si>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</si>
  <si>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</si>
  <si>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</si>
  <si>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</si>
  <si>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</si>
  <si>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</si>
  <si>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</si>
  <si>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</si>
  <si>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</si>
  <si>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</si>
  <si>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</si>
  <si>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</si>
  <si>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</si>
  <si>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</si>
  <si>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</si>
  <si>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</si>
  <si>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</si>
  <si>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</si>
  <si>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</si>
  <si>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</si>
  <si>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</si>
  <si>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</si>
  <si>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</si>
  <si>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</si>
  <si>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</si>
  <si>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</si>
  <si>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</si>
  <si>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</si>
  <si>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</si>
  <si>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</si>
  <si>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</si>
  <si>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</si>
  <si>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</si>
  <si>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</si>
  <si>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</si>
  <si>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</si>
  <si>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</si>
  <si>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</si>
  <si>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</si>
  <si>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</si>
  <si>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</si>
  <si>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</si>
  <si>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</si>
  <si>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</si>
  <si>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</si>
  <si>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</si>
  <si>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</si>
  <si>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</si>
  <si>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</si>
  <si>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</si>
  <si>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</si>
  <si>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</si>
  <si>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</si>
  <si>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</si>
  <si>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</si>
  <si>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</si>
  <si>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</si>
  <si>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</si>
  <si>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</si>
  <si>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</si>
  <si>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</si>
  <si>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</si>
  <si>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</si>
  <si>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</si>
  <si>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</si>
  <si>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</si>
  <si>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</si>
  <si>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</si>
  <si>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</si>
  <si>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</si>
  <si>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</si>
  <si>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</si>
  <si>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</si>
  <si>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</si>
  <si>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</si>
  <si>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</si>
  <si>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</si>
  <si>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</si>
  <si>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</si>
  <si>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</si>
  <si>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</si>
  <si>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</si>
  <si>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</si>
  <si>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</si>
  <si>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</si>
  <si>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</si>
  <si>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</si>
  <si>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</si>
  <si>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</si>
  <si>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</si>
  <si>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</si>
  <si>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</si>
  <si>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</si>
  <si>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</si>
  <si>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</si>
  <si>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</si>
  <si>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</si>
  <si>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</si>
  <si>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</si>
  <si>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</si>
  <si>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</si>
  <si>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</si>
  <si>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</si>
  <si>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</si>
  <si>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</si>
  <si>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</si>
  <si>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</si>
  <si>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</si>
  <si>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</si>
  <si>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</si>
  <si>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</si>
  <si>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</si>
  <si>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</si>
  <si>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</si>
  <si>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</si>
  <si>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</si>
  <si>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</si>
  <si>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</si>
  <si>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</si>
  <si>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</si>
  <si>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</si>
  <si>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</si>
  <si>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</si>
  <si>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</si>
  <si>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</si>
  <si>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</si>
  <si>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</si>
  <si>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</si>
  <si>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</si>
  <si>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</si>
  <si>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</si>
  <si>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</si>
  <si>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</si>
  <si>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</si>
  <si>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</si>
  <si>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</si>
  <si>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</si>
  <si>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</si>
  <si>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</si>
  <si>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</si>
  <si>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</si>
  <si>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</si>
  <si>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</si>
  <si>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</si>
  <si>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</si>
  <si>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</si>
  <si>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</si>
  <si>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</si>
  <si>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</si>
  <si>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</si>
  <si>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</si>
  <si>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</si>
  <si>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</si>
  <si>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</si>
  <si>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</si>
  <si>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</si>
  <si>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</si>
  <si>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</si>
  <si>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</si>
  <si>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</si>
  <si>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</si>
  <si>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</si>
  <si>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</si>
  <si>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</si>
  <si>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</si>
  <si>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</si>
  <si>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</si>
  <si>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</si>
  <si>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</si>
  <si>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</si>
  <si>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</si>
  <si>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</si>
  <si>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</si>
  <si>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</si>
  <si>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</si>
  <si>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</si>
  <si>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</si>
  <si>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</si>
  <si>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</si>
  <si>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</si>
  <si>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</si>
  <si>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</si>
  <si>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</si>
  <si>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</si>
  <si>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</si>
  <si>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</si>
  <si>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</si>
  <si>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</si>
  <si>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</si>
  <si>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</si>
  <si>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</si>
  <si>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</si>
  <si>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</si>
  <si>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</si>
  <si>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</si>
  <si>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</si>
  <si>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</si>
  <si>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</si>
  <si>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</si>
  <si>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</si>
  <si>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</si>
  <si>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</si>
  <si>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</si>
  <si>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</si>
  <si>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</si>
  <si>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</si>
  <si>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</si>
  <si>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</si>
  <si>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</si>
  <si>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</si>
  <si>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</si>
  <si>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</si>
  <si>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</si>
  <si>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</si>
  <si>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</si>
  <si>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</si>
  <si>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</si>
  <si>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</si>
  <si>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</si>
  <si>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</si>
  <si>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</si>
  <si>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</si>
  <si>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</si>
  <si>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</si>
  <si>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</si>
  <si>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</si>
  <si>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</si>
  <si>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</si>
  <si>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</si>
  <si>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</si>
  <si>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</si>
  <si>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</si>
  <si>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</si>
  <si>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</si>
  <si>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</si>
  <si>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</si>
  <si>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</si>
  <si>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</si>
  <si>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</si>
  <si>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</si>
  <si>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</si>
  <si>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</si>
  <si>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</si>
  <si>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</si>
  <si>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</si>
  <si>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</si>
  <si>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</si>
  <si>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</si>
  <si>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</si>
  <si>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</si>
  <si>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</si>
  <si>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</si>
  <si>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</si>
  <si>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</si>
  <si>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</si>
  <si>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</si>
  <si>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</si>
  <si>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</si>
  <si>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</si>
  <si>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</si>
  <si>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</si>
  <si>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</si>
  <si>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</si>
  <si>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</si>
  <si>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</si>
  <si>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</si>
  <si>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</si>
  <si>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</si>
  <si>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</si>
  <si>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</si>
  <si>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</si>
  <si>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</si>
  <si>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</si>
  <si>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</si>
  <si>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</si>
  <si>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</si>
  <si>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</si>
  <si>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</si>
  <si>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</si>
  <si>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</si>
  <si>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</si>
  <si>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</si>
  <si>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</si>
  <si>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</si>
  <si>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</si>
  <si>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</si>
  <si>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</si>
  <si>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</si>
  <si>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</si>
  <si>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</si>
  <si>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</si>
  <si>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</si>
  <si>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</si>
  <si>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</si>
  <si>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</si>
  <si>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</si>
  <si>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</si>
  <si>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</si>
  <si>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</si>
  <si>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</si>
  <si>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</si>
  <si>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</si>
  <si>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</si>
  <si>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</si>
  <si>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</si>
  <si>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</si>
  <si>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</si>
  <si>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</si>
  <si>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</si>
  <si>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</si>
  <si>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</si>
  <si>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</si>
  <si>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</si>
  <si>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</si>
  <si>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GDA.api.risk-intel</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</si>
  <si>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</si>
  <si>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</si>
  <si>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</si>
  <si>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</si>
  <si>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</si>
  <si>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</si>
  <si>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</si>
  <si>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</si>
  <si>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</si>
  <si>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</si>
  <si>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</si>
  <si>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</si>
  <si>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</si>
  <si>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</si>
  <si>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</si>
  <si>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</si>
  <si>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</si>
  <si>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</si>
  <si>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</si>
  <si>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</si>
  <si>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</si>
  <si>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</si>
  <si>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</si>
  <si>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</si>
  <si>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</si>
  <si>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</si>
  <si>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</si>
  <si>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GDA.sched.opp-refresh</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</si>
  <si>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</si>
  <si>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</si>
  <si>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</si>
  <si>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</si>
  <si>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</si>
  <si>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</si>
  <si>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</si>
  <si>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</si>
  <si>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</si>
  <si>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</si>
  <si>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</si>
  <si>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</si>
  <si>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</si>
  <si>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</si>
  <si>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</si>
  <si>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</si>
  <si>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</si>
  <si>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</si>
  <si>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</si>
  <si>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</si>
  <si>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</si>
  <si>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</si>
  <si>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</si>
  <si>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</si>
  <si>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</si>
  <si>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</si>
  <si>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</si>
  <si>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</si>
  <si>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</si>
  <si>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</si>
  <si>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</si>
  <si>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</si>
  <si>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</si>
  <si>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</si>
  <si>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</si>
  <si>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</si>
  <si>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</si>
  <si>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</si>
  <si>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</si>
  <si>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</si>
  <si>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</si>
  <si>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</si>
  <si>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</si>
  <si>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</si>
  <si>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</si>
  <si>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</si>
  <si>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</si>
  <si>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</si>
  <si>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</si>
  <si>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</si>
  <si>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</si>
  <si>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</si>
  <si>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</si>
  <si>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</si>
  <si>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</si>
  <si>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</si>
  <si>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</si>
  <si>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</si>
  <si>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</si>
  <si>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</si>
  <si>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</si>
  <si>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</si>
  <si>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</si>
  <si>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</si>
  <si>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</si>
  <si>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</si>
  <si>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</si>
  <si>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</si>
  <si>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</si>
  <si>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</si>
  <si>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</si>
  <si>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</si>
  <si>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</si>
  <si>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</si>
  <si>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</si>
  <si>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</si>
  <si>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</si>
  <si>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</si>
  <si>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</si>
  <si>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</si>
  <si>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</si>
  <si>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</si>
  <si>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</si>
  <si>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</si>
  <si>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</si>
  <si>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</si>
  <si>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</si>
  <si>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</si>
  <si>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</si>
  <si>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</si>
  <si>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</si>
  <si>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</si>
  <si>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</si>
  <si>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</si>
  <si>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</si>
  <si>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</si>
  <si>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</si>
  <si>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</si>
  <si>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</si>
  <si>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</si>
  <si>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</si>
  <si>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</si>
  <si>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</si>
  <si>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</si>
  <si>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</si>
  <si>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</si>
  <si>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</si>
  <si>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</si>
  <si>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</si>
  <si>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</si>
  <si>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</si>
  <si>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</si>
  <si>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</si>
  <si>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</si>
  <si>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</si>
  <si>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</si>
  <si>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</si>
  <si>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</si>
  <si>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</si>
  <si>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</si>
  <si>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</si>
  <si>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</si>
  <si>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</si>
  <si>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</si>
  <si>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</si>
  <si>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</si>
  <si>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</si>
  <si>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</si>
  <si>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</si>
  <si>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</si>
  <si>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</si>
  <si>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</si>
  <si>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</si>
  <si>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</si>
  <si>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</si>
  <si>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</si>
  <si>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</si>
  <si>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</si>
  <si>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</si>
  <si>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</si>
  <si>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</si>
  <si>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</si>
  <si>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</si>
  <si>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</si>
  <si>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</si>
  <si>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</si>
  <si>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</si>
  <si>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</si>
  <si>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</si>
  <si>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</si>
  <si>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</si>
  <si>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</si>
  <si>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</si>
  <si>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</si>
  <si>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</si>
  <si>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</si>
  <si>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</si>
  <si>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</si>
  <si>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</si>
  <si>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</si>
  <si>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</si>
  <si>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</si>
  <si>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</si>
  <si>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</si>
  <si>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</si>
  <si>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</si>
  <si>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</si>
  <si>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</si>
  <si>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</si>
  <si>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AI Agent</t>
  </si>
  <si>
    <t>R-6</t>
  </si>
  <si>
    <t>API Access Blocked</t>
  </si>
  <si>
    <t>Technical</t>
  </si>
  <si>
    <t>2026-03-20</t>
  </si>
  <si>
    <t>R-7</t>
  </si>
  <si>
    <t>Recompete Resource Strain</t>
  </si>
  <si>
    <t>R-8</t>
  </si>
  <si>
    <t>Credential Exposure</t>
  </si>
  <si>
    <t>Security</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</si>
  <si>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</si>
  <si>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</si>
  <si>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</si>
  <si>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</si>
  <si>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</si>
  <si>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</si>
  <si>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</si>
  <si>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</si>
  <si>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</si>
  <si>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</si>
  <si>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</si>
  <si>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</si>
  <si>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</si>
  <si>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</si>
  <si>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</si>
  <si>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</si>
  <si>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</si>
  <si>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</si>
  <si>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</si>
  <si>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</si>
  <si>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</si>
  <si>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</si>
  <si>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</si>
  <si>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</si>
  <si>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</si>
  <si>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</si>
  <si>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</si>
  <si>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</si>
  <si>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</si>
  <si>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</si>
  <si>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</si>
  <si>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</si>
  <si>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</si>
  <si>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</si>
  <si>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</si>
  <si>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</si>
  <si>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</si>
  <si>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</si>
  <si>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</si>
  <si>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</si>
  <si>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</si>
  <si>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</si>
  <si>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</si>
  <si>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</si>
  <si>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</si>
  <si>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</si>
  <si>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</si>
  <si>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12</t>
  </si>
  <si>
    <t>13</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</si>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</sst>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50">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s>
  <fills count="60">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s>
  <borders count="33">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s>
  <cellStyleXfs count="1">
    <xf numFmtId="0" fontId="0" fillId="0" borderId="0"/>
  </cellStyleXfs>
  <cellXfs count="444">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4" fillId="57" borderId="0" xfId="0" applyFont="1" applyFill="1"/>
    <xf numFmtId="0" fontId="0" fillId="0" borderId="0" xfId="0"/>
    <xf numFmtId="0" fontId="143" fillId="56" borderId="0" xfId="0" applyFont="1" applyFill="1" applyAlignment="1">
      <alignment horizontal="center"/>
    </xf>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2E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2E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2E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2E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2E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2E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2F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0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1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2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2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2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2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2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tabSelected="1" workbookViewId="0">
      <selection sqref="A1:B1"/>
    </sheetView>
  </sheetViews>
  <sheetFormatPr defaultRowHeight="15"/>
  <cols>
    <col min="1" max="1" width="35" customWidth="1"/>
    <col min="2" max="2" width="90" customWidth="1"/>
  </cols>
  <sheetData>
    <row r="1" spans="1:2" ht="18">
      <c r="A1" s="419" t="s">
        <v>0</v>
      </c>
      <c r="B1" s="418"/>
    </row>
    <row r="3" spans="1:2" ht="15.75">
      <c r="A3" s="417" t="s">
        <v>1</v>
      </c>
      <c r="B3" s="418"/>
    </row>
    <row r="4" spans="1:2">
      <c r="A4" s="408" t="s">
        <v>2</v>
      </c>
      <c r="B4" s="410" t="s">
        <v>3</v>
      </c>
    </row>
    <row r="5" spans="1:2">
      <c r="A5" s="408" t="s">
        <v>4</v>
      </c>
      <c r="B5" s="410" t="s">
        <v>5</v>
      </c>
    </row>
    <row r="6" spans="1:2">
      <c r="A6" s="408" t="s">
        <v>6</v>
      </c>
      <c r="B6" s="410" t="s">
        <v>7</v>
      </c>
    </row>
    <row r="7" spans="1:2">
      <c r="A7" s="408" t="s">
        <v>8</v>
      </c>
      <c r="B7" s="409" t="s">
        <v>9</v>
      </c>
    </row>
    <row r="8" spans="1:2">
      <c r="A8" s="408" t="s">
        <v>10</v>
      </c>
      <c r="B8" s="410" t="s">
        <v>11</v>
      </c>
    </row>
    <row r="9" spans="1:2">
      <c r="A9" s="408" t="s">
        <v>12</v>
      </c>
      <c r="B9" s="410" t="s">
        <v>13</v>
      </c>
    </row>
    <row r="11" spans="1:2" ht="15.75">
      <c r="A11" s="417" t="s">
        <v>14</v>
      </c>
      <c r="B11" s="418"/>
    </row>
    <row r="12" spans="1:2">
      <c r="A12" s="408" t="s">
        <v>15</v>
      </c>
      <c r="B12" s="410" t="s">
        <v>16</v>
      </c>
    </row>
    <row r="13" spans="1:2">
      <c r="A13" s="408" t="s">
        <v>17</v>
      </c>
      <c r="B13" s="410" t="s">
        <v>18</v>
      </c>
    </row>
    <row r="14" spans="1:2">
      <c r="A14" s="408" t="s">
        <v>19</v>
      </c>
      <c r="B14" s="410" t="s">
        <v>20</v>
      </c>
    </row>
    <row r="15" spans="1:2">
      <c r="A15" s="408" t="s">
        <v>21</v>
      </c>
      <c r="B15" s="410" t="s">
        <v>22</v>
      </c>
    </row>
    <row r="16" spans="1:2">
      <c r="A16" s="408" t="s">
        <v>23</v>
      </c>
      <c r="B16" s="410" t="s">
        <v>24</v>
      </c>
    </row>
    <row r="17" spans="1:2">
      <c r="A17" s="408" t="s">
        <v>25</v>
      </c>
      <c r="B17" s="410" t="s">
        <v>26</v>
      </c>
    </row>
    <row r="18" spans="1:2">
      <c r="A18" s="408" t="s">
        <v>27</v>
      </c>
      <c r="B18" s="410" t="s">
        <v>28</v>
      </c>
    </row>
    <row r="19" spans="1:2">
      <c r="A19" s="408" t="s">
        <v>29</v>
      </c>
      <c r="B19" s="410" t="s">
        <v>30</v>
      </c>
    </row>
    <row r="20" spans="1:2">
      <c r="A20" s="408" t="s">
        <v>31</v>
      </c>
      <c r="B20" s="410" t="s">
        <v>32</v>
      </c>
    </row>
    <row r="22" spans="1:2" ht="15.75">
      <c r="A22" s="417" t="s">
        <v>33</v>
      </c>
      <c r="B22" s="418"/>
    </row>
    <row r="23" spans="1:2">
      <c r="A23" s="408" t="s">
        <v>34</v>
      </c>
      <c r="B23" s="410" t="s">
        <v>35</v>
      </c>
    </row>
    <row r="24" spans="1:2">
      <c r="A24" s="408" t="s">
        <v>36</v>
      </c>
      <c r="B24" s="410" t="s">
        <v>37</v>
      </c>
    </row>
    <row r="25" spans="1:2">
      <c r="A25" s="408" t="s">
        <v>38</v>
      </c>
      <c r="B25" s="410" t="s">
        <v>39</v>
      </c>
    </row>
    <row r="26" spans="1:2">
      <c r="A26" s="408" t="s">
        <v>40</v>
      </c>
      <c r="B26" s="410" t="s">
        <v>41</v>
      </c>
    </row>
    <row r="27" spans="1:2">
      <c r="A27" s="408" t="s">
        <v>42</v>
      </c>
      <c r="B27" s="410" t="s">
        <v>43</v>
      </c>
    </row>
    <row r="28" spans="1:2">
      <c r="A28" s="408" t="s">
        <v>44</v>
      </c>
      <c r="B28" s="410" t="s">
        <v>45</v>
      </c>
    </row>
    <row r="29" spans="1:2">
      <c r="A29" s="408" t="s">
        <v>46</v>
      </c>
      <c r="B29" s="409" t="s">
        <v>47</v>
      </c>
    </row>
    <row r="30" spans="1:2">
      <c r="A30" s="408" t="s">
        <v>48</v>
      </c>
      <c r="B30" s="410" t="s">
        <v>49</v>
      </c>
    </row>
    <row r="32" spans="1:2" ht="15.75">
      <c r="A32" s="417" t="s">
        <v>50</v>
      </c>
      <c r="B32" s="418"/>
    </row>
    <row r="33" spans="1:2">
      <c r="A33" s="408" t="s">
        <v>51</v>
      </c>
      <c r="B33" s="410" t="s">
        <v>52</v>
      </c>
    </row>
    <row r="34" spans="1:2">
      <c r="A34" s="408" t="s">
        <v>46</v>
      </c>
      <c r="B34" s="409" t="s">
        <v>53</v>
      </c>
    </row>
    <row r="35" spans="1:2" ht="26.25">
      <c r="A35" s="408" t="s">
        <v>54</v>
      </c>
      <c r="B35" s="410" t="s">
        <v>55</v>
      </c>
    </row>
    <row r="36" spans="1:2">
      <c r="A36" s="408" t="s">
        <v>56</v>
      </c>
      <c r="B36" s="410" t="s">
        <v>57</v>
      </c>
    </row>
    <row r="37" spans="1:2">
      <c r="A37" s="408" t="s">
        <v>58</v>
      </c>
      <c r="B37" s="410" t="s">
        <v>59</v>
      </c>
    </row>
    <row r="39" spans="1:2" ht="15.75">
      <c r="A39" s="417" t="s">
        <v>60</v>
      </c>
      <c r="B39" s="418"/>
    </row>
    <row r="40" spans="1:2">
      <c r="A40" s="408" t="s">
        <v>61</v>
      </c>
      <c r="B40" s="409" t="s">
        <v>62</v>
      </c>
    </row>
    <row r="41" spans="1:2">
      <c r="A41" s="408" t="s">
        <v>63</v>
      </c>
      <c r="B41" s="409" t="s">
        <v>64</v>
      </c>
    </row>
    <row r="42" spans="1:2" ht="26.25">
      <c r="A42" s="408" t="s">
        <v>65</v>
      </c>
      <c r="B42" s="410" t="s">
        <v>66</v>
      </c>
    </row>
    <row r="43" spans="1:2">
      <c r="A43" s="408" t="s">
        <v>67</v>
      </c>
      <c r="B43" s="410" t="s">
        <v>68</v>
      </c>
    </row>
    <row r="44" spans="1:2">
      <c r="A44" s="408" t="s">
        <v>69</v>
      </c>
      <c r="B44" s="409" t="s">
        <v>70</v>
      </c>
    </row>
    <row r="46" spans="1:2" ht="15.75">
      <c r="A46" s="417" t="s">
        <v>71</v>
      </c>
      <c r="B46" s="418"/>
    </row>
    <row r="47" spans="1:2">
      <c r="A47" s="408" t="s">
        <v>72</v>
      </c>
      <c r="B47" s="410" t="s">
        <v>73</v>
      </c>
    </row>
    <row r="48" spans="1:2">
      <c r="A48" s="408" t="s">
        <v>74</v>
      </c>
      <c r="B48" s="410" t="s">
        <v>75</v>
      </c>
    </row>
    <row r="49" spans="1:2">
      <c r="A49" s="408" t="s">
        <v>76</v>
      </c>
      <c r="B49" s="410" t="s">
        <v>77</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workbookViewId="0"/>
  </sheetViews>
  <sheetFormatPr defaultRowHeight="15"/>
  <cols>
    <col min="1" max="1" width="35" customWidth="1"/>
    <col min="2" max="2" width="90" customWidth="1"/>
  </cols>
  <sheetData>
    <row r="1" spans="1:2" ht="18">
      <c r="A1" s="419" t="s">
        <v>78</v>
      </c>
      <c r="B1" s="418"/>
    </row>
    <row r="3" spans="1:2" ht="15.75">
      <c r="A3" s="417" t="s">
        <v>79</v>
      </c>
      <c r="B3" s="418"/>
    </row>
    <row r="4" spans="1:2">
      <c r="A4" s="408" t="s">
        <v>80</v>
      </c>
      <c r="B4" s="410" t="s">
        <v>81</v>
      </c>
    </row>
    <row r="5" spans="1:2">
      <c r="A5" s="408" t="s">
        <v>82</v>
      </c>
      <c r="B5" s="410" t="s">
        <v>83</v>
      </c>
    </row>
    <row r="6" spans="1:2">
      <c r="A6" s="408" t="s">
        <v>84</v>
      </c>
      <c r="B6" s="410" t="s">
        <v>85</v>
      </c>
    </row>
    <row r="7" spans="1:2">
      <c r="A7" s="408" t="s">
        <v>86</v>
      </c>
      <c r="B7" s="410" t="s">
        <v>87</v>
      </c>
    </row>
    <row r="9" spans="1:2" ht="15.75">
      <c r="A9" s="417" t="s">
        <v>88</v>
      </c>
      <c r="B9" s="418"/>
    </row>
    <row r="10" spans="1:2">
      <c r="A10" s="408" t="s">
        <v>46</v>
      </c>
      <c r="B10" s="409" t="s">
        <v>89</v>
      </c>
    </row>
    <row r="11" spans="1:2">
      <c r="A11" s="408" t="s">
        <v>90</v>
      </c>
      <c r="B11" s="410" t="s">
        <v>91</v>
      </c>
    </row>
    <row r="12" spans="1:2">
      <c r="A12" s="408" t="s">
        <v>92</v>
      </c>
      <c r="B12" s="410" t="s">
        <v>93</v>
      </c>
    </row>
    <row r="13" spans="1:2">
      <c r="A13" s="408" t="s">
        <v>94</v>
      </c>
      <c r="B13" s="410" t="s">
        <v>95</v>
      </c>
    </row>
    <row r="14" spans="1:2">
      <c r="A14" s="408" t="s">
        <v>96</v>
      </c>
      <c r="B14" s="410" t="s">
        <v>97</v>
      </c>
    </row>
    <row r="16" spans="1:2">
      <c r="A16" s="408" t="s">
        <v>98</v>
      </c>
      <c r="B16" s="414" t="s">
        <v>99</v>
      </c>
    </row>
    <row r="17" spans="1:2">
      <c r="A17" s="408" t="s">
        <v>100</v>
      </c>
      <c r="B17" s="409" t="s">
        <v>101</v>
      </c>
    </row>
    <row r="19" spans="1:2" ht="26.25">
      <c r="A19" s="408" t="s">
        <v>102</v>
      </c>
      <c r="B19" s="410" t="s">
        <v>103</v>
      </c>
    </row>
    <row r="20" spans="1:2">
      <c r="A20" s="408" t="s">
        <v>104</v>
      </c>
      <c r="B20" s="410" t="s">
        <v>105</v>
      </c>
    </row>
    <row r="22" spans="1:2" ht="15.75">
      <c r="A22" s="417" t="s">
        <v>106</v>
      </c>
      <c r="B22" s="418"/>
    </row>
    <row r="23" spans="1:2">
      <c r="A23" s="408" t="s">
        <v>107</v>
      </c>
      <c r="B23" s="410" t="s">
        <v>108</v>
      </c>
    </row>
    <row r="24" spans="1:2">
      <c r="A24" s="408" t="s">
        <v>109</v>
      </c>
      <c r="B24" s="410" t="s">
        <v>110</v>
      </c>
    </row>
    <row r="25" spans="1:2">
      <c r="A25" s="408" t="s">
        <v>111</v>
      </c>
      <c r="B25" s="410" t="s">
        <v>112</v>
      </c>
    </row>
    <row r="26" spans="1:2">
      <c r="A26" s="408" t="s">
        <v>113</v>
      </c>
      <c r="B26" s="410" t="s">
        <v>114</v>
      </c>
    </row>
    <row r="27" spans="1:2">
      <c r="A27" s="408" t="s">
        <v>115</v>
      </c>
      <c r="B27" s="409" t="s">
        <v>116</v>
      </c>
    </row>
    <row r="29" spans="1:2" ht="15.75">
      <c r="A29" s="417" t="s">
        <v>117</v>
      </c>
      <c r="B29" s="418"/>
    </row>
    <row r="30" spans="1:2">
      <c r="A30" s="408" t="s">
        <v>118</v>
      </c>
      <c r="B30" s="409" t="s">
        <v>119</v>
      </c>
    </row>
    <row r="31" spans="1:2">
      <c r="A31" s="408" t="s">
        <v>120</v>
      </c>
      <c r="B31" s="410" t="s">
        <v>121</v>
      </c>
    </row>
    <row r="32" spans="1:2">
      <c r="A32" s="408" t="s">
        <v>122</v>
      </c>
      <c r="B32" s="410" t="s">
        <v>123</v>
      </c>
    </row>
    <row r="33" spans="1:2">
      <c r="A33" s="408" t="s">
        <v>124</v>
      </c>
      <c r="B33" s="409" t="s">
        <v>125</v>
      </c>
    </row>
    <row r="35" spans="1:2" ht="15.75">
      <c r="A35" s="417" t="s">
        <v>126</v>
      </c>
      <c r="B35" s="418"/>
    </row>
    <row r="36" spans="1:2">
      <c r="A36" s="408" t="s">
        <v>127</v>
      </c>
      <c r="B36" s="410" t="s">
        <v>128</v>
      </c>
    </row>
    <row r="37" spans="1:2">
      <c r="A37" s="408" t="s">
        <v>129</v>
      </c>
      <c r="B37" s="410" t="s">
        <v>130</v>
      </c>
    </row>
    <row r="38" spans="1:2">
      <c r="A38" s="408" t="s">
        <v>131</v>
      </c>
      <c r="B38" s="410" t="s">
        <v>132</v>
      </c>
    </row>
    <row r="39" spans="1:2">
      <c r="A39" s="408" t="s">
        <v>133</v>
      </c>
      <c r="B39" s="410" t="s">
        <v>134</v>
      </c>
    </row>
    <row r="41" spans="1:2" ht="15.75">
      <c r="A41" s="417" t="s">
        <v>135</v>
      </c>
      <c r="B41" s="418"/>
    </row>
    <row r="42" spans="1:2">
      <c r="A42" s="408" t="s">
        <v>136</v>
      </c>
      <c r="B42" s="410" t="s">
        <v>137</v>
      </c>
    </row>
    <row r="43" spans="1:2">
      <c r="A43" s="408" t="s">
        <v>138</v>
      </c>
      <c r="B43" s="410" t="s">
        <v>139</v>
      </c>
    </row>
    <row r="44" spans="1:2" ht="26.25">
      <c r="A44" s="408" t="s">
        <v>140</v>
      </c>
      <c r="B44" s="410" t="s">
        <v>141</v>
      </c>
    </row>
    <row r="46" spans="1:2" ht="15.75">
      <c r="A46" s="417" t="s">
        <v>142</v>
      </c>
      <c r="B46" s="418"/>
    </row>
    <row r="47" spans="1:2">
      <c r="A47" s="408" t="s">
        <v>143</v>
      </c>
      <c r="B47" s="410" t="s">
        <v>144</v>
      </c>
    </row>
    <row r="48" spans="1:2">
      <c r="A48" s="408" t="s">
        <v>145</v>
      </c>
      <c r="B48" s="410" t="s">
        <v>146</v>
      </c>
    </row>
    <row r="49" spans="1:2">
      <c r="A49" s="408" t="s">
        <v>147</v>
      </c>
      <c r="B49" s="410" t="s">
        <v>148</v>
      </c>
    </row>
    <row r="50" spans="1:2">
      <c r="A50" s="408" t="s">
        <v>149</v>
      </c>
      <c r="B50" s="410" t="s">
        <v>150</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sheetViews>
  <sheetFormatPr defaultRowHeight="15"/>
  <cols>
    <col min="1" max="2" width="30" customWidth="1"/>
    <col min="3" max="3" width="20" customWidth="1"/>
    <col min="4" max="4" width="50" customWidth="1"/>
  </cols>
  <sheetData>
    <row r="1" spans="1:4" ht="18">
      <c r="A1" s="419" t="s">
        <v>151</v>
      </c>
      <c r="B1" s="418"/>
    </row>
    <row r="3" spans="1:4" ht="15.75">
      <c r="A3" s="417" t="s">
        <v>152</v>
      </c>
      <c r="B3" s="418"/>
    </row>
    <row r="4" spans="1:4" ht="51.75">
      <c r="A4" s="408" t="s">
        <v>153</v>
      </c>
      <c r="B4" s="409" t="s">
        <v>154</v>
      </c>
    </row>
    <row r="6" spans="1:4">
      <c r="A6" s="408" t="s">
        <v>155</v>
      </c>
      <c r="B6" s="408" t="s">
        <v>156</v>
      </c>
      <c r="C6" s="408" t="s">
        <v>157</v>
      </c>
    </row>
    <row r="7" spans="1:4" ht="90">
      <c r="A7" s="342" t="s">
        <v>158</v>
      </c>
      <c r="B7" s="342" t="s">
        <v>159</v>
      </c>
      <c r="C7" s="410" t="s">
        <v>160</v>
      </c>
    </row>
    <row r="8" spans="1:4" ht="51.75">
      <c r="A8" s="342" t="s">
        <v>161</v>
      </c>
      <c r="B8" s="342" t="s">
        <v>162</v>
      </c>
      <c r="C8" s="410" t="s">
        <v>163</v>
      </c>
    </row>
    <row r="9" spans="1:4" ht="64.5">
      <c r="A9" s="342" t="s">
        <v>164</v>
      </c>
      <c r="B9" s="342" t="s">
        <v>165</v>
      </c>
      <c r="C9" s="410" t="s">
        <v>166</v>
      </c>
    </row>
    <row r="10" spans="1:4" ht="64.5">
      <c r="A10" s="342" t="s">
        <v>167</v>
      </c>
      <c r="B10" s="342" t="s">
        <v>168</v>
      </c>
      <c r="C10" s="410" t="s">
        <v>169</v>
      </c>
    </row>
    <row r="11" spans="1:4" ht="26.25">
      <c r="A11" s="342" t="s">
        <v>170</v>
      </c>
      <c r="B11" s="342" t="s">
        <v>171</v>
      </c>
      <c r="C11" s="410" t="s">
        <v>172</v>
      </c>
    </row>
    <row r="12" spans="1:4" ht="26.25">
      <c r="A12" s="342" t="s">
        <v>173</v>
      </c>
      <c r="B12" s="342" t="s">
        <v>174</v>
      </c>
      <c r="C12" s="410" t="s">
        <v>175</v>
      </c>
    </row>
    <row r="14" spans="1:4" ht="15.75">
      <c r="A14" s="417" t="s">
        <v>176</v>
      </c>
      <c r="B14" s="418"/>
    </row>
    <row r="15" spans="1:4">
      <c r="A15" s="408" t="s">
        <v>155</v>
      </c>
      <c r="B15" s="408" t="s">
        <v>177</v>
      </c>
      <c r="C15" s="408" t="s">
        <v>178</v>
      </c>
      <c r="D15" s="408" t="s">
        <v>179</v>
      </c>
    </row>
    <row r="16" spans="1:4">
      <c r="A16" s="342" t="s">
        <v>164</v>
      </c>
      <c r="B16" s="415" t="s">
        <v>180</v>
      </c>
      <c r="C16" s="416" t="s">
        <v>181</v>
      </c>
      <c r="D16" s="342" t="s">
        <v>182</v>
      </c>
    </row>
    <row r="17" spans="1:4">
      <c r="A17" s="342" t="s">
        <v>164</v>
      </c>
      <c r="B17" s="415" t="s">
        <v>183</v>
      </c>
      <c r="C17" s="416" t="s">
        <v>184</v>
      </c>
      <c r="D17" s="342" t="s">
        <v>182</v>
      </c>
    </row>
    <row r="18" spans="1:4">
      <c r="A18" s="342" t="s">
        <v>164</v>
      </c>
      <c r="B18" s="415" t="s">
        <v>185</v>
      </c>
      <c r="C18" s="416" t="s">
        <v>186</v>
      </c>
      <c r="D18" s="342" t="s">
        <v>187</v>
      </c>
    </row>
    <row r="19" spans="1:4">
      <c r="A19" s="342" t="s">
        <v>167</v>
      </c>
      <c r="B19" s="415" t="s">
        <v>188</v>
      </c>
      <c r="C19" s="416" t="s">
        <v>189</v>
      </c>
      <c r="D19" s="342" t="s">
        <v>190</v>
      </c>
    </row>
    <row r="20" spans="1:4">
      <c r="A20" s="342" t="s">
        <v>167</v>
      </c>
      <c r="B20" s="415" t="s">
        <v>191</v>
      </c>
      <c r="C20" s="416" t="s">
        <v>192</v>
      </c>
      <c r="D20" s="342" t="s">
        <v>193</v>
      </c>
    </row>
    <row r="21" spans="1:4">
      <c r="A21" s="342" t="s">
        <v>158</v>
      </c>
      <c r="B21" s="415" t="s">
        <v>194</v>
      </c>
      <c r="C21" s="416" t="s">
        <v>195</v>
      </c>
      <c r="D21" s="342" t="s">
        <v>196</v>
      </c>
    </row>
  </sheetData>
  <mergeCells count="3">
    <mergeCell ref="A3:B3"/>
    <mergeCell ref="A14:B14"/>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workbookViewId="0"/>
  </sheetViews>
  <sheetFormatPr defaultRowHeight="15"/>
  <cols>
    <col min="1" max="1" width="35" customWidth="1"/>
    <col min="2" max="2" width="90" customWidth="1"/>
  </cols>
  <sheetData>
    <row r="1" spans="1:2" ht="18">
      <c r="A1" s="419" t="s">
        <v>197</v>
      </c>
      <c r="B1" s="418"/>
    </row>
    <row r="3" spans="1:2" ht="15.75">
      <c r="A3" s="417" t="s">
        <v>198</v>
      </c>
      <c r="B3" s="418"/>
    </row>
    <row r="4" spans="1:2" ht="26.25">
      <c r="A4" s="408" t="s">
        <v>199</v>
      </c>
      <c r="B4" s="409" t="s">
        <v>200</v>
      </c>
    </row>
    <row r="5" spans="1:2">
      <c r="A5" s="408" t="s">
        <v>201</v>
      </c>
      <c r="B5" s="409" t="s">
        <v>202</v>
      </c>
    </row>
    <row r="6" spans="1:2">
      <c r="A6" s="408" t="s">
        <v>203</v>
      </c>
      <c r="B6" s="410" t="s">
        <v>204</v>
      </c>
    </row>
    <row r="7" spans="1:2" ht="26.25">
      <c r="A7" s="408" t="s">
        <v>205</v>
      </c>
      <c r="B7" s="410" t="s">
        <v>206</v>
      </c>
    </row>
    <row r="8" spans="1:2">
      <c r="A8" s="408" t="s">
        <v>207</v>
      </c>
      <c r="B8" s="410" t="s">
        <v>208</v>
      </c>
    </row>
    <row r="10" spans="1:2" ht="15.75">
      <c r="A10" s="417" t="s">
        <v>209</v>
      </c>
      <c r="B10" s="418"/>
    </row>
    <row r="11" spans="1:2">
      <c r="A11" s="408" t="s">
        <v>210</v>
      </c>
      <c r="B11" s="410" t="s">
        <v>211</v>
      </c>
    </row>
    <row r="12" spans="1:2">
      <c r="A12" s="408" t="s">
        <v>212</v>
      </c>
      <c r="B12" s="410" t="s">
        <v>213</v>
      </c>
    </row>
    <row r="13" spans="1:2">
      <c r="A13" s="408" t="s">
        <v>214</v>
      </c>
      <c r="B13" s="410" t="s">
        <v>215</v>
      </c>
    </row>
    <row r="14" spans="1:2">
      <c r="A14" s="408" t="s">
        <v>216</v>
      </c>
      <c r="B14" s="410" t="s">
        <v>217</v>
      </c>
    </row>
    <row r="16" spans="1:2" ht="15.75">
      <c r="A16" s="417" t="s">
        <v>218</v>
      </c>
      <c r="B16" s="418"/>
    </row>
    <row r="17" spans="1:2" ht="26.25">
      <c r="A17" s="408" t="s">
        <v>219</v>
      </c>
      <c r="B17" s="409" t="s">
        <v>220</v>
      </c>
    </row>
    <row r="18" spans="1:2" ht="26.25">
      <c r="A18" s="408" t="s">
        <v>221</v>
      </c>
      <c r="B18" s="409" t="s">
        <v>222</v>
      </c>
    </row>
    <row r="19" spans="1:2" ht="26.25">
      <c r="A19" s="408" t="s">
        <v>223</v>
      </c>
      <c r="B19" s="409" t="s">
        <v>224</v>
      </c>
    </row>
    <row r="20" spans="1:2">
      <c r="A20" s="408" t="s">
        <v>225</v>
      </c>
      <c r="B20" s="409" t="s">
        <v>226</v>
      </c>
    </row>
    <row r="22" spans="1:2" ht="15.75">
      <c r="A22" s="417" t="s">
        <v>227</v>
      </c>
      <c r="B22" s="418"/>
    </row>
    <row r="23" spans="1:2">
      <c r="A23" s="408" t="s">
        <v>228</v>
      </c>
      <c r="B23" s="410" t="s">
        <v>229</v>
      </c>
    </row>
    <row r="24" spans="1:2">
      <c r="A24" s="408" t="s">
        <v>230</v>
      </c>
      <c r="B24" s="410" t="s">
        <v>231</v>
      </c>
    </row>
    <row r="25" spans="1:2">
      <c r="A25" s="408" t="s">
        <v>232</v>
      </c>
      <c r="B25" s="410" t="s">
        <v>233</v>
      </c>
    </row>
    <row r="26" spans="1:2">
      <c r="A26" s="408" t="s">
        <v>234</v>
      </c>
      <c r="B26" s="410" t="s">
        <v>235</v>
      </c>
    </row>
    <row r="27" spans="1:2">
      <c r="A27" s="408" t="s">
        <v>236</v>
      </c>
      <c r="B27" s="410" t="s">
        <v>237</v>
      </c>
    </row>
    <row r="28" spans="1:2">
      <c r="A28" s="408" t="s">
        <v>238</v>
      </c>
      <c r="B28" s="409" t="s">
        <v>239</v>
      </c>
    </row>
  </sheetData>
  <mergeCells count="5">
    <mergeCell ref="A16:B16"/>
    <mergeCell ref="A10:B10"/>
    <mergeCell ref="A1:B1"/>
    <mergeCell ref="A3:B3"/>
    <mergeCell ref="A22:B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
  <sheetViews>
    <sheetView workbookViewId="0"/>
  </sheetViews>
  <sheetFormatPr defaultRowHeight="15"/>
  <cols>
    <col min="1" max="1" width="35" customWidth="1"/>
    <col min="2" max="2" width="15" customWidth="1"/>
    <col min="3" max="3" width="60" customWidth="1"/>
  </cols>
  <sheetData>
    <row r="1" spans="1:3" ht="18">
      <c r="A1" s="419" t="s">
        <v>240</v>
      </c>
      <c r="B1" s="418"/>
    </row>
    <row r="3" spans="1:3" ht="15.75">
      <c r="A3" s="417" t="s">
        <v>241</v>
      </c>
      <c r="B3" s="418"/>
    </row>
    <row r="4" spans="1:3">
      <c r="A4" s="408" t="s">
        <v>242</v>
      </c>
      <c r="B4" s="408" t="s">
        <v>243</v>
      </c>
      <c r="C4" s="408" t="s">
        <v>244</v>
      </c>
    </row>
    <row r="5" spans="1:3">
      <c r="A5" s="342" t="s">
        <v>245</v>
      </c>
      <c r="B5" s="411" t="s">
        <v>246</v>
      </c>
      <c r="C5" s="342"/>
    </row>
    <row r="6" spans="1:3">
      <c r="A6" s="342" t="s">
        <v>247</v>
      </c>
      <c r="B6" s="411" t="s">
        <v>246</v>
      </c>
      <c r="C6" s="342"/>
    </row>
    <row r="7" spans="1:3">
      <c r="A7" s="342" t="s">
        <v>248</v>
      </c>
      <c r="B7" s="411" t="s">
        <v>246</v>
      </c>
      <c r="C7" s="342"/>
    </row>
    <row r="8" spans="1:3">
      <c r="A8" s="342" t="s">
        <v>249</v>
      </c>
      <c r="B8" s="411" t="s">
        <v>246</v>
      </c>
      <c r="C8" s="342"/>
    </row>
    <row r="9" spans="1:3">
      <c r="A9" s="342" t="s">
        <v>250</v>
      </c>
      <c r="B9" s="411" t="s">
        <v>246</v>
      </c>
      <c r="C9" s="342"/>
    </row>
    <row r="10" spans="1:3">
      <c r="A10" s="342" t="s">
        <v>251</v>
      </c>
      <c r="B10" s="412" t="s">
        <v>252</v>
      </c>
      <c r="C10" s="342" t="s">
        <v>253</v>
      </c>
    </row>
    <row r="11" spans="1:3">
      <c r="A11" s="342" t="s">
        <v>254</v>
      </c>
      <c r="B11" s="412" t="s">
        <v>252</v>
      </c>
      <c r="C11" s="342" t="s">
        <v>255</v>
      </c>
    </row>
    <row r="12" spans="1:3">
      <c r="A12" s="342" t="s">
        <v>256</v>
      </c>
      <c r="B12" s="413" t="s">
        <v>257</v>
      </c>
      <c r="C12" s="342" t="s">
        <v>258</v>
      </c>
    </row>
    <row r="13" spans="1:3">
      <c r="A13" s="342" t="s">
        <v>259</v>
      </c>
      <c r="B13" s="412" t="s">
        <v>252</v>
      </c>
      <c r="C13" s="342" t="s">
        <v>260</v>
      </c>
    </row>
    <row r="14" spans="1:3">
      <c r="A14" s="342" t="s">
        <v>261</v>
      </c>
      <c r="B14" s="412" t="s">
        <v>252</v>
      </c>
      <c r="C14" s="342" t="s">
        <v>262</v>
      </c>
    </row>
    <row r="16" spans="1:3" ht="15.75">
      <c r="A16" s="417" t="s">
        <v>263</v>
      </c>
      <c r="B16" s="418"/>
    </row>
    <row r="17" spans="1:3">
      <c r="A17" s="408" t="s">
        <v>242</v>
      </c>
      <c r="B17" s="408" t="s">
        <v>243</v>
      </c>
      <c r="C17" s="408" t="s">
        <v>244</v>
      </c>
    </row>
    <row r="18" spans="1:3">
      <c r="A18" s="342" t="s">
        <v>264</v>
      </c>
      <c r="B18" s="411" t="s">
        <v>246</v>
      </c>
      <c r="C18" s="342" t="s">
        <v>265</v>
      </c>
    </row>
    <row r="19" spans="1:3">
      <c r="A19" s="342" t="s">
        <v>266</v>
      </c>
      <c r="B19" s="411" t="s">
        <v>246</v>
      </c>
      <c r="C19" s="342" t="s">
        <v>267</v>
      </c>
    </row>
    <row r="20" spans="1:3">
      <c r="A20" s="342" t="s">
        <v>268</v>
      </c>
      <c r="B20" s="411" t="s">
        <v>246</v>
      </c>
      <c r="C20" s="342"/>
    </row>
    <row r="21" spans="1:3">
      <c r="A21" s="342" t="s">
        <v>269</v>
      </c>
      <c r="B21" s="411" t="s">
        <v>246</v>
      </c>
      <c r="C21" s="342"/>
    </row>
    <row r="22" spans="1:3">
      <c r="A22" s="342" t="s">
        <v>270</v>
      </c>
      <c r="B22" s="412" t="s">
        <v>252</v>
      </c>
      <c r="C22" s="342" t="s">
        <v>271</v>
      </c>
    </row>
    <row r="23" spans="1:3">
      <c r="A23" s="342" t="s">
        <v>272</v>
      </c>
      <c r="B23" s="413" t="s">
        <v>257</v>
      </c>
      <c r="C23" s="342" t="s">
        <v>273</v>
      </c>
    </row>
    <row r="25" spans="1:3" ht="15.75">
      <c r="A25" s="417" t="s">
        <v>274</v>
      </c>
      <c r="B25" s="418"/>
    </row>
    <row r="26" spans="1:3">
      <c r="A26" s="408" t="s">
        <v>242</v>
      </c>
      <c r="B26" s="408" t="s">
        <v>243</v>
      </c>
      <c r="C26" s="408" t="s">
        <v>244</v>
      </c>
    </row>
    <row r="27" spans="1:3">
      <c r="A27" s="342" t="s">
        <v>275</v>
      </c>
      <c r="B27" s="411" t="s">
        <v>246</v>
      </c>
      <c r="C27" s="342" t="s">
        <v>276</v>
      </c>
    </row>
    <row r="28" spans="1:3">
      <c r="A28" s="342" t="s">
        <v>277</v>
      </c>
      <c r="B28" s="411" t="s">
        <v>246</v>
      </c>
      <c r="C28" s="342" t="s">
        <v>278</v>
      </c>
    </row>
    <row r="29" spans="1:3">
      <c r="A29" s="342" t="s">
        <v>279</v>
      </c>
      <c r="B29" s="411" t="s">
        <v>246</v>
      </c>
      <c r="C29" s="342" t="s">
        <v>280</v>
      </c>
    </row>
    <row r="30" spans="1:3">
      <c r="A30" s="342" t="s">
        <v>281</v>
      </c>
      <c r="B30" s="413" t="s">
        <v>282</v>
      </c>
      <c r="C30" s="342" t="s">
        <v>283</v>
      </c>
    </row>
    <row r="32" spans="1:3" ht="15.75">
      <c r="A32" s="417" t="s">
        <v>284</v>
      </c>
      <c r="B32" s="418"/>
    </row>
    <row r="33" spans="1:3">
      <c r="A33" s="408" t="s">
        <v>285</v>
      </c>
      <c r="B33" s="408" t="s">
        <v>286</v>
      </c>
      <c r="C33" s="408" t="s">
        <v>287</v>
      </c>
    </row>
    <row r="34" spans="1:3" ht="26.25">
      <c r="A34" s="342" t="s">
        <v>288</v>
      </c>
      <c r="B34" s="408" t="s">
        <v>289</v>
      </c>
      <c r="C34" s="410" t="s">
        <v>290</v>
      </c>
    </row>
    <row r="35" spans="1:3" ht="39">
      <c r="A35" s="342" t="s">
        <v>291</v>
      </c>
      <c r="B35" s="408" t="s">
        <v>292</v>
      </c>
      <c r="C35" s="410" t="s">
        <v>293</v>
      </c>
    </row>
    <row r="36" spans="1:3" ht="26.25">
      <c r="A36" s="342" t="s">
        <v>294</v>
      </c>
      <c r="B36" s="408" t="s">
        <v>295</v>
      </c>
      <c r="C36" s="410" t="s">
        <v>296</v>
      </c>
    </row>
    <row r="37" spans="1:3" ht="26.25">
      <c r="A37" s="342" t="s">
        <v>297</v>
      </c>
      <c r="B37" s="408" t="s">
        <v>298</v>
      </c>
      <c r="C37" s="410" t="s">
        <v>299</v>
      </c>
    </row>
    <row r="38" spans="1:3">
      <c r="A38" s="342" t="s">
        <v>300</v>
      </c>
      <c r="B38" s="408" t="s">
        <v>301</v>
      </c>
      <c r="C38" s="410" t="s">
        <v>302</v>
      </c>
    </row>
  </sheetData>
  <mergeCells count="5">
    <mergeCell ref="A16:B16"/>
    <mergeCell ref="A25:B25"/>
    <mergeCell ref="A32:B32"/>
    <mergeCell ref="A1:B1"/>
    <mergeCell ref="A3:B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heetViews>
  <sheetFormatPr defaultRowHeight="15"/>
  <cols>
    <col min="1" max="1" width="5" customWidth="1"/>
    <col min="2" max="2" width="100" customWidth="1"/>
  </cols>
  <sheetData>
    <row r="1" spans="1:2" ht="18">
      <c r="A1" s="419" t="s">
        <v>303</v>
      </c>
      <c r="B1" s="418"/>
    </row>
    <row r="3" spans="1:2" ht="30" customHeight="1">
      <c r="A3" s="408" t="s">
        <v>288</v>
      </c>
      <c r="B3" s="410" t="s">
        <v>304</v>
      </c>
    </row>
    <row r="4" spans="1:2" ht="30" customHeight="1">
      <c r="A4" s="408" t="s">
        <v>291</v>
      </c>
      <c r="B4" s="410" t="s">
        <v>305</v>
      </c>
    </row>
    <row r="5" spans="1:2" ht="30" customHeight="1">
      <c r="A5" s="408" t="s">
        <v>294</v>
      </c>
      <c r="B5" s="410" t="s">
        <v>306</v>
      </c>
    </row>
    <row r="6" spans="1:2" ht="30" customHeight="1">
      <c r="A6" s="408" t="s">
        <v>297</v>
      </c>
      <c r="B6" s="410" t="s">
        <v>307</v>
      </c>
    </row>
    <row r="7" spans="1:2" ht="30" customHeight="1">
      <c r="A7" s="408" t="s">
        <v>300</v>
      </c>
      <c r="B7" s="410" t="s">
        <v>308</v>
      </c>
    </row>
    <row r="8" spans="1:2" ht="30" customHeight="1">
      <c r="A8" s="408" t="s">
        <v>309</v>
      </c>
      <c r="B8" s="410" t="s">
        <v>310</v>
      </c>
    </row>
    <row r="9" spans="1:2" ht="30" customHeight="1">
      <c r="A9" s="408" t="s">
        <v>311</v>
      </c>
      <c r="B9" s="410" t="s">
        <v>312</v>
      </c>
    </row>
    <row r="10" spans="1:2" ht="30" customHeight="1">
      <c r="A10" s="408" t="s">
        <v>313</v>
      </c>
      <c r="B10" s="410" t="s">
        <v>314</v>
      </c>
    </row>
    <row r="11" spans="1:2" ht="30" customHeight="1">
      <c r="A11" s="408" t="s">
        <v>315</v>
      </c>
      <c r="B11" s="410" t="s">
        <v>316</v>
      </c>
    </row>
    <row r="12" spans="1:2" ht="30" customHeight="1">
      <c r="A12" s="408" t="s">
        <v>317</v>
      </c>
      <c r="B12" s="410" t="s">
        <v>318</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59669"/>
  </sheetPr>
  <dimension ref="A1:C40"/>
  <sheetViews>
    <sheetView tabSelected="1" workbookViewId="0">
      <selection sqref="A1:B1"/>
    </sheetView>
  </sheetViews>
  <sheetFormatPr defaultRowHeight="15"/>
  <cols>
    <col min="1" max="1" width="28" customWidth="1"/>
    <col min="2" max="2" width="22" customWidth="1"/>
    <col min="3" max="3" width="80" customWidth="1"/>
  </cols>
  <sheetData>
    <row r="1" spans="1:3" ht="18" customHeight="1">
      <c r="A1" s="399" t="s">
        <v>319</v>
      </c>
    </row>
    <row r="2" spans="1:3">
      <c r="A2" s="400"/>
    </row>
    <row r="3" spans="1:3">
      <c r="A3" s="400" t="s">
        <v>320</v>
      </c>
      <c r="B3" s="400" t="s">
        <v>321</v>
      </c>
    </row>
    <row r="4" spans="1:3">
      <c r="A4" s="400" t="s">
        <v>322</v>
      </c>
      <c r="B4" s="400" t="s">
        <v>323</v>
      </c>
    </row>
    <row r="5" spans="1:3">
      <c r="A5" s="400" t="s">
        <v>324</v>
      </c>
      <c r="B5" s="400" t="s">
        <v>288</v>
      </c>
    </row>
    <row r="6" spans="1:3">
      <c r="A6" s="400" t="s">
        <v>325</v>
      </c>
      <c r="B6" s="400" t="s">
        <v>326</v>
      </c>
    </row>
    <row r="7" spans="1:3">
      <c r="A7" s="400"/>
    </row>
    <row r="8" spans="1:3">
      <c r="A8" s="401" t="s">
        <v>327</v>
      </c>
    </row>
    <row r="9" spans="1:3">
      <c r="A9" s="402" t="s">
        <v>286</v>
      </c>
      <c r="B9" s="402" t="s">
        <v>243</v>
      </c>
      <c r="C9" s="402" t="s">
        <v>328</v>
      </c>
    </row>
    <row r="10" spans="1:3">
      <c r="A10" s="400" t="s">
        <v>329</v>
      </c>
      <c r="B10" s="405" t="s">
        <v>330</v>
      </c>
      <c r="C10" s="400" t="s">
        <v>331</v>
      </c>
    </row>
    <row r="11" spans="1:3">
      <c r="A11" s="400" t="s">
        <v>145</v>
      </c>
      <c r="B11" s="405" t="s">
        <v>330</v>
      </c>
      <c r="C11" s="400" t="s">
        <v>332</v>
      </c>
    </row>
    <row r="12" spans="1:3">
      <c r="A12" s="400" t="s">
        <v>333</v>
      </c>
      <c r="B12" s="405" t="s">
        <v>334</v>
      </c>
      <c r="C12" s="400" t="s">
        <v>335</v>
      </c>
    </row>
    <row r="13" spans="1:3">
      <c r="A13" s="400" t="s">
        <v>336</v>
      </c>
      <c r="B13" s="405" t="s">
        <v>337</v>
      </c>
      <c r="C13" s="400" t="s">
        <v>338</v>
      </c>
    </row>
    <row r="14" spans="1:3">
      <c r="A14" s="400"/>
    </row>
    <row r="15" spans="1:3">
      <c r="A15" s="401" t="s">
        <v>339</v>
      </c>
    </row>
    <row r="16" spans="1:3">
      <c r="A16" s="402" t="s">
        <v>286</v>
      </c>
      <c r="B16" s="402" t="s">
        <v>243</v>
      </c>
      <c r="C16" s="402" t="s">
        <v>328</v>
      </c>
    </row>
    <row r="17" spans="1:3">
      <c r="A17" s="400" t="s">
        <v>340</v>
      </c>
      <c r="B17" s="405" t="s">
        <v>341</v>
      </c>
      <c r="C17" s="400" t="s">
        <v>342</v>
      </c>
    </row>
    <row r="18" spans="1:3">
      <c r="A18" s="400" t="s">
        <v>343</v>
      </c>
      <c r="B18" s="405" t="s">
        <v>341</v>
      </c>
      <c r="C18" s="400" t="s">
        <v>344</v>
      </c>
    </row>
    <row r="19" spans="1:3">
      <c r="A19" s="400" t="s">
        <v>345</v>
      </c>
      <c r="B19" s="405" t="s">
        <v>341</v>
      </c>
      <c r="C19" s="400" t="s">
        <v>346</v>
      </c>
    </row>
    <row r="20" spans="1:3">
      <c r="A20" s="400" t="s">
        <v>347</v>
      </c>
      <c r="B20" s="405" t="s">
        <v>348</v>
      </c>
      <c r="C20" s="400" t="s">
        <v>349</v>
      </c>
    </row>
    <row r="21" spans="1:3">
      <c r="A21" s="400" t="s">
        <v>350</v>
      </c>
      <c r="B21" s="405" t="s">
        <v>351</v>
      </c>
      <c r="C21" s="400" t="s">
        <v>352</v>
      </c>
    </row>
    <row r="22" spans="1:3">
      <c r="A22" s="400"/>
    </row>
    <row r="23" spans="1:3">
      <c r="A23" s="401" t="s">
        <v>353</v>
      </c>
    </row>
    <row r="24" spans="1:3">
      <c r="A24" s="402" t="s">
        <v>286</v>
      </c>
      <c r="B24" s="402" t="s">
        <v>243</v>
      </c>
      <c r="C24" s="402" t="s">
        <v>328</v>
      </c>
    </row>
    <row r="25" spans="1:3">
      <c r="A25" s="400" t="s">
        <v>354</v>
      </c>
      <c r="B25" s="405" t="s">
        <v>355</v>
      </c>
      <c r="C25" s="400" t="s">
        <v>356</v>
      </c>
    </row>
    <row r="26" spans="1:3">
      <c r="A26" s="400" t="s">
        <v>357</v>
      </c>
      <c r="B26" s="405" t="s">
        <v>358</v>
      </c>
      <c r="C26" s="400" t="s">
        <v>359</v>
      </c>
    </row>
    <row r="27" spans="1:3">
      <c r="A27" s="400" t="s">
        <v>360</v>
      </c>
      <c r="B27" s="405" t="s">
        <v>361</v>
      </c>
      <c r="C27" s="400" t="s">
        <v>362</v>
      </c>
    </row>
    <row r="28" spans="1:3">
      <c r="A28" s="400" t="s">
        <v>363</v>
      </c>
      <c r="B28" s="405" t="s">
        <v>351</v>
      </c>
      <c r="C28" s="400" t="s">
        <v>364</v>
      </c>
    </row>
    <row r="29" spans="1:3">
      <c r="A29" s="400"/>
    </row>
    <row r="30" spans="1:3">
      <c r="A30" s="401" t="s">
        <v>365</v>
      </c>
    </row>
    <row r="31" spans="1:3">
      <c r="A31" s="402" t="s">
        <v>286</v>
      </c>
      <c r="B31" s="402" t="s">
        <v>243</v>
      </c>
      <c r="C31" s="402" t="s">
        <v>328</v>
      </c>
    </row>
    <row r="32" spans="1:3">
      <c r="A32" s="400" t="s">
        <v>366</v>
      </c>
      <c r="B32" s="405" t="s">
        <v>367</v>
      </c>
      <c r="C32" s="400" t="s">
        <v>368</v>
      </c>
    </row>
    <row r="33" spans="1:3">
      <c r="A33" s="401"/>
    </row>
    <row r="34" spans="1:3">
      <c r="A34" s="402" t="s">
        <v>252</v>
      </c>
    </row>
    <row r="35" spans="1:3">
      <c r="A35" s="400" t="s">
        <v>286</v>
      </c>
      <c r="B35" s="400" t="s">
        <v>243</v>
      </c>
      <c r="C35" s="400" t="s">
        <v>328</v>
      </c>
    </row>
    <row r="36" spans="1:3">
      <c r="A36" s="400" t="s">
        <v>369</v>
      </c>
      <c r="B36" s="406" t="s">
        <v>370</v>
      </c>
      <c r="C36" s="400" t="s">
        <v>371</v>
      </c>
    </row>
    <row r="37" spans="1:3">
      <c r="A37" s="401"/>
    </row>
    <row r="38" spans="1:3">
      <c r="A38" s="402" t="s">
        <v>372</v>
      </c>
    </row>
    <row r="39" spans="1:3">
      <c r="A39" s="400" t="s">
        <v>286</v>
      </c>
      <c r="B39" s="400" t="s">
        <v>243</v>
      </c>
      <c r="C39" s="400" t="s">
        <v>328</v>
      </c>
    </row>
    <row r="40" spans="1:3">
      <c r="A40" s="400" t="s">
        <v>373</v>
      </c>
      <c r="B40" s="405" t="s">
        <v>374</v>
      </c>
      <c r="C40" s="400" t="s">
        <v>375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376</v>
      </c>
      <c r="B1" s="399"/>
      <c r="C1" s="399"/>
      <c r="D1" s="399"/>
      <c r="E1" s="399"/>
    </row>
    <row r="2" spans="1:5">
      <c r="A2" s="400"/>
    </row>
    <row r="3" spans="1:5">
      <c r="A3" s="400" t="s">
        <v>377</v>
      </c>
      <c r="B3" s="400" t="s">
        <v>378</v>
      </c>
    </row>
    <row r="4" spans="1:5">
      <c r="A4" s="400" t="s">
        <v>379</v>
      </c>
      <c r="B4" s="400" t="s">
        <v>380</v>
      </c>
    </row>
    <row r="5" spans="1:5">
      <c r="A5" s="400" t="s">
        <v>381</v>
      </c>
      <c r="B5" s="400" t="s">
        <v>382</v>
      </c>
    </row>
    <row r="6" spans="1:5">
      <c r="A6" s="400" t="s">
        <v>383</v>
      </c>
      <c r="B6" s="400" t="s">
        <v>384</v>
      </c>
    </row>
    <row r="7" spans="1:5">
      <c r="A7" s="400" t="s">
        <v>385</v>
      </c>
      <c r="B7" s="400" t="s">
        <v>386</v>
      </c>
    </row>
    <row r="8" spans="1:5">
      <c r="A8" s="400" t="s">
        <v>387</v>
      </c>
      <c r="B8" s="400" t="s">
        <v>388</v>
      </c>
    </row>
    <row r="9" spans="1:5">
      <c r="A9" s="400"/>
    </row>
    <row r="10" spans="1:5">
      <c r="A10" s="401" t="s">
        <v>389</v>
      </c>
    </row>
    <row r="11" spans="1:5">
      <c r="A11" s="402" t="s">
        <v>285</v>
      </c>
      <c r="B11" s="402" t="s">
        <v>390</v>
      </c>
      <c r="C11" s="402" t="s">
        <v>391</v>
      </c>
      <c r="D11" s="402" t="s">
        <v>392</v>
      </c>
      <c r="E11" s="402" t="s">
        <v>393</v>
      </c>
    </row>
    <row r="12" spans="1:5">
      <c r="A12" s="400" t="s">
        <v>288</v>
      </c>
      <c r="B12" s="400" t="s">
        <v>394</v>
      </c>
      <c r="C12" s="400" t="s">
        <v>395</v>
      </c>
      <c r="D12" s="400" t="s">
        <v>396</v>
      </c>
      <c r="E12" s="400" t="s">
        <v>397</v>
      </c>
    </row>
    <row r="13" spans="1:5">
      <c r="A13" s="400" t="s">
        <v>291</v>
      </c>
      <c r="B13" s="400" t="s">
        <v>398</v>
      </c>
      <c r="C13" s="400" t="s">
        <v>399</v>
      </c>
      <c r="D13" s="400" t="s">
        <v>400</v>
      </c>
      <c r="E13" s="403" t="s">
        <v>401</v>
      </c>
    </row>
    <row r="14" spans="1:5">
      <c r="A14" s="400" t="s">
        <v>294</v>
      </c>
      <c r="B14" s="400" t="s">
        <v>402</v>
      </c>
      <c r="C14" s="400" t="s">
        <v>403</v>
      </c>
      <c r="D14" s="400" t="s">
        <v>404</v>
      </c>
      <c r="E14" s="403" t="s">
        <v>401</v>
      </c>
    </row>
    <row r="15" spans="1:5">
      <c r="A15" s="400" t="s">
        <v>297</v>
      </c>
      <c r="B15" s="400" t="s">
        <v>405</v>
      </c>
      <c r="C15" s="400" t="s">
        <v>395</v>
      </c>
      <c r="D15" s="400" t="s">
        <v>406</v>
      </c>
      <c r="E15" s="403" t="s">
        <v>401</v>
      </c>
    </row>
    <row r="16" spans="1:5">
      <c r="A16" s="400" t="s">
        <v>300</v>
      </c>
      <c r="B16" s="400" t="s">
        <v>407</v>
      </c>
      <c r="C16" s="400" t="s">
        <v>395</v>
      </c>
      <c r="D16" s="400" t="s">
        <v>408</v>
      </c>
      <c r="E16" s="403" t="s">
        <v>401</v>
      </c>
    </row>
    <row r="17" spans="1:5">
      <c r="A17" s="400" t="s">
        <v>309</v>
      </c>
      <c r="B17" s="400" t="s">
        <v>409</v>
      </c>
      <c r="C17" s="400" t="s">
        <v>410</v>
      </c>
      <c r="D17" s="400" t="s">
        <v>411</v>
      </c>
      <c r="E17" s="403" t="s">
        <v>401</v>
      </c>
    </row>
    <row r="18" spans="1:5">
      <c r="A18" s="400" t="s">
        <v>311</v>
      </c>
      <c r="B18" s="400" t="s">
        <v>412</v>
      </c>
      <c r="C18" s="400" t="s">
        <v>395</v>
      </c>
      <c r="D18" s="400" t="s">
        <v>413</v>
      </c>
      <c r="E18" s="403" t="s">
        <v>414</v>
      </c>
    </row>
    <row r="19" spans="1:5">
      <c r="A19" s="400" t="s">
        <v>313</v>
      </c>
      <c r="B19" s="400" t="s">
        <v>415</v>
      </c>
      <c r="C19" s="400" t="s">
        <v>416</v>
      </c>
      <c r="D19" s="400" t="s">
        <v>417</v>
      </c>
      <c r="E19" s="400" t="s">
        <v>418</v>
      </c>
    </row>
    <row r="21" spans="1:5">
      <c r="A21" s="400"/>
    </row>
    <row r="22" spans="1:5">
      <c r="A22" s="401" t="s">
        <v>419</v>
      </c>
    </row>
    <row r="23" spans="1:5">
      <c r="A23" s="400" t="s">
        <v>236</v>
      </c>
      <c r="B23" s="400" t="s">
        <v>420</v>
      </c>
    </row>
    <row r="24" spans="1:5">
      <c r="A24" s="400" t="s">
        <v>210</v>
      </c>
      <c r="B24" s="400" t="s">
        <v>421</v>
      </c>
    </row>
    <row r="25" spans="1:5">
      <c r="A25" s="400" t="s">
        <v>422</v>
      </c>
      <c r="B25" s="400" t="s">
        <v>423</v>
      </c>
    </row>
    <row r="26" spans="1:5">
      <c r="A26" s="400" t="s">
        <v>424</v>
      </c>
      <c r="B26" s="400" t="s">
        <v>425</v>
      </c>
    </row>
    <row r="27" spans="1:5">
      <c r="A27" s="400" t="s">
        <v>426</v>
      </c>
      <c r="B27" s="400" t="s">
        <v>427</v>
      </c>
    </row>
    <row r="28" spans="1:5">
      <c r="A28" s="400" t="s">
        <v>320</v>
      </c>
      <c r="B28" s="400" t="s">
        <v>428</v>
      </c>
    </row>
    <row r="29" spans="1:5">
      <c r="A29" s="400" t="s">
        <v>322</v>
      </c>
      <c r="B29" s="400" t="s">
        <v>429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430</v>
      </c>
      <c r="B1" s="399"/>
      <c r="C1" s="399"/>
      <c r="D1" s="399"/>
      <c r="E1" s="399"/>
      <c r="F1" s="399"/>
    </row>
    <row r="2" spans="1:6">
      <c r="A2" s="400"/>
    </row>
    <row r="3" spans="1:6">
      <c r="A3" s="401" t="s">
        <v>46</v>
      </c>
    </row>
    <row r="4" spans="1:6">
      <c r="A4" s="402" t="s">
        <v>285</v>
      </c>
      <c r="B4" s="402" t="s">
        <v>431</v>
      </c>
      <c r="C4" s="402" t="s">
        <v>328</v>
      </c>
      <c r="D4" s="402" t="s">
        <v>432</v>
      </c>
      <c r="E4" s="402" t="s">
        <v>433</v>
      </c>
      <c r="F4" s="402" t="s">
        <v>434</v>
      </c>
    </row>
    <row r="5" spans="1:6">
      <c r="A5" s="400" t="s">
        <v>435</v>
      </c>
      <c r="B5" s="400" t="s">
        <v>436</v>
      </c>
      <c r="C5" s="400" t="s">
        <v>437</v>
      </c>
      <c r="D5" s="404" t="s">
        <v>46</v>
      </c>
      <c r="E5" s="400" t="s">
        <v>438</v>
      </c>
      <c r="F5" s="400" t="s">
        <v>439</v>
      </c>
    </row>
    <row r="6" spans="1:6">
      <c r="A6" s="400" t="s">
        <v>440</v>
      </c>
      <c r="B6" s="400" t="s">
        <v>441</v>
      </c>
      <c r="C6" s="400" t="s">
        <v>442</v>
      </c>
      <c r="D6" s="404" t="s">
        <v>46</v>
      </c>
      <c r="E6" s="400" t="s">
        <v>438</v>
      </c>
      <c r="F6" s="400" t="s">
        <v>439</v>
      </c>
    </row>
    <row r="7" spans="1:6">
      <c r="A7" s="400" t="s">
        <v>443</v>
      </c>
      <c r="B7" s="400" t="s">
        <v>444</v>
      </c>
      <c r="C7" s="400" t="s">
        <v>445</v>
      </c>
      <c r="D7" s="404" t="s">
        <v>46</v>
      </c>
      <c r="E7" s="400" t="s">
        <v>446</v>
      </c>
      <c r="F7" s="400" t="s">
        <v>439</v>
      </c>
    </row>
    <row r="8" spans="1:6">
      <c r="A8" s="400" t="s">
        <v>447</v>
      </c>
      <c r="B8" s="400" t="s">
        <v>448</v>
      </c>
      <c r="C8" s="400" t="s">
        <v>449</v>
      </c>
      <c r="D8" s="404" t="s">
        <v>46</v>
      </c>
      <c r="E8" s="400" t="s">
        <v>450</v>
      </c>
      <c r="F8" s="400" t="s">
        <v>439</v>
      </c>
    </row>
    <row r="9" spans="1:6">
      <c r="A9" s="400" t="s">
        <v>451</v>
      </c>
      <c r="B9" s="400" t="s">
        <v>452</v>
      </c>
      <c r="C9" s="400" t="s">
        <v>453</v>
      </c>
      <c r="D9" s="404" t="s">
        <v>46</v>
      </c>
      <c r="E9" s="400" t="s">
        <v>438</v>
      </c>
      <c r="F9" s="400" t="s">
        <v>454</v>
      </c>
    </row>
    <row r="10" spans="1:6">
      <c r="A10" s="400" t="s">
        <v>455</v>
      </c>
      <c r="B10" s="400" t="s">
        <v>456</v>
      </c>
      <c r="C10" s="400" t="s">
        <v>457</v>
      </c>
      <c r="D10" s="404" t="s">
        <v>46</v>
      </c>
      <c r="E10" s="400" t="s">
        <v>438</v>
      </c>
      <c r="F10" s="400" t="s">
        <v>458</v>
      </c>
    </row>
    <row r="11" spans="1:6">
      <c r="A11" s="400" t="s">
        <v>459</v>
      </c>
      <c r="B11" s="400" t="s">
        <v>460</v>
      </c>
      <c r="C11" s="400" t="s">
        <v>461</v>
      </c>
      <c r="D11" s="404" t="s">
        <v>46</v>
      </c>
      <c r="E11" s="400" t="s">
        <v>446</v>
      </c>
      <c r="F11" s="400" t="s">
        <v>439</v>
      </c>
    </row>
    <row r="12" spans="1:6">
      <c r="A12" s="400" t="s">
        <v>462</v>
      </c>
      <c r="B12" s="400" t="s">
        <v>463</v>
      </c>
      <c r="C12" s="400" t="s">
        <v>464</v>
      </c>
      <c r="D12" s="404" t="s">
        <v>46</v>
      </c>
      <c r="E12" s="400" t="s">
        <v>438</v>
      </c>
      <c r="F12" s="400" t="s">
        <v>465</v>
      </c>
    </row>
    <row r="13" spans="1:6">
      <c r="A13" s="400" t="s">
        <v>466</v>
      </c>
      <c r="B13" s="400" t="s">
        <v>467</v>
      </c>
      <c r="C13" s="400" t="s">
        <v>468</v>
      </c>
      <c r="D13" s="404" t="s">
        <v>46</v>
      </c>
      <c r="E13" s="400" t="s">
        <v>438</v>
      </c>
      <c r="F13" s="400" t="s">
        <v>469</v>
      </c>
    </row>
    <row r="14" spans="1:6">
      <c r="A14" s="400" t="s">
        <v>470</v>
      </c>
      <c r="B14" s="400" t="s">
        <v>471</v>
      </c>
      <c r="C14" s="400" t="s">
        <v>472</v>
      </c>
      <c r="D14" s="404" t="s">
        <v>46</v>
      </c>
      <c r="E14" s="400" t="s">
        <v>438</v>
      </c>
      <c r="F14" s="400" t="s">
        <v>473</v>
      </c>
    </row>
    <row r="15" spans="1:6">
      <c r="A15" s="400"/>
    </row>
    <row r="16" spans="1:6">
      <c r="A16" s="401" t="s">
        <v>474</v>
      </c>
    </row>
    <row r="17" spans="1:6">
      <c r="A17" s="402" t="s">
        <v>285</v>
      </c>
      <c r="B17" s="402" t="s">
        <v>431</v>
      </c>
      <c r="C17" s="402" t="s">
        <v>328</v>
      </c>
      <c r="D17" s="402" t="s">
        <v>432</v>
      </c>
      <c r="E17" s="402" t="s">
        <v>433</v>
      </c>
      <c r="F17" s="402" t="s">
        <v>434</v>
      </c>
    </row>
    <row r="18" spans="1:6">
      <c r="A18" s="400" t="s">
        <v>475</v>
      </c>
      <c r="B18" s="400" t="s">
        <v>476</v>
      </c>
      <c r="C18" s="400" t="s">
        <v>477</v>
      </c>
      <c r="D18" s="400" t="s">
        <v>474</v>
      </c>
      <c r="E18" s="400" t="s">
        <v>478</v>
      </c>
      <c r="F18" s="400" t="s">
        <v>479</v>
      </c>
    </row>
    <row r="19" spans="1:6">
      <c r="A19" s="400" t="s">
        <v>480</v>
      </c>
      <c r="B19" s="400" t="s">
        <v>481</v>
      </c>
      <c r="C19" s="400" t="s">
        <v>482</v>
      </c>
      <c r="D19" s="400" t="s">
        <v>474</v>
      </c>
      <c r="E19" s="400" t="s">
        <v>438</v>
      </c>
      <c r="F19" s="400" t="s">
        <v>439</v>
      </c>
    </row>
    <row r="20" spans="1:6">
      <c r="A20" s="400" t="s">
        <v>483</v>
      </c>
      <c r="B20" s="400" t="s">
        <v>484</v>
      </c>
      <c r="C20" s="400" t="s">
        <v>485</v>
      </c>
      <c r="D20" s="400" t="s">
        <v>474</v>
      </c>
      <c r="E20" s="400" t="s">
        <v>486</v>
      </c>
      <c r="F20" s="400" t="s">
        <v>487</v>
      </c>
    </row>
    <row r="21" spans="1:6">
      <c r="A21" s="400"/>
    </row>
    <row r="22" spans="1:6">
      <c r="A22" s="401" t="s">
        <v>488</v>
      </c>
    </row>
    <row r="23" spans="1:6">
      <c r="A23" s="402" t="s">
        <v>285</v>
      </c>
      <c r="B23" s="402" t="s">
        <v>431</v>
      </c>
      <c r="C23" s="402" t="s">
        <v>328</v>
      </c>
      <c r="D23" s="402" t="s">
        <v>432</v>
      </c>
      <c r="E23" s="402" t="s">
        <v>433</v>
      </c>
      <c r="F23" s="402" t="s">
        <v>434</v>
      </c>
    </row>
    <row r="24" spans="1:6">
      <c r="A24" s="400" t="s">
        <v>489</v>
      </c>
      <c r="B24" s="400" t="s">
        <v>490</v>
      </c>
      <c r="C24" s="400" t="s">
        <v>491</v>
      </c>
      <c r="D24" s="400" t="s">
        <v>492</v>
      </c>
      <c r="E24" s="400" t="s">
        <v>493</v>
      </c>
      <c r="F24" s="400" t="s">
        <v>494</v>
      </c>
    </row>
    <row r="25" spans="1:6">
      <c r="A25" s="400" t="s">
        <v>495</v>
      </c>
      <c r="B25" s="400" t="s">
        <v>496</v>
      </c>
      <c r="C25" s="400" t="s">
        <v>497</v>
      </c>
      <c r="D25" s="400" t="s">
        <v>492</v>
      </c>
      <c r="E25" s="400" t="s">
        <v>498</v>
      </c>
      <c r="F25" s="400" t="s">
        <v>499</v>
      </c>
    </row>
    <row r="26" spans="1:6">
      <c r="A26" s="400" t="s">
        <v>500</v>
      </c>
      <c r="B26" s="400" t="s">
        <v>501</v>
      </c>
      <c r="C26" s="400" t="s">
        <v>502</v>
      </c>
      <c r="D26" s="400" t="s">
        <v>492</v>
      </c>
      <c r="E26" s="400" t="s">
        <v>503</v>
      </c>
      <c r="F26" s="400" t="s">
        <v>504</v>
      </c>
    </row>
    <row r="28" spans="1:6">
      <c r="A28" s="400"/>
    </row>
    <row r="29" spans="1:6">
      <c r="A29" s="401" t="s">
        <v>505</v>
      </c>
    </row>
    <row r="30" spans="1:6">
      <c r="A30" s="402" t="s">
        <v>285</v>
      </c>
      <c r="B30" s="402" t="s">
        <v>431</v>
      </c>
      <c r="C30" s="402" t="s">
        <v>328</v>
      </c>
      <c r="D30" s="402" t="s">
        <v>432</v>
      </c>
      <c r="E30" s="402" t="s">
        <v>433</v>
      </c>
      <c r="F30" s="402" t="s">
        <v>434</v>
      </c>
    </row>
    <row r="31" spans="1:6">
      <c r="A31" s="400" t="s">
        <v>506</v>
      </c>
      <c r="B31" s="400" t="s">
        <v>507</v>
      </c>
      <c r="C31" s="400" t="s">
        <v>508</v>
      </c>
      <c r="D31" s="400" t="s">
        <v>46</v>
      </c>
      <c r="E31" s="400" t="s">
        <v>486</v>
      </c>
      <c r="F31" s="407" t="s">
        <v>509</v>
      </c>
    </row>
    <row r="32" spans="1:6">
      <c r="A32" s="400" t="s">
        <v>510</v>
      </c>
      <c r="B32" s="400" t="s">
        <v>511</v>
      </c>
      <c r="C32" s="400" t="s">
        <v>512</v>
      </c>
      <c r="D32" s="400" t="s">
        <v>46</v>
      </c>
      <c r="E32" s="400" t="s">
        <v>513</v>
      </c>
      <c r="F32" s="400" t="s">
        <v>439</v>
      </c>
    </row>
    <row r="33" spans="1:6">
      <c r="A33" s="400" t="s">
        <v>514</v>
      </c>
      <c r="B33" s="400" t="s">
        <v>515</v>
      </c>
      <c r="C33" s="400" t="s">
        <v>516</v>
      </c>
      <c r="D33" s="400" t="s">
        <v>474</v>
      </c>
      <c r="E33" s="400" t="s">
        <v>493</v>
      </c>
      <c r="F33" s="400" t="s">
        <v>439</v>
      </c>
    </row>
    <row r="34" spans="1:6">
      <c r="A34" s="400"/>
      <c r="B34" s="400"/>
      <c r="C34" s="400" t="s">
        <v>517</v>
      </c>
      <c r="D34" s="400"/>
      <c r="E34" s="400"/>
      <c r="F34" s="400"/>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4722C"/>
  </sheetPr>
  <dimension ref="A1:E34"/>
  <sheetViews>
    <sheetView tabSelected="1" workbookViewId="0">
      <selection sqref="A1:B1"/>
    </sheetView>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518</v>
      </c>
    </row>
    <row r="3" spans="1:5">
      <c r="A3" s="391" t="s">
        <v>320</v>
      </c>
      <c r="B3" s="391" t="s">
        <v>519</v>
      </c>
    </row>
    <row r="4" spans="1:5">
      <c r="A4" s="391" t="s">
        <v>322</v>
      </c>
      <c r="B4" s="391" t="s">
        <v>520</v>
      </c>
    </row>
    <row r="5" spans="1:5">
      <c r="A5" s="391" t="s">
        <v>324</v>
      </c>
      <c r="B5" s="391" t="s">
        <v>288</v>
      </c>
    </row>
    <row r="6" spans="1:5">
      <c r="A6" s="392" t="s">
        <v>325</v>
      </c>
      <c r="B6" s="392" t="s">
        <v>521</v>
      </c>
    </row>
    <row r="8" spans="1:5">
      <c r="A8" s="391" t="s">
        <v>355</v>
      </c>
      <c r="B8" s="391"/>
      <c r="C8" s="391"/>
      <c r="D8" s="391"/>
      <c r="E8" s="391"/>
    </row>
    <row r="9" spans="1:5">
      <c r="A9" s="393" t="s">
        <v>285</v>
      </c>
      <c r="B9" s="393" t="s">
        <v>431</v>
      </c>
      <c r="C9" s="393" t="s">
        <v>522</v>
      </c>
      <c r="D9" s="393" t="s">
        <v>322</v>
      </c>
      <c r="E9" s="393" t="s">
        <v>243</v>
      </c>
    </row>
    <row r="10" spans="1:5">
      <c r="A10" s="394" t="s">
        <v>523</v>
      </c>
      <c r="B10" s="394" t="s">
        <v>524</v>
      </c>
      <c r="C10" s="394" t="s">
        <v>525</v>
      </c>
      <c r="D10" s="394"/>
      <c r="E10" s="394" t="s">
        <v>526</v>
      </c>
    </row>
    <row r="11" spans="1:5">
      <c r="A11" s="394" t="s">
        <v>527</v>
      </c>
      <c r="B11" s="394" t="s">
        <v>528</v>
      </c>
      <c r="C11" s="394" t="s">
        <v>519</v>
      </c>
      <c r="D11" s="394" t="s">
        <v>529</v>
      </c>
      <c r="E11" s="394" t="s">
        <v>526</v>
      </c>
    </row>
    <row r="12" spans="1:5">
      <c r="A12" s="394" t="s">
        <v>530</v>
      </c>
      <c r="B12" s="394" t="s">
        <v>531</v>
      </c>
      <c r="C12" s="394" t="s">
        <v>532</v>
      </c>
      <c r="D12" s="394"/>
      <c r="E12" s="394" t="s">
        <v>526</v>
      </c>
    </row>
    <row r="14" spans="1:5">
      <c r="A14" s="391" t="s">
        <v>533</v>
      </c>
    </row>
    <row r="15" spans="1:5">
      <c r="A15" s="393" t="s">
        <v>534</v>
      </c>
      <c r="B15" s="393" t="s">
        <v>392</v>
      </c>
    </row>
    <row r="16" spans="1:5">
      <c r="A16" s="392" t="s">
        <v>535</v>
      </c>
      <c r="B16" s="392" t="s">
        <v>536</v>
      </c>
    </row>
    <row r="17" spans="1:4">
      <c r="A17" s="392" t="s">
        <v>537</v>
      </c>
      <c r="B17" s="392" t="s">
        <v>538</v>
      </c>
    </row>
    <row r="18" spans="1:4">
      <c r="A18" s="392" t="s">
        <v>539</v>
      </c>
      <c r="B18" s="392" t="s">
        <v>540</v>
      </c>
    </row>
    <row r="19" spans="1:4">
      <c r="A19" s="392" t="s">
        <v>541</v>
      </c>
      <c r="B19" s="392" t="s">
        <v>542</v>
      </c>
    </row>
    <row r="20" spans="1:4">
      <c r="A20" s="392" t="s">
        <v>543</v>
      </c>
      <c r="B20" s="392" t="s">
        <v>544</v>
      </c>
    </row>
    <row r="21" spans="1:4">
      <c r="A21" s="392" t="s">
        <v>545</v>
      </c>
      <c r="B21" s="392" t="s">
        <v>546</v>
      </c>
    </row>
    <row r="22" spans="1:4">
      <c r="A22" s="392" t="s">
        <v>547</v>
      </c>
      <c r="B22" s="392" t="s">
        <v>548</v>
      </c>
    </row>
    <row r="24" spans="1:4" ht="15.75" customHeight="1">
      <c r="A24" s="395" t="s">
        <v>549</v>
      </c>
    </row>
    <row r="25" spans="1:4">
      <c r="A25" s="393" t="s">
        <v>285</v>
      </c>
      <c r="B25" s="393" t="s">
        <v>431</v>
      </c>
      <c r="C25" s="393" t="s">
        <v>328</v>
      </c>
      <c r="D25" s="393" t="s">
        <v>434</v>
      </c>
    </row>
    <row r="26" spans="1:4">
      <c r="A26" s="392" t="s">
        <v>550</v>
      </c>
      <c r="B26" s="392" t="s">
        <v>354</v>
      </c>
      <c r="C26" s="392" t="s">
        <v>551</v>
      </c>
      <c r="D26" s="392" t="s">
        <v>439</v>
      </c>
    </row>
    <row r="27" spans="1:4">
      <c r="A27" s="392" t="s">
        <v>552</v>
      </c>
      <c r="B27" s="392" t="s">
        <v>553</v>
      </c>
      <c r="C27" s="392" t="s">
        <v>554</v>
      </c>
      <c r="D27" s="392" t="s">
        <v>439</v>
      </c>
    </row>
    <row r="28" spans="1:4">
      <c r="A28" s="392" t="s">
        <v>555</v>
      </c>
      <c r="B28" s="392" t="s">
        <v>556</v>
      </c>
      <c r="C28" s="392" t="s">
        <v>557</v>
      </c>
      <c r="D28" s="392" t="s">
        <v>439</v>
      </c>
    </row>
    <row r="29" spans="1:4">
      <c r="A29" s="392" t="s">
        <v>558</v>
      </c>
      <c r="B29" s="392" t="s">
        <v>559</v>
      </c>
      <c r="C29" s="392" t="s">
        <v>560</v>
      </c>
      <c r="D29" s="392" t="s">
        <v>561</v>
      </c>
    </row>
    <row r="31" spans="1:4">
      <c r="A31" s="391" t="s">
        <v>562</v>
      </c>
    </row>
    <row r="32" spans="1:4">
      <c r="A32" s="392" t="s">
        <v>145</v>
      </c>
      <c r="B32" s="392" t="s">
        <v>563</v>
      </c>
    </row>
    <row r="33" spans="1:2">
      <c r="A33" s="392" t="s">
        <v>564</v>
      </c>
      <c r="B33" s="392" t="s">
        <v>565</v>
      </c>
    </row>
    <row r="34" spans="1:2">
      <c r="A34" s="392" t="s">
        <v>566</v>
      </c>
      <c r="B34" s="392" t="s">
        <v>567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568</v>
      </c>
      <c r="B1" s="390"/>
      <c r="C1" s="390"/>
      <c r="D1" s="390"/>
      <c r="E1" s="390"/>
      <c r="F1" s="390"/>
    </row>
    <row r="3" spans="1:6" ht="15.75" customHeight="1">
      <c r="A3" s="395" t="s">
        <v>46</v>
      </c>
      <c r="B3" s="395"/>
      <c r="C3" s="395"/>
      <c r="D3" s="395"/>
      <c r="E3" s="395"/>
      <c r="F3" s="395"/>
    </row>
    <row r="4" spans="1:6">
      <c r="A4" s="393" t="s">
        <v>285</v>
      </c>
      <c r="B4" s="393" t="s">
        <v>431</v>
      </c>
      <c r="C4" s="393" t="s">
        <v>328</v>
      </c>
      <c r="D4" s="393" t="s">
        <v>432</v>
      </c>
      <c r="E4" s="393" t="s">
        <v>433</v>
      </c>
      <c r="F4" s="393" t="s">
        <v>434</v>
      </c>
    </row>
    <row r="5" spans="1:6">
      <c r="A5" s="392" t="s">
        <v>435</v>
      </c>
      <c r="B5" s="392" t="s">
        <v>569</v>
      </c>
      <c r="C5" s="392" t="s">
        <v>570</v>
      </c>
      <c r="D5" s="392" t="s">
        <v>46</v>
      </c>
      <c r="E5" s="392" t="s">
        <v>438</v>
      </c>
      <c r="F5" s="392" t="s">
        <v>439</v>
      </c>
    </row>
    <row r="6" spans="1:6">
      <c r="A6" s="392" t="s">
        <v>440</v>
      </c>
      <c r="B6" s="392" t="s">
        <v>571</v>
      </c>
      <c r="C6" s="392" t="s">
        <v>572</v>
      </c>
      <c r="D6" s="392" t="s">
        <v>46</v>
      </c>
      <c r="E6" s="392" t="s">
        <v>450</v>
      </c>
      <c r="F6" s="392" t="s">
        <v>439</v>
      </c>
    </row>
    <row r="7" spans="1:6">
      <c r="A7" s="392" t="s">
        <v>443</v>
      </c>
      <c r="B7" s="392" t="s">
        <v>573</v>
      </c>
      <c r="C7" s="392" t="s">
        <v>574</v>
      </c>
      <c r="D7" s="392" t="s">
        <v>46</v>
      </c>
      <c r="E7" s="392" t="s">
        <v>486</v>
      </c>
      <c r="F7" s="392" t="s">
        <v>458</v>
      </c>
    </row>
    <row r="8" spans="1:6">
      <c r="A8" s="392" t="s">
        <v>447</v>
      </c>
      <c r="B8" s="392" t="s">
        <v>575</v>
      </c>
      <c r="C8" s="392" t="s">
        <v>576</v>
      </c>
      <c r="D8" s="392" t="s">
        <v>46</v>
      </c>
      <c r="E8" s="392" t="s">
        <v>438</v>
      </c>
      <c r="F8" s="392" t="s">
        <v>439</v>
      </c>
    </row>
    <row r="9" spans="1:6">
      <c r="A9" s="392" t="s">
        <v>451</v>
      </c>
      <c r="B9" s="392" t="s">
        <v>577</v>
      </c>
      <c r="C9" s="392" t="s">
        <v>578</v>
      </c>
      <c r="D9" s="392" t="s">
        <v>46</v>
      </c>
      <c r="E9" s="392" t="s">
        <v>438</v>
      </c>
      <c r="F9" s="392" t="s">
        <v>439</v>
      </c>
    </row>
    <row r="11" spans="1:6" ht="15.75" customHeight="1">
      <c r="A11" s="395" t="s">
        <v>474</v>
      </c>
      <c r="B11" s="395"/>
      <c r="C11" s="395"/>
      <c r="D11" s="395"/>
      <c r="E11" s="395"/>
      <c r="F11" s="395"/>
    </row>
    <row r="12" spans="1:6">
      <c r="A12" s="393" t="s">
        <v>285</v>
      </c>
      <c r="B12" s="393" t="s">
        <v>431</v>
      </c>
      <c r="C12" s="393" t="s">
        <v>328</v>
      </c>
      <c r="D12" s="393" t="s">
        <v>432</v>
      </c>
      <c r="E12" s="393" t="s">
        <v>433</v>
      </c>
      <c r="F12" s="393" t="s">
        <v>434</v>
      </c>
    </row>
    <row r="13" spans="1:6">
      <c r="A13" s="392" t="s">
        <v>475</v>
      </c>
      <c r="B13" s="392" t="s">
        <v>579</v>
      </c>
      <c r="C13" s="392" t="s">
        <v>580</v>
      </c>
      <c r="D13" s="392" t="s">
        <v>474</v>
      </c>
      <c r="E13" s="392" t="s">
        <v>581</v>
      </c>
      <c r="F13" s="392" t="s">
        <v>582</v>
      </c>
    </row>
    <row r="14" spans="1:6">
      <c r="A14" s="392" t="s">
        <v>480</v>
      </c>
      <c r="B14" s="392" t="s">
        <v>583</v>
      </c>
      <c r="C14" s="392" t="s">
        <v>584</v>
      </c>
      <c r="D14" s="392" t="s">
        <v>474</v>
      </c>
      <c r="E14" s="392" t="s">
        <v>581</v>
      </c>
      <c r="F14" s="392" t="s">
        <v>585</v>
      </c>
    </row>
    <row r="15" spans="1:6">
      <c r="A15" s="392" t="s">
        <v>483</v>
      </c>
      <c r="B15" s="392" t="s">
        <v>586</v>
      </c>
      <c r="C15" s="392" t="s">
        <v>587</v>
      </c>
      <c r="D15" s="392" t="s">
        <v>474</v>
      </c>
      <c r="E15" s="392" t="s">
        <v>581</v>
      </c>
      <c r="F15" s="392" t="s">
        <v>439</v>
      </c>
    </row>
    <row r="16" spans="1:6">
      <c r="A16" s="392" t="s">
        <v>588</v>
      </c>
      <c r="B16" s="392" t="s">
        <v>589</v>
      </c>
      <c r="C16" s="392" t="s">
        <v>590</v>
      </c>
      <c r="D16" s="392" t="s">
        <v>474</v>
      </c>
      <c r="E16" s="392" t="s">
        <v>493</v>
      </c>
      <c r="F16" s="392" t="s">
        <v>591</v>
      </c>
    </row>
    <row r="18" spans="1:6" ht="15.75" customHeight="1">
      <c r="A18" s="395" t="s">
        <v>492</v>
      </c>
      <c r="B18" s="395"/>
      <c r="C18" s="395"/>
      <c r="D18" s="395"/>
      <c r="E18" s="395"/>
      <c r="F18" s="395"/>
    </row>
    <row r="19" spans="1:6">
      <c r="A19" s="393" t="s">
        <v>285</v>
      </c>
      <c r="B19" s="393" t="s">
        <v>431</v>
      </c>
      <c r="C19" s="393" t="s">
        <v>328</v>
      </c>
      <c r="D19" s="393" t="s">
        <v>432</v>
      </c>
      <c r="E19" s="393" t="s">
        <v>433</v>
      </c>
      <c r="F19" s="393" t="s">
        <v>434</v>
      </c>
    </row>
    <row r="20" spans="1:6">
      <c r="A20" s="392" t="s">
        <v>592</v>
      </c>
      <c r="B20" s="392" t="s">
        <v>593</v>
      </c>
      <c r="C20" s="392" t="s">
        <v>594</v>
      </c>
      <c r="D20" s="392" t="s">
        <v>492</v>
      </c>
      <c r="E20" s="392" t="s">
        <v>581</v>
      </c>
      <c r="F20" s="392" t="s">
        <v>439</v>
      </c>
    </row>
    <row r="21" spans="1:6">
      <c r="A21" s="392" t="s">
        <v>595</v>
      </c>
      <c r="B21" s="392" t="s">
        <v>596</v>
      </c>
      <c r="C21" s="392" t="s">
        <v>597</v>
      </c>
      <c r="D21" s="392" t="s">
        <v>492</v>
      </c>
      <c r="E21" s="392" t="s">
        <v>598</v>
      </c>
      <c r="F21" s="392" t="s">
        <v>599</v>
      </c>
    </row>
    <row r="22" spans="1:6">
      <c r="A22" s="392" t="s">
        <v>600</v>
      </c>
      <c r="B22" s="392" t="s">
        <v>601</v>
      </c>
      <c r="C22" s="392" t="s">
        <v>602</v>
      </c>
      <c r="D22" s="392" t="s">
        <v>492</v>
      </c>
      <c r="E22" s="392" t="s">
        <v>478</v>
      </c>
      <c r="F22" s="392" t="s">
        <v>598</v>
      </c>
    </row>
    <row r="24" spans="1:6">
      <c r="A24" s="391" t="s">
        <v>603</v>
      </c>
      <c r="B24" s="391"/>
      <c r="C24" s="391"/>
      <c r="D24" s="391"/>
      <c r="E24" s="391"/>
      <c r="F24" s="391"/>
    </row>
    <row r="25" spans="1:6">
      <c r="A25" s="393" t="s">
        <v>604</v>
      </c>
      <c r="B25" s="393" t="s">
        <v>605</v>
      </c>
      <c r="C25" s="393"/>
      <c r="D25" s="393"/>
      <c r="E25" s="393"/>
      <c r="F25" s="393"/>
    </row>
    <row r="26" spans="1:6">
      <c r="A26" s="392" t="s">
        <v>606</v>
      </c>
      <c r="B26" s="392" t="s">
        <v>607</v>
      </c>
      <c r="C26" s="392"/>
      <c r="D26" s="392"/>
      <c r="E26" s="392"/>
      <c r="F26" s="392"/>
    </row>
    <row r="27" spans="1:6">
      <c r="A27" s="392" t="s">
        <v>608</v>
      </c>
      <c r="B27" s="392" t="s">
        <v>609</v>
      </c>
      <c r="C27" s="392"/>
      <c r="D27" s="392"/>
      <c r="E27" s="392"/>
      <c r="F27" s="392"/>
    </row>
    <row r="28" spans="1:6">
      <c r="A28" s="392" t="s">
        <v>610</v>
      </c>
      <c r="B28" s="392" t="s">
        <v>611</v>
      </c>
      <c r="C28" s="392"/>
      <c r="D28" s="392"/>
      <c r="E28" s="392"/>
      <c r="F28" s="392"/>
    </row>
    <row r="29" spans="1:6">
      <c r="A29" s="392" t="s">
        <v>612</v>
      </c>
      <c r="B29" s="392" t="s">
        <v>613</v>
      </c>
      <c r="C29" s="392"/>
      <c r="D29" s="392"/>
      <c r="E29" s="392"/>
      <c r="F29" s="39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614</v>
      </c>
    </row>
    <row r="3" spans="1:5">
      <c r="A3" s="392" t="s">
        <v>377</v>
      </c>
      <c r="B3" s="392" t="s">
        <v>378</v>
      </c>
    </row>
    <row r="4" spans="1:5">
      <c r="A4" s="392" t="s">
        <v>379</v>
      </c>
      <c r="B4" s="392" t="s">
        <v>380</v>
      </c>
    </row>
    <row r="5" spans="1:5">
      <c r="A5" s="392" t="s">
        <v>387</v>
      </c>
      <c r="B5" s="392" t="s">
        <v>615</v>
      </c>
    </row>
    <row r="7" spans="1:5">
      <c r="A7" s="391" t="s">
        <v>389</v>
      </c>
    </row>
    <row r="8" spans="1:5">
      <c r="A8" s="393" t="s">
        <v>285</v>
      </c>
      <c r="B8" s="393" t="s">
        <v>390</v>
      </c>
      <c r="C8" s="393" t="s">
        <v>391</v>
      </c>
      <c r="D8" s="393" t="s">
        <v>392</v>
      </c>
      <c r="E8" s="393" t="s">
        <v>393</v>
      </c>
    </row>
    <row r="9" spans="1:5">
      <c r="A9" s="392" t="s">
        <v>288</v>
      </c>
      <c r="B9" s="392" t="s">
        <v>616</v>
      </c>
      <c r="C9" s="392" t="s">
        <v>617</v>
      </c>
      <c r="D9" s="392" t="s">
        <v>618</v>
      </c>
      <c r="E9" s="392" t="s">
        <v>619</v>
      </c>
    </row>
    <row r="10" spans="1:5">
      <c r="A10" s="392" t="s">
        <v>291</v>
      </c>
      <c r="B10" s="392" t="s">
        <v>620</v>
      </c>
      <c r="C10" s="392" t="s">
        <v>617</v>
      </c>
      <c r="D10" s="392" t="s">
        <v>621</v>
      </c>
      <c r="E10" s="392" t="s">
        <v>619</v>
      </c>
    </row>
    <row r="11" spans="1:5">
      <c r="A11" s="392" t="s">
        <v>294</v>
      </c>
      <c r="B11" s="392" t="s">
        <v>622</v>
      </c>
      <c r="C11" s="392" t="s">
        <v>623</v>
      </c>
      <c r="D11" s="392" t="s">
        <v>624</v>
      </c>
      <c r="E11" s="392" t="s">
        <v>401</v>
      </c>
    </row>
    <row r="12" spans="1:5">
      <c r="A12" s="392" t="s">
        <v>297</v>
      </c>
      <c r="B12" s="392" t="s">
        <v>625</v>
      </c>
      <c r="C12" s="392" t="s">
        <v>626</v>
      </c>
      <c r="D12" s="392" t="s">
        <v>627</v>
      </c>
      <c r="E12" s="392" t="s">
        <v>401</v>
      </c>
    </row>
    <row r="13" spans="1:5">
      <c r="A13" s="392" t="s">
        <v>300</v>
      </c>
      <c r="B13" s="392" t="s">
        <v>628</v>
      </c>
      <c r="C13" s="392" t="s">
        <v>629</v>
      </c>
      <c r="D13" s="392" t="s">
        <v>630</v>
      </c>
      <c r="E13" s="392" t="s">
        <v>401</v>
      </c>
    </row>
    <row r="14" spans="1:5">
      <c r="A14" s="392" t="s">
        <v>309</v>
      </c>
      <c r="B14" s="392" t="s">
        <v>631</v>
      </c>
      <c r="C14" s="392" t="s">
        <v>629</v>
      </c>
      <c r="D14" s="392" t="s">
        <v>632</v>
      </c>
      <c r="E14" s="392" t="s">
        <v>401</v>
      </c>
    </row>
    <row r="15" spans="1:5">
      <c r="A15" s="392" t="s">
        <v>311</v>
      </c>
      <c r="B15" s="392" t="s">
        <v>633</v>
      </c>
      <c r="C15" s="392" t="s">
        <v>629</v>
      </c>
      <c r="D15" s="392" t="s">
        <v>634</v>
      </c>
      <c r="E15" s="392" t="s">
        <v>401</v>
      </c>
    </row>
    <row r="16" spans="1:5">
      <c r="A16" s="392" t="s">
        <v>313</v>
      </c>
      <c r="B16" s="392" t="s">
        <v>635</v>
      </c>
      <c r="C16" s="392" t="s">
        <v>636</v>
      </c>
      <c r="D16" s="392" t="s">
        <v>637</v>
      </c>
      <c r="E16" s="392" t="s">
        <v>638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65F46"/>
  </sheetPr>
  <dimension ref="A1:F23"/>
  <sheetViews>
    <sheetView tabSelected="1" workbookViewId="0">
      <selection sqref="A1:B1"/>
    </sheetView>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639</v>
      </c>
      <c r="B1" s="385"/>
      <c r="C1" s="385"/>
      <c r="D1" s="385"/>
      <c r="E1" s="385"/>
      <c r="F1" s="385"/>
    </row>
    <row r="3" spans="1:6">
      <c r="A3" s="385" t="s">
        <v>320</v>
      </c>
      <c r="B3" s="385" t="s">
        <v>640</v>
      </c>
      <c r="C3" s="385"/>
      <c r="D3" s="385"/>
      <c r="E3" s="385"/>
      <c r="F3" s="385"/>
    </row>
    <row r="4" spans="1:6">
      <c r="A4" s="385" t="s">
        <v>322</v>
      </c>
      <c r="B4" s="385" t="s">
        <v>641</v>
      </c>
      <c r="C4" s="385"/>
      <c r="D4" s="385"/>
      <c r="E4" s="385"/>
      <c r="F4" s="385"/>
    </row>
    <row r="5" spans="1:6">
      <c r="A5" s="385" t="s">
        <v>324</v>
      </c>
      <c r="B5" s="385" t="s">
        <v>291</v>
      </c>
      <c r="C5" s="385"/>
      <c r="D5" s="385"/>
      <c r="E5" s="385"/>
      <c r="F5" s="385"/>
    </row>
    <row r="6" spans="1:6" ht="25.5" customHeight="1">
      <c r="A6" s="385" t="s">
        <v>377</v>
      </c>
      <c r="B6" s="385" t="s">
        <v>642</v>
      </c>
      <c r="C6" s="385"/>
      <c r="D6" s="385"/>
      <c r="E6" s="385"/>
      <c r="F6" s="385"/>
    </row>
    <row r="7" spans="1:6" ht="25.5" customHeight="1">
      <c r="A7" s="385" t="s">
        <v>643</v>
      </c>
      <c r="B7" s="385" t="s">
        <v>644</v>
      </c>
      <c r="C7" s="385"/>
      <c r="D7" s="385"/>
      <c r="E7" s="385"/>
      <c r="F7" s="385"/>
    </row>
    <row r="9" spans="1:6">
      <c r="A9" s="386" t="s">
        <v>645</v>
      </c>
      <c r="B9" s="385"/>
      <c r="C9" s="385"/>
      <c r="D9" s="385"/>
      <c r="E9" s="385"/>
      <c r="F9" s="385"/>
    </row>
    <row r="10" spans="1:6">
      <c r="A10" s="387" t="s">
        <v>285</v>
      </c>
      <c r="B10" s="387" t="s">
        <v>522</v>
      </c>
      <c r="C10" s="387" t="s">
        <v>646</v>
      </c>
      <c r="D10" s="387" t="s">
        <v>322</v>
      </c>
      <c r="E10" s="387" t="s">
        <v>647</v>
      </c>
      <c r="F10" s="387" t="s">
        <v>243</v>
      </c>
    </row>
    <row r="11" spans="1:6">
      <c r="A11" s="385" t="s">
        <v>648</v>
      </c>
      <c r="B11" s="385" t="s">
        <v>649</v>
      </c>
      <c r="C11" s="385" t="s">
        <v>650</v>
      </c>
      <c r="D11" s="385" t="s">
        <v>651</v>
      </c>
      <c r="E11" s="385" t="s">
        <v>652</v>
      </c>
      <c r="F11" s="388" t="s">
        <v>351</v>
      </c>
    </row>
    <row r="12" spans="1:6">
      <c r="A12" s="385" t="s">
        <v>653</v>
      </c>
      <c r="B12" s="385" t="s">
        <v>640</v>
      </c>
      <c r="C12" s="385" t="s">
        <v>654</v>
      </c>
      <c r="D12" s="385" t="s">
        <v>641</v>
      </c>
      <c r="E12" s="385" t="s">
        <v>655</v>
      </c>
      <c r="F12" s="388" t="s">
        <v>351</v>
      </c>
    </row>
    <row r="14" spans="1:6" ht="45" customHeight="1">
      <c r="A14" s="386" t="s">
        <v>656</v>
      </c>
      <c r="B14" s="385"/>
      <c r="C14" s="385"/>
      <c r="D14" s="385"/>
      <c r="E14" s="385"/>
      <c r="F14" s="385"/>
    </row>
    <row r="15" spans="1:6">
      <c r="A15" s="387" t="s">
        <v>285</v>
      </c>
      <c r="B15" s="387" t="s">
        <v>657</v>
      </c>
      <c r="C15" s="387" t="s">
        <v>328</v>
      </c>
      <c r="D15" s="387" t="s">
        <v>658</v>
      </c>
      <c r="E15" s="387"/>
      <c r="F15" s="387"/>
    </row>
    <row r="16" spans="1:6" ht="89.25" customHeight="1">
      <c r="A16" s="385" t="s">
        <v>659</v>
      </c>
      <c r="B16" s="385" t="s">
        <v>660</v>
      </c>
      <c r="C16" s="385" t="s">
        <v>661</v>
      </c>
      <c r="D16" s="385" t="s">
        <v>662</v>
      </c>
      <c r="E16" s="385"/>
      <c r="F16" s="385"/>
    </row>
    <row r="17" spans="1:6" ht="63.75" customHeight="1">
      <c r="A17" s="385" t="s">
        <v>659</v>
      </c>
      <c r="B17" s="385" t="s">
        <v>663</v>
      </c>
      <c r="C17" s="385" t="s">
        <v>664</v>
      </c>
      <c r="D17" s="385" t="s">
        <v>665</v>
      </c>
      <c r="E17" s="385"/>
      <c r="F17" s="385"/>
    </row>
    <row r="18" spans="1:6" ht="25.5" customHeight="1">
      <c r="A18" s="385" t="s">
        <v>659</v>
      </c>
      <c r="B18" s="385" t="s">
        <v>666</v>
      </c>
      <c r="C18" s="385" t="s">
        <v>667</v>
      </c>
      <c r="D18" s="385" t="s">
        <v>668</v>
      </c>
      <c r="E18" s="385"/>
      <c r="F18" s="385"/>
    </row>
    <row r="20" spans="1:6" ht="30" customHeight="1">
      <c r="A20" s="386" t="s">
        <v>669</v>
      </c>
      <c r="B20" s="385"/>
      <c r="C20" s="385"/>
      <c r="D20" s="385"/>
      <c r="E20" s="385"/>
      <c r="F20" s="385"/>
    </row>
    <row r="21" spans="1:6">
      <c r="A21" s="387" t="s">
        <v>34</v>
      </c>
      <c r="B21" s="387" t="s">
        <v>670</v>
      </c>
      <c r="C21" s="387" t="s">
        <v>671</v>
      </c>
      <c r="D21" s="387"/>
      <c r="E21" s="387"/>
      <c r="F21" s="387"/>
    </row>
    <row r="22" spans="1:6" ht="38.25" customHeight="1">
      <c r="A22" s="385" t="s">
        <v>672</v>
      </c>
      <c r="B22" s="385" t="s">
        <v>673</v>
      </c>
      <c r="C22" s="385" t="s">
        <v>674</v>
      </c>
      <c r="D22" s="385"/>
      <c r="E22" s="385"/>
      <c r="F22" s="385"/>
    </row>
    <row r="23" spans="1:6" ht="38.25" customHeight="1">
      <c r="A23" s="385" t="s">
        <v>675</v>
      </c>
      <c r="B23" s="385" t="s">
        <v>673</v>
      </c>
      <c r="C23" s="385" t="s">
        <v>674</v>
      </c>
      <c r="D23" s="385"/>
      <c r="E23" s="385"/>
      <c r="F23" s="385"/>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676</v>
      </c>
      <c r="B1" s="385"/>
      <c r="C1" s="385"/>
      <c r="D1" s="385"/>
      <c r="E1" s="385"/>
      <c r="F1" s="385"/>
    </row>
    <row r="3" spans="1:6" ht="30" customHeight="1">
      <c r="A3" s="386" t="s">
        <v>46</v>
      </c>
      <c r="B3" s="385"/>
      <c r="C3" s="385"/>
      <c r="D3" s="385"/>
      <c r="E3" s="385"/>
      <c r="F3" s="385"/>
    </row>
    <row r="4" spans="1:6">
      <c r="A4" s="387" t="s">
        <v>285</v>
      </c>
      <c r="B4" s="387" t="s">
        <v>431</v>
      </c>
      <c r="C4" s="387" t="s">
        <v>328</v>
      </c>
      <c r="D4" s="387" t="s">
        <v>432</v>
      </c>
      <c r="E4" s="387" t="s">
        <v>433</v>
      </c>
      <c r="F4" s="387" t="s">
        <v>434</v>
      </c>
    </row>
    <row r="5" spans="1:6" ht="25.5" customHeight="1">
      <c r="A5" s="385" t="s">
        <v>435</v>
      </c>
      <c r="B5" s="385" t="s">
        <v>677</v>
      </c>
      <c r="C5" s="385" t="s">
        <v>678</v>
      </c>
      <c r="D5" s="385" t="s">
        <v>46</v>
      </c>
      <c r="E5" s="385" t="s">
        <v>493</v>
      </c>
      <c r="F5" s="385" t="s">
        <v>439</v>
      </c>
    </row>
    <row r="6" spans="1:6" ht="25.5" customHeight="1">
      <c r="A6" s="385" t="s">
        <v>440</v>
      </c>
      <c r="B6" s="385" t="s">
        <v>679</v>
      </c>
      <c r="C6" s="385" t="s">
        <v>680</v>
      </c>
      <c r="D6" s="385" t="s">
        <v>46</v>
      </c>
      <c r="E6" s="385" t="s">
        <v>493</v>
      </c>
      <c r="F6" s="385" t="s">
        <v>439</v>
      </c>
    </row>
    <row r="7" spans="1:6" ht="25.5" customHeight="1">
      <c r="A7" s="385" t="s">
        <v>443</v>
      </c>
      <c r="B7" s="385" t="s">
        <v>681</v>
      </c>
      <c r="C7" s="385" t="s">
        <v>682</v>
      </c>
      <c r="D7" s="385" t="s">
        <v>46</v>
      </c>
      <c r="E7" s="385" t="s">
        <v>486</v>
      </c>
      <c r="F7" s="385" t="s">
        <v>458</v>
      </c>
    </row>
    <row r="8" spans="1:6" ht="25.5" customHeight="1">
      <c r="A8" s="385" t="s">
        <v>447</v>
      </c>
      <c r="B8" s="385" t="s">
        <v>683</v>
      </c>
      <c r="C8" s="385" t="s">
        <v>684</v>
      </c>
      <c r="D8" s="385" t="s">
        <v>46</v>
      </c>
      <c r="E8" s="385" t="s">
        <v>450</v>
      </c>
      <c r="F8" s="385" t="s">
        <v>439</v>
      </c>
    </row>
    <row r="9" spans="1:6" ht="25.5" customHeight="1">
      <c r="A9" s="385" t="s">
        <v>451</v>
      </c>
      <c r="B9" s="385" t="s">
        <v>569</v>
      </c>
      <c r="C9" s="385" t="s">
        <v>685</v>
      </c>
      <c r="D9" s="385" t="s">
        <v>46</v>
      </c>
      <c r="E9" s="385" t="s">
        <v>438</v>
      </c>
      <c r="F9" s="385" t="s">
        <v>439</v>
      </c>
    </row>
    <row r="11" spans="1:6">
      <c r="A11" s="386" t="s">
        <v>474</v>
      </c>
      <c r="B11" s="385"/>
      <c r="C11" s="385"/>
      <c r="D11" s="385"/>
      <c r="E11" s="385"/>
      <c r="F11" s="385"/>
    </row>
    <row r="12" spans="1:6">
      <c r="A12" s="387" t="s">
        <v>285</v>
      </c>
      <c r="B12" s="387" t="s">
        <v>431</v>
      </c>
      <c r="C12" s="387" t="s">
        <v>328</v>
      </c>
      <c r="D12" s="387" t="s">
        <v>432</v>
      </c>
      <c r="E12" s="387" t="s">
        <v>433</v>
      </c>
      <c r="F12" s="387" t="s">
        <v>434</v>
      </c>
    </row>
    <row r="13" spans="1:6" ht="25.5" customHeight="1">
      <c r="A13" s="385" t="s">
        <v>475</v>
      </c>
      <c r="B13" s="385" t="s">
        <v>686</v>
      </c>
      <c r="C13" s="385" t="s">
        <v>687</v>
      </c>
      <c r="D13" s="385" t="s">
        <v>474</v>
      </c>
      <c r="E13" s="385" t="s">
        <v>581</v>
      </c>
      <c r="F13" s="385" t="s">
        <v>582</v>
      </c>
    </row>
    <row r="14" spans="1:6">
      <c r="A14" s="385" t="s">
        <v>480</v>
      </c>
      <c r="B14" s="385" t="s">
        <v>688</v>
      </c>
      <c r="C14" s="385" t="s">
        <v>689</v>
      </c>
      <c r="D14" s="385" t="s">
        <v>474</v>
      </c>
      <c r="E14" s="385" t="s">
        <v>581</v>
      </c>
      <c r="F14" s="385" t="s">
        <v>585</v>
      </c>
    </row>
    <row r="15" spans="1:6">
      <c r="A15" s="385" t="s">
        <v>483</v>
      </c>
      <c r="B15" s="385" t="s">
        <v>586</v>
      </c>
      <c r="C15" s="385" t="s">
        <v>690</v>
      </c>
      <c r="D15" s="385" t="s">
        <v>474</v>
      </c>
      <c r="E15" s="385" t="s">
        <v>581</v>
      </c>
      <c r="F15" s="385" t="s">
        <v>439</v>
      </c>
    </row>
    <row r="16" spans="1:6">
      <c r="A16" s="385" t="s">
        <v>588</v>
      </c>
      <c r="B16" s="385" t="s">
        <v>691</v>
      </c>
      <c r="C16" s="385" t="s">
        <v>692</v>
      </c>
      <c r="D16" s="385" t="s">
        <v>474</v>
      </c>
      <c r="E16" s="385" t="s">
        <v>478</v>
      </c>
      <c r="F16" s="385" t="s">
        <v>693</v>
      </c>
    </row>
    <row r="17" spans="1:6">
      <c r="A17" s="385" t="s">
        <v>694</v>
      </c>
      <c r="B17" s="385" t="s">
        <v>589</v>
      </c>
      <c r="C17" s="385" t="s">
        <v>590</v>
      </c>
      <c r="D17" s="385" t="s">
        <v>474</v>
      </c>
      <c r="E17" s="385" t="s">
        <v>493</v>
      </c>
      <c r="F17" s="385" t="s">
        <v>591</v>
      </c>
    </row>
    <row r="19" spans="1:6" ht="30" customHeight="1">
      <c r="A19" s="386" t="s">
        <v>492</v>
      </c>
      <c r="B19" s="385"/>
      <c r="C19" s="385"/>
      <c r="D19" s="385"/>
      <c r="E19" s="385"/>
      <c r="F19" s="385"/>
    </row>
    <row r="20" spans="1:6">
      <c r="A20" s="387" t="s">
        <v>285</v>
      </c>
      <c r="B20" s="387" t="s">
        <v>431</v>
      </c>
      <c r="C20" s="387" t="s">
        <v>328</v>
      </c>
      <c r="D20" s="387" t="s">
        <v>432</v>
      </c>
      <c r="E20" s="387" t="s">
        <v>433</v>
      </c>
      <c r="F20" s="387" t="s">
        <v>434</v>
      </c>
    </row>
    <row r="21" spans="1:6">
      <c r="A21" s="385" t="s">
        <v>592</v>
      </c>
      <c r="B21" s="385" t="s">
        <v>593</v>
      </c>
      <c r="C21" s="385" t="s">
        <v>695</v>
      </c>
      <c r="D21" s="385" t="s">
        <v>492</v>
      </c>
      <c r="E21" s="385" t="s">
        <v>581</v>
      </c>
      <c r="F21" s="385" t="s">
        <v>439</v>
      </c>
    </row>
    <row r="22" spans="1:6">
      <c r="A22" s="385" t="s">
        <v>595</v>
      </c>
      <c r="B22" s="385" t="s">
        <v>596</v>
      </c>
      <c r="C22" s="385" t="s">
        <v>696</v>
      </c>
      <c r="D22" s="385" t="s">
        <v>492</v>
      </c>
      <c r="E22" s="385" t="s">
        <v>598</v>
      </c>
      <c r="F22" s="385" t="s">
        <v>504</v>
      </c>
    </row>
    <row r="23" spans="1:6">
      <c r="A23" s="385" t="s">
        <v>600</v>
      </c>
      <c r="B23" s="385" t="s">
        <v>697</v>
      </c>
      <c r="C23" s="385" t="s">
        <v>698</v>
      </c>
      <c r="D23" s="385" t="s">
        <v>492</v>
      </c>
      <c r="E23" s="385" t="s">
        <v>478</v>
      </c>
      <c r="F23" s="385" t="s">
        <v>699</v>
      </c>
    </row>
    <row r="24" spans="1:6">
      <c r="A24" s="389"/>
    </row>
    <row r="25" spans="1:6" ht="120" customHeight="1">
      <c r="A25" s="387" t="s">
        <v>700</v>
      </c>
      <c r="B25" s="387"/>
      <c r="C25" s="387"/>
      <c r="D25" s="387"/>
      <c r="E25" s="387"/>
      <c r="F25" s="387"/>
    </row>
    <row r="26" spans="1:6">
      <c r="A26" s="385" t="s">
        <v>604</v>
      </c>
      <c r="B26" s="385" t="s">
        <v>605</v>
      </c>
      <c r="C26" s="385"/>
      <c r="D26" s="385"/>
      <c r="E26" s="385"/>
      <c r="F26" s="385"/>
    </row>
    <row r="27" spans="1:6" ht="63.75" customHeight="1">
      <c r="A27" s="385" t="s">
        <v>701</v>
      </c>
      <c r="B27" s="385" t="s">
        <v>702</v>
      </c>
      <c r="C27" s="385"/>
      <c r="D27" s="385"/>
      <c r="E27" s="385"/>
      <c r="F27" s="385"/>
    </row>
    <row r="28" spans="1:6" ht="38.25" customHeight="1">
      <c r="A28" s="385" t="s">
        <v>703</v>
      </c>
      <c r="B28" s="385" t="s">
        <v>704</v>
      </c>
      <c r="C28" s="385"/>
      <c r="D28" s="385"/>
      <c r="E28" s="385"/>
      <c r="F28" s="385"/>
    </row>
    <row r="29" spans="1:6" ht="51" customHeight="1">
      <c r="A29" s="385" t="s">
        <v>705</v>
      </c>
      <c r="B29" s="385" t="s">
        <v>706</v>
      </c>
      <c r="C29" s="385"/>
      <c r="D29" s="385"/>
      <c r="E29" s="385"/>
      <c r="F29" s="385"/>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707</v>
      </c>
      <c r="B1" s="385"/>
      <c r="C1" s="385"/>
      <c r="D1" s="385"/>
      <c r="E1" s="385"/>
      <c r="F1" s="385"/>
    </row>
    <row r="3" spans="1:6" ht="25.5" customHeight="1">
      <c r="A3" s="385" t="s">
        <v>377</v>
      </c>
      <c r="B3" s="385" t="s">
        <v>378</v>
      </c>
      <c r="C3" s="385"/>
      <c r="D3" s="385"/>
      <c r="E3" s="385"/>
      <c r="F3" s="385"/>
    </row>
    <row r="4" spans="1:6" ht="25.5" customHeight="1">
      <c r="A4" s="385" t="s">
        <v>708</v>
      </c>
      <c r="B4" s="385" t="s">
        <v>709</v>
      </c>
      <c r="C4" s="385"/>
      <c r="D4" s="385"/>
      <c r="E4" s="385"/>
      <c r="F4" s="385"/>
    </row>
    <row r="5" spans="1:6" ht="25.5" customHeight="1">
      <c r="A5" s="385" t="s">
        <v>379</v>
      </c>
      <c r="B5" s="385" t="s">
        <v>710</v>
      </c>
      <c r="C5" s="385"/>
      <c r="D5" s="385"/>
      <c r="E5" s="385"/>
      <c r="F5" s="385"/>
    </row>
    <row r="6" spans="1:6" ht="25.5" customHeight="1">
      <c r="A6" s="385" t="s">
        <v>381</v>
      </c>
      <c r="B6" s="385" t="s">
        <v>711</v>
      </c>
      <c r="C6" s="385"/>
      <c r="D6" s="385"/>
      <c r="E6" s="385"/>
      <c r="F6" s="385"/>
    </row>
    <row r="7" spans="1:6" ht="25.5" customHeight="1">
      <c r="A7" s="385" t="s">
        <v>383</v>
      </c>
      <c r="B7" s="385" t="s">
        <v>712</v>
      </c>
      <c r="C7" s="385"/>
      <c r="D7" s="385"/>
      <c r="E7" s="385"/>
      <c r="F7" s="385"/>
    </row>
    <row r="8" spans="1:6" ht="25.5" customHeight="1">
      <c r="A8" s="385" t="s">
        <v>385</v>
      </c>
      <c r="B8" s="385" t="s">
        <v>713</v>
      </c>
      <c r="C8" s="385"/>
      <c r="D8" s="385"/>
      <c r="E8" s="385"/>
      <c r="F8" s="385"/>
    </row>
    <row r="9" spans="1:6">
      <c r="A9" s="385" t="s">
        <v>325</v>
      </c>
      <c r="B9" s="385" t="s">
        <v>714</v>
      </c>
      <c r="C9" s="385"/>
      <c r="D9" s="385"/>
      <c r="E9" s="385"/>
      <c r="F9" s="385"/>
    </row>
    <row r="10" spans="1:6" ht="25.5" customHeight="1">
      <c r="A10" s="385" t="s">
        <v>715</v>
      </c>
      <c r="B10" s="385" t="s">
        <v>716</v>
      </c>
      <c r="C10" s="385"/>
      <c r="D10" s="385"/>
      <c r="E10" s="385"/>
      <c r="F10" s="385"/>
    </row>
    <row r="12" spans="1:6" ht="60" customHeight="1">
      <c r="A12" s="386" t="s">
        <v>717</v>
      </c>
      <c r="B12" s="385"/>
      <c r="C12" s="385"/>
      <c r="D12" s="385"/>
      <c r="E12" s="385"/>
      <c r="F12" s="385"/>
    </row>
    <row r="13" spans="1:6">
      <c r="A13" s="387" t="s">
        <v>285</v>
      </c>
      <c r="B13" s="387" t="s">
        <v>390</v>
      </c>
      <c r="C13" s="387" t="s">
        <v>391</v>
      </c>
      <c r="D13" s="387" t="s">
        <v>322</v>
      </c>
      <c r="E13" s="387" t="s">
        <v>718</v>
      </c>
      <c r="F13" s="387" t="s">
        <v>719</v>
      </c>
    </row>
    <row r="14" spans="1:6">
      <c r="A14" s="388" t="s">
        <v>523</v>
      </c>
      <c r="B14" s="385" t="s">
        <v>720</v>
      </c>
      <c r="C14" s="385" t="s">
        <v>721</v>
      </c>
      <c r="D14" s="385" t="s">
        <v>722</v>
      </c>
      <c r="E14" s="385" t="s">
        <v>723</v>
      </c>
      <c r="F14" s="385" t="s">
        <v>724</v>
      </c>
    </row>
    <row r="15" spans="1:6">
      <c r="A15" s="388" t="s">
        <v>555</v>
      </c>
      <c r="B15" s="385" t="s">
        <v>725</v>
      </c>
      <c r="C15" s="385" t="s">
        <v>726</v>
      </c>
      <c r="D15" s="385" t="s">
        <v>727</v>
      </c>
      <c r="E15" s="385" t="s">
        <v>728</v>
      </c>
      <c r="F15" s="385" t="s">
        <v>724</v>
      </c>
    </row>
    <row r="16" spans="1:6">
      <c r="A16" s="388" t="s">
        <v>729</v>
      </c>
      <c r="B16" s="385" t="s">
        <v>730</v>
      </c>
      <c r="C16" s="385" t="s">
        <v>731</v>
      </c>
      <c r="D16" s="385" t="s">
        <v>732</v>
      </c>
      <c r="E16" s="385" t="s">
        <v>733</v>
      </c>
      <c r="F16" s="385" t="s">
        <v>734</v>
      </c>
    </row>
    <row r="17" spans="1:6">
      <c r="A17" s="388" t="s">
        <v>735</v>
      </c>
      <c r="B17" s="385" t="s">
        <v>736</v>
      </c>
      <c r="C17" s="385" t="s">
        <v>721</v>
      </c>
      <c r="D17" s="385" t="s">
        <v>737</v>
      </c>
      <c r="E17" s="385" t="s">
        <v>733</v>
      </c>
      <c r="F17" s="385" t="s">
        <v>724</v>
      </c>
    </row>
    <row r="18" spans="1:6">
      <c r="A18" s="388" t="s">
        <v>530</v>
      </c>
      <c r="B18" s="385" t="s">
        <v>738</v>
      </c>
      <c r="C18" s="385" t="s">
        <v>739</v>
      </c>
      <c r="D18" s="385" t="s">
        <v>740</v>
      </c>
      <c r="E18" s="385" t="s">
        <v>741</v>
      </c>
      <c r="F18" s="385" t="s">
        <v>742</v>
      </c>
    </row>
    <row r="19" spans="1:6">
      <c r="A19" s="388" t="s">
        <v>552</v>
      </c>
      <c r="B19" s="385" t="s">
        <v>743</v>
      </c>
      <c r="C19" s="385" t="s">
        <v>744</v>
      </c>
      <c r="D19" s="385" t="s">
        <v>745</v>
      </c>
      <c r="E19" s="385" t="s">
        <v>746</v>
      </c>
      <c r="F19" s="385" t="s">
        <v>747</v>
      </c>
    </row>
    <row r="20" spans="1:6">
      <c r="A20" s="388" t="s">
        <v>748</v>
      </c>
      <c r="B20" s="385" t="s">
        <v>749</v>
      </c>
      <c r="C20" s="385" t="s">
        <v>731</v>
      </c>
      <c r="D20" s="385" t="s">
        <v>750</v>
      </c>
      <c r="E20" s="385" t="s">
        <v>751</v>
      </c>
      <c r="F20" s="385" t="s">
        <v>734</v>
      </c>
    </row>
    <row r="21" spans="1:6">
      <c r="A21" s="388" t="s">
        <v>752</v>
      </c>
      <c r="B21" s="385" t="s">
        <v>753</v>
      </c>
      <c r="C21" s="385" t="s">
        <v>721</v>
      </c>
      <c r="D21" s="385" t="s">
        <v>754</v>
      </c>
      <c r="E21" s="385" t="s">
        <v>751</v>
      </c>
      <c r="F21" s="385" t="s">
        <v>724</v>
      </c>
    </row>
    <row r="23" spans="1:6" ht="45" customHeight="1">
      <c r="A23" s="386" t="s">
        <v>755</v>
      </c>
      <c r="B23" s="385"/>
      <c r="C23" s="385"/>
      <c r="D23" s="385"/>
      <c r="E23" s="385"/>
      <c r="F23" s="385"/>
    </row>
    <row r="24" spans="1:6" ht="30" customHeight="1">
      <c r="A24" s="387" t="s">
        <v>756</v>
      </c>
      <c r="B24" s="387" t="s">
        <v>431</v>
      </c>
      <c r="C24" s="387" t="s">
        <v>757</v>
      </c>
      <c r="D24" s="387" t="s">
        <v>758</v>
      </c>
      <c r="E24" s="387" t="s">
        <v>759</v>
      </c>
      <c r="F24" s="387"/>
    </row>
    <row r="25" spans="1:6" ht="25.5" customHeight="1">
      <c r="A25" s="385" t="s">
        <v>288</v>
      </c>
      <c r="B25" s="385" t="s">
        <v>760</v>
      </c>
      <c r="C25" s="385" t="s">
        <v>446</v>
      </c>
      <c r="D25" s="385" t="s">
        <v>761</v>
      </c>
      <c r="E25" s="385" t="s">
        <v>762</v>
      </c>
      <c r="F25" s="385"/>
    </row>
    <row r="26" spans="1:6">
      <c r="A26" s="385" t="s">
        <v>291</v>
      </c>
      <c r="B26" s="385" t="s">
        <v>763</v>
      </c>
      <c r="C26" s="385" t="s">
        <v>486</v>
      </c>
      <c r="D26" s="385" t="s">
        <v>761</v>
      </c>
      <c r="E26" s="385" t="s">
        <v>764</v>
      </c>
      <c r="F26" s="385"/>
    </row>
    <row r="27" spans="1:6">
      <c r="A27" s="385" t="s">
        <v>294</v>
      </c>
      <c r="B27" s="385" t="s">
        <v>765</v>
      </c>
      <c r="C27" s="385" t="s">
        <v>486</v>
      </c>
      <c r="D27" s="385" t="s">
        <v>2</v>
      </c>
      <c r="E27" s="385" t="s">
        <v>766</v>
      </c>
      <c r="F27" s="385"/>
    </row>
    <row r="28" spans="1:6">
      <c r="A28" s="385" t="s">
        <v>297</v>
      </c>
      <c r="B28" s="385" t="s">
        <v>767</v>
      </c>
      <c r="C28" s="385" t="s">
        <v>438</v>
      </c>
      <c r="D28" s="385" t="s">
        <v>768</v>
      </c>
      <c r="E28" s="385" t="s">
        <v>769</v>
      </c>
      <c r="F28" s="385"/>
    </row>
    <row r="29" spans="1:6" ht="25.5" customHeight="1">
      <c r="A29" s="385" t="s">
        <v>300</v>
      </c>
      <c r="B29" s="385" t="s">
        <v>770</v>
      </c>
      <c r="C29" s="385" t="s">
        <v>493</v>
      </c>
      <c r="D29" s="385" t="s">
        <v>761</v>
      </c>
      <c r="E29" s="385" t="s">
        <v>771</v>
      </c>
      <c r="F29" s="385"/>
    </row>
    <row r="30" spans="1:6" ht="25.5" customHeight="1">
      <c r="A30" s="385" t="s">
        <v>309</v>
      </c>
      <c r="B30" s="385" t="s">
        <v>772</v>
      </c>
      <c r="C30" s="385" t="s">
        <v>450</v>
      </c>
      <c r="D30" s="385" t="s">
        <v>761</v>
      </c>
      <c r="E30" s="385" t="s">
        <v>773</v>
      </c>
      <c r="F30" s="385"/>
    </row>
    <row r="31" spans="1:6">
      <c r="A31" s="389"/>
    </row>
    <row r="32" spans="1:6" ht="75" customHeight="1">
      <c r="A32" s="387" t="s">
        <v>774</v>
      </c>
      <c r="B32" s="387"/>
      <c r="C32" s="387"/>
      <c r="D32" s="387"/>
      <c r="E32" s="387"/>
      <c r="F32" s="387"/>
    </row>
    <row r="33" spans="1:6">
      <c r="A33" s="385" t="s">
        <v>775</v>
      </c>
      <c r="B33" s="385" t="s">
        <v>776</v>
      </c>
      <c r="C33" s="385"/>
      <c r="D33" s="385"/>
      <c r="E33" s="385"/>
      <c r="F33" s="385"/>
    </row>
    <row r="34" spans="1:6" ht="38.25" customHeight="1">
      <c r="A34" s="385" t="s">
        <v>777</v>
      </c>
      <c r="B34" s="385" t="s">
        <v>778</v>
      </c>
      <c r="C34" s="385"/>
      <c r="D34" s="385"/>
      <c r="E34" s="385"/>
      <c r="F34" s="385"/>
    </row>
    <row r="35" spans="1:6" ht="38.25" customHeight="1">
      <c r="A35" s="385" t="s">
        <v>779</v>
      </c>
      <c r="B35" s="385" t="s">
        <v>780</v>
      </c>
      <c r="C35" s="385"/>
      <c r="D35" s="385"/>
      <c r="E35" s="385"/>
      <c r="F35" s="385"/>
    </row>
    <row r="36" spans="1:6" ht="38.25" customHeight="1">
      <c r="A36" s="385" t="s">
        <v>781</v>
      </c>
      <c r="B36" s="385" t="s">
        <v>782</v>
      </c>
      <c r="C36" s="385"/>
      <c r="D36" s="385"/>
      <c r="E36" s="385"/>
      <c r="F36" s="385"/>
    </row>
    <row r="37" spans="1:6" ht="25.5" customHeight="1">
      <c r="A37" s="385" t="s">
        <v>783</v>
      </c>
      <c r="B37" s="385" t="s">
        <v>784</v>
      </c>
      <c r="C37" s="385"/>
      <c r="D37" s="385"/>
      <c r="E37" s="385"/>
      <c r="F37" s="385"/>
    </row>
    <row r="38" spans="1:6" ht="38.25" customHeight="1">
      <c r="A38" s="385" t="s">
        <v>785</v>
      </c>
      <c r="B38" s="385" t="s">
        <v>786</v>
      </c>
      <c r="C38" s="385"/>
      <c r="D38" s="385"/>
      <c r="E38" s="385"/>
      <c r="F38" s="38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787</v>
      </c>
      <c r="B1" s="385"/>
      <c r="C1" s="385"/>
      <c r="D1" s="385"/>
      <c r="E1" s="385"/>
      <c r="F1" s="385"/>
    </row>
    <row r="3" spans="1:6" ht="30" customHeight="1">
      <c r="A3" s="386" t="s">
        <v>46</v>
      </c>
      <c r="B3" s="385"/>
      <c r="C3" s="385"/>
      <c r="D3" s="385"/>
      <c r="E3" s="385"/>
      <c r="F3" s="385"/>
    </row>
    <row r="4" spans="1:6">
      <c r="A4" s="387" t="s">
        <v>285</v>
      </c>
      <c r="B4" s="387" t="s">
        <v>431</v>
      </c>
      <c r="C4" s="387" t="s">
        <v>328</v>
      </c>
      <c r="D4" s="387" t="s">
        <v>432</v>
      </c>
      <c r="E4" s="387" t="s">
        <v>433</v>
      </c>
      <c r="F4" s="387" t="s">
        <v>434</v>
      </c>
    </row>
    <row r="5" spans="1:6">
      <c r="A5" s="388" t="s">
        <v>435</v>
      </c>
      <c r="B5" s="388" t="s">
        <v>788</v>
      </c>
      <c r="C5" s="388" t="s">
        <v>789</v>
      </c>
      <c r="D5" s="388" t="s">
        <v>46</v>
      </c>
      <c r="E5" s="388" t="s">
        <v>446</v>
      </c>
      <c r="F5" s="388" t="s">
        <v>341</v>
      </c>
    </row>
    <row r="6" spans="1:6">
      <c r="A6" s="388" t="s">
        <v>440</v>
      </c>
      <c r="B6" s="388" t="s">
        <v>790</v>
      </c>
      <c r="C6" s="388" t="s">
        <v>791</v>
      </c>
      <c r="D6" s="388" t="s">
        <v>46</v>
      </c>
      <c r="E6" s="388" t="s">
        <v>486</v>
      </c>
      <c r="F6" s="388" t="s">
        <v>341</v>
      </c>
    </row>
    <row r="7" spans="1:6" ht="25.5" customHeight="1">
      <c r="A7" s="388" t="s">
        <v>443</v>
      </c>
      <c r="B7" s="388" t="s">
        <v>792</v>
      </c>
      <c r="C7" s="388" t="s">
        <v>793</v>
      </c>
      <c r="D7" s="388" t="s">
        <v>46</v>
      </c>
      <c r="E7" s="388" t="s">
        <v>513</v>
      </c>
      <c r="F7" s="388" t="s">
        <v>341</v>
      </c>
    </row>
    <row r="8" spans="1:6" ht="25.5" customHeight="1">
      <c r="A8" s="388" t="s">
        <v>447</v>
      </c>
      <c r="B8" s="388" t="s">
        <v>794</v>
      </c>
      <c r="C8" s="388" t="s">
        <v>795</v>
      </c>
      <c r="D8" s="388" t="s">
        <v>46</v>
      </c>
      <c r="E8" s="388" t="s">
        <v>796</v>
      </c>
      <c r="F8" s="388" t="s">
        <v>797</v>
      </c>
    </row>
    <row r="9" spans="1:6">
      <c r="A9" s="385" t="s">
        <v>451</v>
      </c>
      <c r="B9" s="385" t="s">
        <v>798</v>
      </c>
      <c r="C9" s="385" t="s">
        <v>799</v>
      </c>
      <c r="D9" s="385" t="s">
        <v>46</v>
      </c>
      <c r="E9" s="385" t="s">
        <v>486</v>
      </c>
      <c r="F9" s="385" t="s">
        <v>458</v>
      </c>
    </row>
    <row r="10" spans="1:6">
      <c r="A10" s="385" t="s">
        <v>455</v>
      </c>
      <c r="B10" s="385" t="s">
        <v>800</v>
      </c>
      <c r="C10" s="385" t="s">
        <v>801</v>
      </c>
      <c r="D10" s="385" t="s">
        <v>46</v>
      </c>
      <c r="E10" s="385" t="s">
        <v>446</v>
      </c>
      <c r="F10" s="385" t="s">
        <v>439</v>
      </c>
    </row>
    <row r="11" spans="1:6">
      <c r="A11" s="385" t="s">
        <v>459</v>
      </c>
      <c r="B11" s="385" t="s">
        <v>802</v>
      </c>
      <c r="C11" s="385" t="s">
        <v>803</v>
      </c>
      <c r="D11" s="385" t="s">
        <v>46</v>
      </c>
      <c r="E11" s="385" t="s">
        <v>486</v>
      </c>
      <c r="F11" s="385" t="s">
        <v>439</v>
      </c>
    </row>
    <row r="13" spans="1:6">
      <c r="A13" s="386" t="s">
        <v>474</v>
      </c>
      <c r="B13" s="385"/>
      <c r="C13" s="385"/>
      <c r="D13" s="385"/>
      <c r="E13" s="385"/>
      <c r="F13" s="385"/>
    </row>
    <row r="14" spans="1:6">
      <c r="A14" s="387" t="s">
        <v>285</v>
      </c>
      <c r="B14" s="387" t="s">
        <v>431</v>
      </c>
      <c r="C14" s="387" t="s">
        <v>328</v>
      </c>
      <c r="D14" s="387" t="s">
        <v>432</v>
      </c>
      <c r="E14" s="387" t="s">
        <v>433</v>
      </c>
      <c r="F14" s="387" t="s">
        <v>434</v>
      </c>
    </row>
    <row r="15" spans="1:6">
      <c r="A15" s="385" t="s">
        <v>475</v>
      </c>
      <c r="B15" s="385" t="s">
        <v>804</v>
      </c>
      <c r="C15" s="385" t="s">
        <v>805</v>
      </c>
      <c r="D15" s="385" t="s">
        <v>474</v>
      </c>
      <c r="E15" s="385" t="s">
        <v>438</v>
      </c>
      <c r="F15" s="385" t="s">
        <v>806</v>
      </c>
    </row>
    <row r="16" spans="1:6">
      <c r="A16" s="385" t="s">
        <v>480</v>
      </c>
      <c r="B16" s="385" t="s">
        <v>807</v>
      </c>
      <c r="C16" s="385" t="s">
        <v>808</v>
      </c>
      <c r="D16" s="385" t="s">
        <v>474</v>
      </c>
      <c r="E16" s="385" t="s">
        <v>493</v>
      </c>
      <c r="F16" s="385" t="s">
        <v>439</v>
      </c>
    </row>
    <row r="17" spans="1:6">
      <c r="A17" s="385" t="s">
        <v>483</v>
      </c>
      <c r="B17" s="385" t="s">
        <v>809</v>
      </c>
      <c r="C17" s="385" t="s">
        <v>810</v>
      </c>
      <c r="D17" s="385" t="s">
        <v>474</v>
      </c>
      <c r="E17" s="385" t="s">
        <v>450</v>
      </c>
      <c r="F17" s="385" t="s">
        <v>439</v>
      </c>
    </row>
    <row r="18" spans="1:6">
      <c r="A18" s="385" t="s">
        <v>588</v>
      </c>
      <c r="B18" s="385" t="s">
        <v>811</v>
      </c>
      <c r="C18" s="385" t="s">
        <v>812</v>
      </c>
      <c r="D18" s="385" t="s">
        <v>474</v>
      </c>
      <c r="E18" s="385" t="s">
        <v>813</v>
      </c>
      <c r="F18" s="385" t="s">
        <v>439</v>
      </c>
    </row>
    <row r="19" spans="1:6">
      <c r="A19" s="385" t="s">
        <v>694</v>
      </c>
      <c r="B19" s="385" t="s">
        <v>586</v>
      </c>
      <c r="C19" s="385" t="s">
        <v>814</v>
      </c>
      <c r="D19" s="385" t="s">
        <v>474</v>
      </c>
      <c r="E19" s="385" t="s">
        <v>581</v>
      </c>
      <c r="F19" s="385" t="s">
        <v>439</v>
      </c>
    </row>
    <row r="20" spans="1:6">
      <c r="A20" s="385" t="s">
        <v>815</v>
      </c>
      <c r="B20" s="385" t="s">
        <v>589</v>
      </c>
      <c r="C20" s="385" t="s">
        <v>590</v>
      </c>
      <c r="D20" s="385" t="s">
        <v>474</v>
      </c>
      <c r="E20" s="385" t="s">
        <v>493</v>
      </c>
      <c r="F20" s="385" t="s">
        <v>591</v>
      </c>
    </row>
    <row r="22" spans="1:6" ht="30" customHeight="1">
      <c r="A22" s="386" t="s">
        <v>492</v>
      </c>
      <c r="B22" s="385"/>
      <c r="C22" s="385"/>
      <c r="D22" s="385"/>
      <c r="E22" s="385"/>
      <c r="F22" s="385"/>
    </row>
    <row r="23" spans="1:6">
      <c r="A23" s="387" t="s">
        <v>285</v>
      </c>
      <c r="B23" s="387" t="s">
        <v>431</v>
      </c>
      <c r="C23" s="387" t="s">
        <v>328</v>
      </c>
      <c r="D23" s="387" t="s">
        <v>432</v>
      </c>
      <c r="E23" s="387" t="s">
        <v>433</v>
      </c>
      <c r="F23" s="387" t="s">
        <v>434</v>
      </c>
    </row>
    <row r="24" spans="1:6">
      <c r="A24" s="385" t="s">
        <v>592</v>
      </c>
      <c r="B24" s="385" t="s">
        <v>691</v>
      </c>
      <c r="C24" s="385" t="s">
        <v>816</v>
      </c>
      <c r="D24" s="385" t="s">
        <v>492</v>
      </c>
      <c r="E24" s="385" t="s">
        <v>478</v>
      </c>
      <c r="F24" s="385" t="s">
        <v>585</v>
      </c>
    </row>
    <row r="25" spans="1:6">
      <c r="A25" s="385" t="s">
        <v>595</v>
      </c>
      <c r="B25" s="385" t="s">
        <v>593</v>
      </c>
      <c r="C25" s="385" t="s">
        <v>695</v>
      </c>
      <c r="D25" s="385" t="s">
        <v>492</v>
      </c>
      <c r="E25" s="385" t="s">
        <v>581</v>
      </c>
      <c r="F25" s="385" t="s">
        <v>439</v>
      </c>
    </row>
    <row r="26" spans="1:6">
      <c r="A26" s="385" t="s">
        <v>600</v>
      </c>
      <c r="B26" s="385" t="s">
        <v>596</v>
      </c>
      <c r="C26" s="385" t="s">
        <v>696</v>
      </c>
      <c r="D26" s="385" t="s">
        <v>492</v>
      </c>
      <c r="E26" s="385" t="s">
        <v>817</v>
      </c>
      <c r="F26" s="385" t="s">
        <v>504</v>
      </c>
    </row>
    <row r="27" spans="1:6">
      <c r="A27" s="385" t="s">
        <v>818</v>
      </c>
      <c r="B27" s="385" t="s">
        <v>819</v>
      </c>
      <c r="C27" s="385" t="s">
        <v>820</v>
      </c>
      <c r="D27" s="385" t="s">
        <v>492</v>
      </c>
      <c r="E27" s="385" t="s">
        <v>581</v>
      </c>
      <c r="F27" s="385" t="s">
        <v>821</v>
      </c>
    </row>
    <row r="28" spans="1:6">
      <c r="A28" s="385" t="s">
        <v>822</v>
      </c>
      <c r="B28" s="385" t="s">
        <v>697</v>
      </c>
      <c r="C28" s="385" t="s">
        <v>823</v>
      </c>
      <c r="D28" s="385" t="s">
        <v>492</v>
      </c>
      <c r="E28" s="385" t="s">
        <v>478</v>
      </c>
      <c r="F28" s="385" t="s">
        <v>699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2"/>
  <sheetViews>
    <sheetView tabSelected="1" workbookViewId="0">
      <selection sqref="A1:B1"/>
    </sheetView>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22" t="s">
        <v>824</v>
      </c>
      <c r="B1" s="418"/>
      <c r="C1" s="418"/>
      <c r="D1" s="418"/>
      <c r="E1" s="418"/>
      <c r="F1" s="418"/>
    </row>
    <row r="3" spans="1:6">
      <c r="A3" s="373" t="s">
        <v>320</v>
      </c>
      <c r="B3" s="374" t="s">
        <v>825</v>
      </c>
    </row>
    <row r="4" spans="1:6">
      <c r="A4" s="373" t="s">
        <v>322</v>
      </c>
      <c r="B4" s="374">
        <v>2233</v>
      </c>
    </row>
    <row r="5" spans="1:6">
      <c r="A5" s="373" t="s">
        <v>324</v>
      </c>
      <c r="B5" s="374">
        <v>1</v>
      </c>
    </row>
    <row r="6" spans="1:6">
      <c r="A6" s="373" t="s">
        <v>377</v>
      </c>
      <c r="B6" s="374" t="s">
        <v>642</v>
      </c>
    </row>
    <row r="8" spans="1:6">
      <c r="A8" s="375" t="s">
        <v>826</v>
      </c>
      <c r="B8" s="375" t="s">
        <v>522</v>
      </c>
      <c r="C8" s="375" t="s">
        <v>827</v>
      </c>
      <c r="D8" s="375" t="s">
        <v>322</v>
      </c>
      <c r="E8" s="375" t="s">
        <v>647</v>
      </c>
      <c r="F8" s="375" t="s">
        <v>243</v>
      </c>
    </row>
    <row r="9" spans="1:6" ht="76.5" customHeight="1">
      <c r="A9" s="376" t="s">
        <v>288</v>
      </c>
      <c r="B9" s="376" t="s">
        <v>825</v>
      </c>
      <c r="C9" s="376" t="s">
        <v>828</v>
      </c>
      <c r="D9" s="376">
        <v>2233</v>
      </c>
      <c r="E9" s="376" t="s">
        <v>829</v>
      </c>
      <c r="F9" s="376" t="s">
        <v>361</v>
      </c>
    </row>
    <row r="11" spans="1:6" ht="15.75" customHeight="1">
      <c r="A11" s="420" t="s">
        <v>830</v>
      </c>
      <c r="B11" s="418"/>
      <c r="C11" s="418"/>
      <c r="D11" s="418"/>
      <c r="E11" s="418"/>
      <c r="F11" s="418"/>
    </row>
    <row r="12" spans="1:6">
      <c r="A12" s="375" t="s">
        <v>285</v>
      </c>
      <c r="B12" s="375" t="s">
        <v>431</v>
      </c>
      <c r="C12" s="375" t="s">
        <v>243</v>
      </c>
      <c r="D12" s="375" t="s">
        <v>328</v>
      </c>
    </row>
    <row r="13" spans="1:6" ht="25.5" customHeight="1">
      <c r="A13" s="377" t="s">
        <v>288</v>
      </c>
      <c r="B13" s="377" t="s">
        <v>831</v>
      </c>
      <c r="C13" s="377" t="s">
        <v>341</v>
      </c>
      <c r="D13" s="377" t="s">
        <v>832</v>
      </c>
    </row>
    <row r="14" spans="1:6" ht="25.5" customHeight="1">
      <c r="A14" s="377" t="s">
        <v>291</v>
      </c>
      <c r="B14" s="377" t="s">
        <v>833</v>
      </c>
      <c r="C14" s="377" t="s">
        <v>341</v>
      </c>
      <c r="D14" s="377" t="s">
        <v>834</v>
      </c>
    </row>
    <row r="15" spans="1:6" ht="25.5" customHeight="1">
      <c r="A15" s="377" t="s">
        <v>294</v>
      </c>
      <c r="B15" s="377" t="s">
        <v>835</v>
      </c>
      <c r="C15" s="377" t="s">
        <v>341</v>
      </c>
      <c r="D15" s="377" t="s">
        <v>836</v>
      </c>
    </row>
    <row r="16" spans="1:6" ht="25.5" customHeight="1">
      <c r="A16" s="377" t="s">
        <v>297</v>
      </c>
      <c r="B16" s="377" t="s">
        <v>837</v>
      </c>
      <c r="C16" s="377" t="s">
        <v>341</v>
      </c>
      <c r="D16" s="377" t="s">
        <v>838</v>
      </c>
    </row>
    <row r="17" spans="1:6" ht="38.25" customHeight="1">
      <c r="A17" s="377" t="s">
        <v>300</v>
      </c>
      <c r="B17" s="377" t="s">
        <v>839</v>
      </c>
      <c r="C17" s="377" t="s">
        <v>341</v>
      </c>
      <c r="D17" s="377" t="s">
        <v>840</v>
      </c>
    </row>
    <row r="18" spans="1:6">
      <c r="A18" s="377" t="s">
        <v>309</v>
      </c>
      <c r="B18" s="377" t="s">
        <v>841</v>
      </c>
      <c r="C18" s="377" t="s">
        <v>341</v>
      </c>
      <c r="D18" s="377" t="s">
        <v>842</v>
      </c>
    </row>
    <row r="19" spans="1:6" ht="25.5" customHeight="1">
      <c r="A19" s="377" t="s">
        <v>311</v>
      </c>
      <c r="B19" s="377" t="s">
        <v>843</v>
      </c>
      <c r="C19" s="377" t="s">
        <v>844</v>
      </c>
      <c r="D19" s="377" t="s">
        <v>845</v>
      </c>
    </row>
    <row r="20" spans="1:6" ht="25.5" customHeight="1">
      <c r="A20" s="377" t="s">
        <v>846</v>
      </c>
      <c r="B20" s="377" t="s">
        <v>847</v>
      </c>
      <c r="C20" s="377" t="s">
        <v>355</v>
      </c>
      <c r="D20" s="377" t="s">
        <v>848</v>
      </c>
    </row>
    <row r="22" spans="1:6" ht="15.75" customHeight="1">
      <c r="A22" s="421" t="s">
        <v>849</v>
      </c>
      <c r="B22" s="418"/>
      <c r="C22" s="418"/>
      <c r="D22" s="418"/>
      <c r="E22" s="418"/>
      <c r="F22" s="418"/>
    </row>
    <row r="23" spans="1:6" ht="51" customHeight="1">
      <c r="A23" s="378" t="s">
        <v>288</v>
      </c>
      <c r="B23" s="378" t="s">
        <v>850</v>
      </c>
      <c r="C23" s="378" t="s">
        <v>851</v>
      </c>
    </row>
    <row r="24" spans="1:6" ht="63.75" customHeight="1">
      <c r="A24" s="378" t="s">
        <v>291</v>
      </c>
      <c r="B24" s="378" t="s">
        <v>852</v>
      </c>
      <c r="C24" s="378" t="s">
        <v>853</v>
      </c>
    </row>
    <row r="25" spans="1:6" ht="114.75" customHeight="1">
      <c r="A25" s="378" t="s">
        <v>294</v>
      </c>
      <c r="B25" s="378" t="s">
        <v>854</v>
      </c>
      <c r="C25" s="378" t="s">
        <v>855</v>
      </c>
    </row>
    <row r="26" spans="1:6" ht="89.25" customHeight="1">
      <c r="A26" s="378" t="s">
        <v>297</v>
      </c>
      <c r="B26" s="378" t="s">
        <v>856</v>
      </c>
      <c r="C26" s="378" t="s">
        <v>857</v>
      </c>
    </row>
    <row r="28" spans="1:6" ht="15.75" customHeight="1">
      <c r="A28" s="420" t="s">
        <v>858</v>
      </c>
      <c r="B28" s="418"/>
      <c r="C28" s="418"/>
      <c r="D28" s="418"/>
      <c r="E28" s="418"/>
      <c r="F28" s="418"/>
    </row>
    <row r="29" spans="1:6" ht="89.25" customHeight="1">
      <c r="A29" s="377" t="s">
        <v>859</v>
      </c>
      <c r="B29" s="377" t="s">
        <v>526</v>
      </c>
      <c r="C29" s="377" t="s">
        <v>860</v>
      </c>
    </row>
    <row r="30" spans="1:6" ht="114.75" customHeight="1">
      <c r="A30" s="377" t="s">
        <v>861</v>
      </c>
      <c r="B30" s="377" t="s">
        <v>526</v>
      </c>
      <c r="C30" s="377" t="s">
        <v>862</v>
      </c>
    </row>
    <row r="31" spans="1:6" ht="76.5" customHeight="1">
      <c r="A31" s="377" t="s">
        <v>863</v>
      </c>
      <c r="B31" s="377" t="s">
        <v>526</v>
      </c>
      <c r="C31" s="377" t="s">
        <v>864</v>
      </c>
    </row>
    <row r="32" spans="1:6" ht="89.25" customHeight="1">
      <c r="A32" s="379" t="s">
        <v>865</v>
      </c>
      <c r="B32" s="379" t="s">
        <v>866</v>
      </c>
      <c r="C32" s="379" t="s">
        <v>867</v>
      </c>
    </row>
  </sheetData>
  <mergeCells count="4">
    <mergeCell ref="A11:F11"/>
    <mergeCell ref="A22:F22"/>
    <mergeCell ref="A1:F1"/>
    <mergeCell ref="A28:F2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22" t="s">
        <v>868</v>
      </c>
      <c r="B1" s="418"/>
      <c r="C1" s="418"/>
      <c r="D1" s="418"/>
      <c r="E1" s="418"/>
      <c r="F1" s="418"/>
    </row>
    <row r="3" spans="1:6" ht="15.75" customHeight="1">
      <c r="A3" s="380" t="s">
        <v>46</v>
      </c>
    </row>
    <row r="4" spans="1:6">
      <c r="A4" s="375" t="s">
        <v>285</v>
      </c>
      <c r="B4" s="375" t="s">
        <v>431</v>
      </c>
      <c r="C4" s="375" t="s">
        <v>328</v>
      </c>
      <c r="D4" s="375" t="s">
        <v>432</v>
      </c>
      <c r="E4" s="375" t="s">
        <v>433</v>
      </c>
      <c r="F4" s="375" t="s">
        <v>434</v>
      </c>
    </row>
    <row r="5" spans="1:6" ht="25.5" customHeight="1">
      <c r="A5" s="381" t="s">
        <v>435</v>
      </c>
      <c r="B5" s="381" t="s">
        <v>869</v>
      </c>
      <c r="C5" s="381" t="s">
        <v>870</v>
      </c>
      <c r="D5" s="381" t="s">
        <v>46</v>
      </c>
      <c r="E5" s="381" t="s">
        <v>486</v>
      </c>
      <c r="F5" s="381" t="s">
        <v>439</v>
      </c>
    </row>
    <row r="6" spans="1:6" ht="25.5" customHeight="1">
      <c r="A6" s="381" t="s">
        <v>440</v>
      </c>
      <c r="B6" s="381" t="s">
        <v>871</v>
      </c>
      <c r="C6" s="381" t="s">
        <v>872</v>
      </c>
      <c r="D6" s="381" t="s">
        <v>46</v>
      </c>
      <c r="E6" s="381" t="s">
        <v>493</v>
      </c>
      <c r="F6" s="381" t="s">
        <v>439</v>
      </c>
    </row>
    <row r="7" spans="1:6" ht="25.5" customHeight="1">
      <c r="A7" s="381" t="s">
        <v>443</v>
      </c>
      <c r="B7" s="381" t="s">
        <v>873</v>
      </c>
      <c r="C7" s="381" t="s">
        <v>874</v>
      </c>
      <c r="D7" s="381" t="s">
        <v>46</v>
      </c>
      <c r="E7" s="381" t="s">
        <v>796</v>
      </c>
      <c r="F7" s="381" t="s">
        <v>875</v>
      </c>
    </row>
    <row r="8" spans="1:6" ht="25.5" customHeight="1">
      <c r="A8" s="381" t="s">
        <v>447</v>
      </c>
      <c r="B8" s="381" t="s">
        <v>876</v>
      </c>
      <c r="C8" s="381" t="s">
        <v>877</v>
      </c>
      <c r="D8" s="381" t="s">
        <v>46</v>
      </c>
      <c r="E8" s="381" t="s">
        <v>446</v>
      </c>
      <c r="F8" s="381" t="s">
        <v>439</v>
      </c>
    </row>
    <row r="9" spans="1:6" ht="25.5" customHeight="1">
      <c r="A9" s="381" t="s">
        <v>451</v>
      </c>
      <c r="B9" s="381" t="s">
        <v>802</v>
      </c>
      <c r="C9" s="381" t="s">
        <v>878</v>
      </c>
      <c r="D9" s="381" t="s">
        <v>46</v>
      </c>
      <c r="E9" s="381" t="s">
        <v>486</v>
      </c>
      <c r="F9" s="381" t="s">
        <v>439</v>
      </c>
    </row>
    <row r="11" spans="1:6" ht="15.75" customHeight="1">
      <c r="A11" s="382" t="s">
        <v>474</v>
      </c>
    </row>
    <row r="12" spans="1:6">
      <c r="A12" s="375" t="s">
        <v>285</v>
      </c>
      <c r="B12" s="375" t="s">
        <v>431</v>
      </c>
      <c r="C12" s="375" t="s">
        <v>328</v>
      </c>
      <c r="D12" s="375" t="s">
        <v>432</v>
      </c>
      <c r="E12" s="375" t="s">
        <v>433</v>
      </c>
      <c r="F12" s="375" t="s">
        <v>434</v>
      </c>
    </row>
    <row r="13" spans="1:6" ht="25.5" customHeight="1">
      <c r="A13" s="381" t="s">
        <v>475</v>
      </c>
      <c r="B13" s="381" t="s">
        <v>879</v>
      </c>
      <c r="C13" s="381" t="s">
        <v>880</v>
      </c>
      <c r="D13" s="381" t="s">
        <v>474</v>
      </c>
      <c r="E13" s="381" t="s">
        <v>478</v>
      </c>
      <c r="F13" s="381" t="s">
        <v>439</v>
      </c>
    </row>
    <row r="14" spans="1:6" ht="25.5" customHeight="1">
      <c r="A14" s="381" t="s">
        <v>480</v>
      </c>
      <c r="B14" s="381" t="s">
        <v>683</v>
      </c>
      <c r="C14" s="381" t="s">
        <v>881</v>
      </c>
      <c r="D14" s="381" t="s">
        <v>474</v>
      </c>
      <c r="E14" s="381" t="s">
        <v>581</v>
      </c>
      <c r="F14" s="381" t="s">
        <v>439</v>
      </c>
    </row>
    <row r="15" spans="1:6" ht="25.5" customHeight="1">
      <c r="A15" s="381" t="s">
        <v>483</v>
      </c>
      <c r="B15" s="381" t="s">
        <v>882</v>
      </c>
      <c r="C15" s="381" t="s">
        <v>883</v>
      </c>
      <c r="D15" s="381" t="s">
        <v>474</v>
      </c>
      <c r="E15" s="381" t="s">
        <v>813</v>
      </c>
      <c r="F15" s="381" t="s">
        <v>439</v>
      </c>
    </row>
    <row r="16" spans="1:6" ht="25.5" customHeight="1">
      <c r="A16" s="381" t="s">
        <v>588</v>
      </c>
      <c r="B16" s="381" t="s">
        <v>586</v>
      </c>
      <c r="C16" s="381" t="s">
        <v>884</v>
      </c>
      <c r="D16" s="381" t="s">
        <v>474</v>
      </c>
      <c r="E16" s="381" t="s">
        <v>581</v>
      </c>
      <c r="F16" s="381" t="s">
        <v>439</v>
      </c>
    </row>
    <row r="17" spans="1:6">
      <c r="A17" s="381" t="s">
        <v>694</v>
      </c>
      <c r="B17" s="381" t="s">
        <v>589</v>
      </c>
      <c r="C17" s="381" t="s">
        <v>590</v>
      </c>
      <c r="D17" s="381" t="s">
        <v>474</v>
      </c>
      <c r="E17" s="381" t="s">
        <v>493</v>
      </c>
      <c r="F17" s="381" t="s">
        <v>591</v>
      </c>
    </row>
    <row r="18" spans="1:6">
      <c r="A18" s="381" t="s">
        <v>815</v>
      </c>
      <c r="B18" s="381" t="s">
        <v>885</v>
      </c>
      <c r="C18" s="381" t="s">
        <v>886</v>
      </c>
      <c r="D18" s="381" t="s">
        <v>474</v>
      </c>
      <c r="E18" s="381" t="s">
        <v>478</v>
      </c>
      <c r="F18" s="381" t="s">
        <v>699</v>
      </c>
    </row>
    <row r="20" spans="1:6" ht="15.75" customHeight="1">
      <c r="A20" s="383" t="s">
        <v>492</v>
      </c>
    </row>
    <row r="21" spans="1:6">
      <c r="A21" s="375" t="s">
        <v>285</v>
      </c>
      <c r="B21" s="375" t="s">
        <v>431</v>
      </c>
      <c r="C21" s="375" t="s">
        <v>328</v>
      </c>
      <c r="D21" s="375" t="s">
        <v>432</v>
      </c>
      <c r="E21" s="375" t="s">
        <v>433</v>
      </c>
      <c r="F21" s="375" t="s">
        <v>434</v>
      </c>
    </row>
    <row r="22" spans="1:6">
      <c r="A22" s="381" t="s">
        <v>592</v>
      </c>
      <c r="B22" s="381" t="s">
        <v>887</v>
      </c>
      <c r="C22" s="381" t="s">
        <v>888</v>
      </c>
      <c r="D22" s="381" t="s">
        <v>492</v>
      </c>
      <c r="E22" s="381" t="s">
        <v>581</v>
      </c>
      <c r="F22" s="381" t="s">
        <v>889</v>
      </c>
    </row>
    <row r="23" spans="1:6">
      <c r="A23" s="381" t="s">
        <v>595</v>
      </c>
      <c r="B23" s="381" t="s">
        <v>593</v>
      </c>
      <c r="C23" s="381" t="s">
        <v>695</v>
      </c>
      <c r="D23" s="381" t="s">
        <v>492</v>
      </c>
      <c r="E23" s="381" t="s">
        <v>581</v>
      </c>
      <c r="F23" s="381" t="s">
        <v>439</v>
      </c>
    </row>
    <row r="24" spans="1:6">
      <c r="A24" s="381" t="s">
        <v>600</v>
      </c>
      <c r="B24" s="381" t="s">
        <v>890</v>
      </c>
      <c r="C24" s="381" t="s">
        <v>891</v>
      </c>
      <c r="D24" s="381" t="s">
        <v>492</v>
      </c>
      <c r="E24" s="381" t="s">
        <v>817</v>
      </c>
      <c r="F24" s="381" t="s">
        <v>504</v>
      </c>
    </row>
    <row r="25" spans="1:6" ht="25.5" customHeight="1">
      <c r="A25" s="381" t="s">
        <v>818</v>
      </c>
      <c r="B25" s="381" t="s">
        <v>819</v>
      </c>
      <c r="C25" s="381" t="s">
        <v>892</v>
      </c>
      <c r="D25" s="381" t="s">
        <v>492</v>
      </c>
      <c r="E25" s="381" t="s">
        <v>581</v>
      </c>
      <c r="F25" s="381" t="s">
        <v>487</v>
      </c>
    </row>
  </sheetData>
  <mergeCells count="1">
    <mergeCell ref="A1:F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3"/>
  <sheetViews>
    <sheetView tabSelected="1" workbookViewId="0">
      <selection sqref="A1:B1"/>
    </sheetView>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23" t="s">
        <v>893</v>
      </c>
      <c r="B1" s="418"/>
      <c r="C1" s="418"/>
      <c r="D1" s="418"/>
      <c r="E1" s="418"/>
      <c r="F1" s="418"/>
    </row>
    <row r="3" spans="1:6">
      <c r="A3" s="356" t="s">
        <v>320</v>
      </c>
      <c r="B3" s="357" t="s">
        <v>894</v>
      </c>
    </row>
    <row r="4" spans="1:6">
      <c r="A4" s="356" t="s">
        <v>322</v>
      </c>
      <c r="B4" s="357" t="s">
        <v>895</v>
      </c>
    </row>
    <row r="5" spans="1:6">
      <c r="A5" s="356" t="s">
        <v>896</v>
      </c>
      <c r="B5" s="357" t="s">
        <v>297</v>
      </c>
    </row>
    <row r="6" spans="1:6">
      <c r="A6" s="356" t="s">
        <v>897</v>
      </c>
      <c r="B6" s="357" t="s">
        <v>898</v>
      </c>
    </row>
    <row r="7" spans="1:6">
      <c r="A7" s="356" t="s">
        <v>899</v>
      </c>
      <c r="B7" s="357" t="s">
        <v>900</v>
      </c>
    </row>
    <row r="8" spans="1:6">
      <c r="A8" s="356" t="s">
        <v>243</v>
      </c>
      <c r="B8" s="365" t="s">
        <v>351</v>
      </c>
    </row>
    <row r="10" spans="1:6">
      <c r="A10" s="358" t="s">
        <v>826</v>
      </c>
      <c r="B10" s="358" t="s">
        <v>522</v>
      </c>
      <c r="C10" s="358" t="s">
        <v>242</v>
      </c>
      <c r="D10" s="358" t="s">
        <v>243</v>
      </c>
      <c r="E10" s="358" t="s">
        <v>901</v>
      </c>
      <c r="F10" s="358" t="s">
        <v>244</v>
      </c>
    </row>
    <row r="11" spans="1:6" ht="42.75" customHeight="1">
      <c r="A11" s="359" t="s">
        <v>288</v>
      </c>
      <c r="B11" s="359" t="s">
        <v>902</v>
      </c>
      <c r="C11" s="359" t="s">
        <v>903</v>
      </c>
      <c r="D11" s="360" t="s">
        <v>355</v>
      </c>
      <c r="E11" s="359" t="s">
        <v>904</v>
      </c>
      <c r="F11" s="359" t="s">
        <v>905</v>
      </c>
    </row>
    <row r="12" spans="1:6" ht="42.75" customHeight="1">
      <c r="A12" s="359" t="s">
        <v>291</v>
      </c>
      <c r="B12" s="359" t="s">
        <v>906</v>
      </c>
      <c r="C12" s="359" t="s">
        <v>907</v>
      </c>
      <c r="D12" s="360" t="s">
        <v>355</v>
      </c>
      <c r="E12" s="359" t="s">
        <v>908</v>
      </c>
      <c r="F12" s="359" t="s">
        <v>909</v>
      </c>
    </row>
    <row r="13" spans="1:6" ht="42.75" customHeight="1">
      <c r="A13" s="359" t="s">
        <v>294</v>
      </c>
      <c r="B13" s="359" t="s">
        <v>910</v>
      </c>
      <c r="C13" s="359" t="s">
        <v>911</v>
      </c>
      <c r="D13" s="360" t="s">
        <v>355</v>
      </c>
      <c r="E13" s="359" t="s">
        <v>912</v>
      </c>
      <c r="F13" s="359" t="s">
        <v>913</v>
      </c>
    </row>
    <row r="14" spans="1:6" ht="57" customHeight="1">
      <c r="A14" s="359" t="s">
        <v>297</v>
      </c>
      <c r="B14" s="359" t="s">
        <v>894</v>
      </c>
      <c r="C14" s="359" t="s">
        <v>914</v>
      </c>
      <c r="D14" s="360" t="s">
        <v>355</v>
      </c>
      <c r="E14" s="359" t="s">
        <v>915</v>
      </c>
      <c r="F14" s="359" t="s">
        <v>916</v>
      </c>
    </row>
    <row r="16" spans="1:6">
      <c r="A16" s="362" t="s">
        <v>917</v>
      </c>
    </row>
    <row r="17" spans="1:6">
      <c r="A17" s="358" t="s">
        <v>286</v>
      </c>
      <c r="B17" s="358" t="s">
        <v>918</v>
      </c>
      <c r="C17" s="358" t="s">
        <v>670</v>
      </c>
      <c r="D17" s="358" t="s">
        <v>919</v>
      </c>
      <c r="E17" s="358"/>
      <c r="F17" s="358"/>
    </row>
    <row r="18" spans="1:6" ht="42.75" customHeight="1">
      <c r="A18" s="359" t="s">
        <v>920</v>
      </c>
      <c r="B18" s="359" t="s">
        <v>921</v>
      </c>
      <c r="C18" s="359" t="s">
        <v>922</v>
      </c>
      <c r="D18" s="359" t="s">
        <v>598</v>
      </c>
    </row>
    <row r="19" spans="1:6" ht="28.5" customHeight="1">
      <c r="A19" s="359" t="s">
        <v>923</v>
      </c>
      <c r="B19" s="359" t="s">
        <v>924</v>
      </c>
      <c r="C19" s="359" t="s">
        <v>925</v>
      </c>
      <c r="D19" s="359" t="s">
        <v>598</v>
      </c>
    </row>
    <row r="20" spans="1:6" ht="42.75" customHeight="1">
      <c r="A20" s="359" t="s">
        <v>926</v>
      </c>
      <c r="B20" s="359" t="s">
        <v>927</v>
      </c>
      <c r="C20" s="359" t="s">
        <v>928</v>
      </c>
      <c r="D20" s="359" t="s">
        <v>598</v>
      </c>
    </row>
    <row r="21" spans="1:6" ht="42.75" customHeight="1">
      <c r="A21" s="359" t="s">
        <v>929</v>
      </c>
      <c r="B21" s="359" t="s">
        <v>930</v>
      </c>
      <c r="C21" s="359" t="s">
        <v>931</v>
      </c>
      <c r="D21" s="359" t="s">
        <v>598</v>
      </c>
    </row>
    <row r="22" spans="1:6" ht="28.5" customHeight="1">
      <c r="A22" s="359" t="s">
        <v>932</v>
      </c>
      <c r="B22" s="359" t="s">
        <v>933</v>
      </c>
      <c r="C22" s="359" t="s">
        <v>934</v>
      </c>
      <c r="D22" s="359" t="s">
        <v>598</v>
      </c>
    </row>
    <row r="23" spans="1:6" ht="28.5" customHeight="1">
      <c r="A23" s="359" t="s">
        <v>935</v>
      </c>
      <c r="B23" s="359" t="s">
        <v>936</v>
      </c>
      <c r="C23" s="359" t="s">
        <v>937</v>
      </c>
      <c r="D23" s="359" t="s">
        <v>598</v>
      </c>
    </row>
  </sheetData>
  <mergeCells count="1">
    <mergeCell ref="A1:F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23" t="s">
        <v>938</v>
      </c>
      <c r="B1" s="418"/>
      <c r="C1" s="418"/>
      <c r="D1" s="418"/>
      <c r="E1" s="418"/>
      <c r="F1" s="418"/>
    </row>
    <row r="3" spans="1:6">
      <c r="A3" s="362" t="s">
        <v>46</v>
      </c>
    </row>
    <row r="4" spans="1:6">
      <c r="A4" s="358" t="s">
        <v>285</v>
      </c>
      <c r="B4" s="358" t="s">
        <v>431</v>
      </c>
      <c r="C4" s="358" t="s">
        <v>328</v>
      </c>
      <c r="D4" s="358" t="s">
        <v>432</v>
      </c>
      <c r="E4" s="358" t="s">
        <v>433</v>
      </c>
      <c r="F4" s="358" t="s">
        <v>434</v>
      </c>
    </row>
    <row r="5" spans="1:6" ht="28.5" customHeight="1">
      <c r="A5" s="359" t="s">
        <v>435</v>
      </c>
      <c r="B5" s="359" t="s">
        <v>939</v>
      </c>
      <c r="C5" s="359" t="s">
        <v>940</v>
      </c>
      <c r="D5" s="359" t="s">
        <v>46</v>
      </c>
      <c r="E5" s="359" t="s">
        <v>513</v>
      </c>
      <c r="F5" s="359" t="s">
        <v>439</v>
      </c>
    </row>
    <row r="6" spans="1:6" ht="28.5" customHeight="1">
      <c r="A6" s="359" t="s">
        <v>440</v>
      </c>
      <c r="B6" s="359" t="s">
        <v>941</v>
      </c>
      <c r="C6" s="359" t="s">
        <v>942</v>
      </c>
      <c r="D6" s="359" t="s">
        <v>46</v>
      </c>
      <c r="E6" s="359" t="s">
        <v>493</v>
      </c>
      <c r="F6" s="359" t="s">
        <v>439</v>
      </c>
    </row>
    <row r="7" spans="1:6" ht="28.5" customHeight="1">
      <c r="A7" s="359" t="s">
        <v>443</v>
      </c>
      <c r="B7" s="359" t="s">
        <v>943</v>
      </c>
      <c r="C7" s="359" t="s">
        <v>944</v>
      </c>
      <c r="D7" s="359" t="s">
        <v>46</v>
      </c>
      <c r="E7" s="359" t="s">
        <v>513</v>
      </c>
      <c r="F7" s="359" t="s">
        <v>439</v>
      </c>
    </row>
    <row r="8" spans="1:6">
      <c r="A8" s="359" t="s">
        <v>447</v>
      </c>
      <c r="B8" s="359" t="s">
        <v>945</v>
      </c>
      <c r="C8" s="359" t="s">
        <v>946</v>
      </c>
      <c r="D8" s="359" t="s">
        <v>46</v>
      </c>
      <c r="E8" s="359" t="s">
        <v>796</v>
      </c>
      <c r="F8" s="359" t="s">
        <v>598</v>
      </c>
    </row>
    <row r="9" spans="1:6">
      <c r="A9" s="359" t="s">
        <v>451</v>
      </c>
      <c r="B9" s="359" t="s">
        <v>947</v>
      </c>
      <c r="C9" s="359" t="s">
        <v>948</v>
      </c>
      <c r="D9" s="359" t="s">
        <v>46</v>
      </c>
      <c r="E9" s="359" t="s">
        <v>446</v>
      </c>
      <c r="F9" s="359" t="s">
        <v>806</v>
      </c>
    </row>
    <row r="11" spans="1:6">
      <c r="A11" s="363" t="s">
        <v>474</v>
      </c>
    </row>
    <row r="12" spans="1:6">
      <c r="A12" s="358" t="s">
        <v>285</v>
      </c>
      <c r="B12" s="358" t="s">
        <v>431</v>
      </c>
      <c r="C12" s="358" t="s">
        <v>328</v>
      </c>
      <c r="D12" s="358" t="s">
        <v>432</v>
      </c>
      <c r="E12" s="358" t="s">
        <v>433</v>
      </c>
      <c r="F12" s="358" t="s">
        <v>434</v>
      </c>
    </row>
    <row r="13" spans="1:6" ht="28.5" customHeight="1">
      <c r="A13" s="359" t="s">
        <v>475</v>
      </c>
      <c r="B13" s="359" t="s">
        <v>949</v>
      </c>
      <c r="C13" s="359" t="s">
        <v>950</v>
      </c>
      <c r="D13" s="359" t="s">
        <v>474</v>
      </c>
      <c r="E13" s="359" t="s">
        <v>581</v>
      </c>
      <c r="F13" s="359" t="s">
        <v>439</v>
      </c>
    </row>
    <row r="14" spans="1:6" ht="28.5" customHeight="1">
      <c r="A14" s="359" t="s">
        <v>480</v>
      </c>
      <c r="B14" s="359" t="s">
        <v>951</v>
      </c>
      <c r="C14" s="359" t="s">
        <v>952</v>
      </c>
      <c r="D14" s="359" t="s">
        <v>474</v>
      </c>
      <c r="E14" s="359" t="s">
        <v>581</v>
      </c>
      <c r="F14" s="359" t="s">
        <v>953</v>
      </c>
    </row>
    <row r="15" spans="1:6" ht="28.5" customHeight="1">
      <c r="A15" s="359" t="s">
        <v>483</v>
      </c>
      <c r="B15" s="359" t="s">
        <v>589</v>
      </c>
      <c r="C15" s="359" t="s">
        <v>954</v>
      </c>
      <c r="D15" s="359" t="s">
        <v>474</v>
      </c>
      <c r="E15" s="359" t="s">
        <v>493</v>
      </c>
      <c r="F15" s="359" t="s">
        <v>591</v>
      </c>
    </row>
    <row r="16" spans="1:6">
      <c r="A16" s="359" t="s">
        <v>588</v>
      </c>
      <c r="B16" s="359" t="s">
        <v>955</v>
      </c>
      <c r="C16" s="359" t="s">
        <v>956</v>
      </c>
      <c r="D16" s="359" t="s">
        <v>474</v>
      </c>
      <c r="E16" s="359" t="s">
        <v>796</v>
      </c>
      <c r="F16" s="359" t="s">
        <v>598</v>
      </c>
    </row>
    <row r="17" spans="1:6" ht="28.5" customHeight="1">
      <c r="A17" s="359" t="s">
        <v>694</v>
      </c>
      <c r="B17" s="359" t="s">
        <v>957</v>
      </c>
      <c r="C17" s="359" t="s">
        <v>936</v>
      </c>
      <c r="D17" s="359" t="s">
        <v>474</v>
      </c>
      <c r="E17" s="359" t="s">
        <v>478</v>
      </c>
      <c r="F17" s="359" t="s">
        <v>699</v>
      </c>
    </row>
    <row r="18" spans="1:6">
      <c r="A18" s="359" t="s">
        <v>815</v>
      </c>
      <c r="B18" s="359" t="s">
        <v>586</v>
      </c>
      <c r="C18" s="359" t="s">
        <v>958</v>
      </c>
      <c r="D18" s="359" t="s">
        <v>474</v>
      </c>
      <c r="E18" s="359" t="s">
        <v>581</v>
      </c>
      <c r="F18" s="359" t="s">
        <v>439</v>
      </c>
    </row>
    <row r="20" spans="1:6">
      <c r="A20" s="364" t="s">
        <v>492</v>
      </c>
    </row>
    <row r="21" spans="1:6">
      <c r="A21" s="358" t="s">
        <v>285</v>
      </c>
      <c r="B21" s="358" t="s">
        <v>431</v>
      </c>
      <c r="C21" s="358" t="s">
        <v>328</v>
      </c>
      <c r="D21" s="358" t="s">
        <v>432</v>
      </c>
      <c r="E21" s="358" t="s">
        <v>433</v>
      </c>
      <c r="F21" s="358" t="s">
        <v>434</v>
      </c>
    </row>
    <row r="22" spans="1:6">
      <c r="A22" s="359" t="s">
        <v>592</v>
      </c>
      <c r="B22" s="359" t="s">
        <v>887</v>
      </c>
      <c r="C22" s="359" t="s">
        <v>959</v>
      </c>
      <c r="D22" s="359" t="s">
        <v>492</v>
      </c>
      <c r="E22" s="359" t="s">
        <v>581</v>
      </c>
      <c r="F22" s="359" t="s">
        <v>693</v>
      </c>
    </row>
    <row r="23" spans="1:6" ht="28.5" customHeight="1">
      <c r="A23" s="359" t="s">
        <v>595</v>
      </c>
      <c r="B23" s="359" t="s">
        <v>960</v>
      </c>
      <c r="C23" s="359" t="s">
        <v>961</v>
      </c>
      <c r="D23" s="359" t="s">
        <v>492</v>
      </c>
      <c r="E23" s="359" t="s">
        <v>813</v>
      </c>
      <c r="F23" s="359" t="s">
        <v>439</v>
      </c>
    </row>
    <row r="24" spans="1:6">
      <c r="A24" s="359" t="s">
        <v>600</v>
      </c>
      <c r="B24" s="359" t="s">
        <v>593</v>
      </c>
      <c r="C24" s="359" t="s">
        <v>962</v>
      </c>
      <c r="D24" s="359" t="s">
        <v>492</v>
      </c>
      <c r="E24" s="359" t="s">
        <v>581</v>
      </c>
      <c r="F24" s="359" t="s">
        <v>439</v>
      </c>
    </row>
    <row r="25" spans="1:6" ht="28.5" customHeight="1">
      <c r="A25" s="359" t="s">
        <v>818</v>
      </c>
      <c r="B25" s="359" t="s">
        <v>890</v>
      </c>
      <c r="C25" s="359" t="s">
        <v>963</v>
      </c>
      <c r="D25" s="359" t="s">
        <v>492</v>
      </c>
      <c r="E25" s="359" t="s">
        <v>817</v>
      </c>
      <c r="F25" s="359" t="s">
        <v>964</v>
      </c>
    </row>
  </sheetData>
  <mergeCells count="1">
    <mergeCell ref="A1:F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23" t="s">
        <v>965</v>
      </c>
      <c r="B1" s="418"/>
      <c r="C1" s="418"/>
      <c r="D1" s="418"/>
      <c r="E1" s="418"/>
      <c r="F1" s="418"/>
      <c r="G1" s="418"/>
    </row>
    <row r="3" spans="1:7">
      <c r="A3" s="356" t="s">
        <v>377</v>
      </c>
      <c r="B3" s="357" t="s">
        <v>378</v>
      </c>
    </row>
    <row r="4" spans="1:7">
      <c r="A4" s="356" t="s">
        <v>708</v>
      </c>
      <c r="B4" s="357" t="s">
        <v>966</v>
      </c>
    </row>
    <row r="5" spans="1:7">
      <c r="A5" s="356" t="s">
        <v>379</v>
      </c>
      <c r="B5" s="357" t="s">
        <v>710</v>
      </c>
    </row>
    <row r="6" spans="1:7">
      <c r="A6" s="356" t="s">
        <v>967</v>
      </c>
      <c r="B6" s="357" t="s">
        <v>968</v>
      </c>
    </row>
    <row r="8" spans="1:7" ht="15.75" customHeight="1">
      <c r="A8" s="355" t="s">
        <v>969</v>
      </c>
    </row>
    <row r="9" spans="1:7">
      <c r="A9" s="358" t="s">
        <v>431</v>
      </c>
      <c r="B9" s="358" t="s">
        <v>242</v>
      </c>
      <c r="C9" s="358" t="s">
        <v>392</v>
      </c>
      <c r="D9" s="358" t="s">
        <v>322</v>
      </c>
      <c r="E9" s="358" t="s">
        <v>243</v>
      </c>
      <c r="F9" s="358" t="s">
        <v>390</v>
      </c>
      <c r="G9" s="358" t="s">
        <v>970</v>
      </c>
    </row>
    <row r="10" spans="1:7" ht="57" customHeight="1">
      <c r="A10" s="359" t="s">
        <v>971</v>
      </c>
      <c r="B10" s="359" t="s">
        <v>972</v>
      </c>
      <c r="C10" s="359" t="s">
        <v>973</v>
      </c>
      <c r="D10" s="359" t="s">
        <v>974</v>
      </c>
      <c r="E10" s="360" t="s">
        <v>975</v>
      </c>
      <c r="F10" s="359" t="s">
        <v>976</v>
      </c>
      <c r="G10" s="359" t="s">
        <v>977</v>
      </c>
    </row>
    <row r="11" spans="1:7" ht="42.75" customHeight="1">
      <c r="A11" s="359" t="s">
        <v>978</v>
      </c>
      <c r="B11" s="359" t="s">
        <v>979</v>
      </c>
      <c r="C11" s="359" t="s">
        <v>980</v>
      </c>
      <c r="D11" s="359" t="s">
        <v>981</v>
      </c>
      <c r="E11" s="360" t="s">
        <v>975</v>
      </c>
      <c r="F11" s="359" t="s">
        <v>982</v>
      </c>
      <c r="G11" s="359" t="s">
        <v>977</v>
      </c>
    </row>
    <row r="12" spans="1:7" ht="28.5" customHeight="1">
      <c r="A12" s="359" t="s">
        <v>983</v>
      </c>
      <c r="B12" s="359" t="s">
        <v>984</v>
      </c>
      <c r="C12" s="359" t="s">
        <v>985</v>
      </c>
      <c r="D12" s="359" t="s">
        <v>986</v>
      </c>
      <c r="E12" s="360" t="s">
        <v>975</v>
      </c>
      <c r="F12" s="359" t="s">
        <v>987</v>
      </c>
      <c r="G12" s="359" t="s">
        <v>977</v>
      </c>
    </row>
    <row r="13" spans="1:7" ht="42.75" customHeight="1">
      <c r="A13" s="359" t="s">
        <v>988</v>
      </c>
      <c r="B13" s="359" t="s">
        <v>989</v>
      </c>
      <c r="C13" s="359" t="s">
        <v>990</v>
      </c>
      <c r="D13" s="359" t="s">
        <v>991</v>
      </c>
      <c r="E13" s="360" t="s">
        <v>975</v>
      </c>
      <c r="F13" s="359" t="s">
        <v>992</v>
      </c>
      <c r="G13" s="359" t="s">
        <v>977</v>
      </c>
    </row>
    <row r="14" spans="1:7" ht="71.25" customHeight="1">
      <c r="A14" s="359" t="s">
        <v>993</v>
      </c>
      <c r="B14" s="359" t="s">
        <v>994</v>
      </c>
      <c r="C14" s="359" t="s">
        <v>995</v>
      </c>
      <c r="D14" s="359" t="s">
        <v>996</v>
      </c>
      <c r="E14" s="361" t="s">
        <v>997</v>
      </c>
      <c r="F14" s="359" t="s">
        <v>998</v>
      </c>
      <c r="G14" s="359" t="s">
        <v>977</v>
      </c>
    </row>
    <row r="15" spans="1:7" ht="42.75" customHeight="1">
      <c r="A15" s="359" t="s">
        <v>999</v>
      </c>
      <c r="B15" s="359" t="s">
        <v>1000</v>
      </c>
      <c r="C15" s="359" t="s">
        <v>1001</v>
      </c>
      <c r="D15" s="359" t="s">
        <v>1002</v>
      </c>
      <c r="E15" s="360" t="s">
        <v>975</v>
      </c>
      <c r="F15" s="359" t="s">
        <v>1003</v>
      </c>
      <c r="G15" s="359" t="s">
        <v>977</v>
      </c>
    </row>
    <row r="16" spans="1:7" ht="28.5" customHeight="1">
      <c r="A16" s="359" t="s">
        <v>1004</v>
      </c>
      <c r="B16" s="359" t="s">
        <v>1005</v>
      </c>
      <c r="C16" s="359" t="s">
        <v>1006</v>
      </c>
      <c r="D16" s="359" t="s">
        <v>915</v>
      </c>
      <c r="E16" s="360" t="s">
        <v>975</v>
      </c>
      <c r="F16" s="359" t="s">
        <v>1007</v>
      </c>
      <c r="G16" s="359" t="s">
        <v>915</v>
      </c>
    </row>
    <row r="17" spans="1:7" ht="42.75" customHeight="1">
      <c r="A17" s="359" t="s">
        <v>846</v>
      </c>
      <c r="B17" s="359" t="s">
        <v>1008</v>
      </c>
      <c r="C17" s="359" t="s">
        <v>1009</v>
      </c>
      <c r="D17" s="359" t="s">
        <v>1010</v>
      </c>
      <c r="E17" s="360" t="s">
        <v>975</v>
      </c>
      <c r="F17" s="359" t="s">
        <v>1011</v>
      </c>
      <c r="G17" s="359" t="s">
        <v>977</v>
      </c>
    </row>
    <row r="19" spans="1:7" ht="15.75" customHeight="1">
      <c r="A19" s="355" t="s">
        <v>1012</v>
      </c>
    </row>
    <row r="20" spans="1:7">
      <c r="A20" s="365" t="s">
        <v>1013</v>
      </c>
    </row>
    <row r="21" spans="1:7">
      <c r="A21" s="368" t="s">
        <v>286</v>
      </c>
      <c r="B21" s="368" t="s">
        <v>1014</v>
      </c>
      <c r="C21" s="368" t="s">
        <v>243</v>
      </c>
      <c r="D21" s="368" t="s">
        <v>244</v>
      </c>
    </row>
    <row r="22" spans="1:7" ht="71.25" customHeight="1">
      <c r="A22" s="359" t="s">
        <v>1015</v>
      </c>
      <c r="B22" s="359" t="s">
        <v>1016</v>
      </c>
      <c r="C22" s="360" t="s">
        <v>351</v>
      </c>
      <c r="D22" s="359" t="s">
        <v>1017</v>
      </c>
    </row>
    <row r="23" spans="1:7" ht="71.25" customHeight="1">
      <c r="A23" s="359" t="s">
        <v>1018</v>
      </c>
      <c r="B23" s="359" t="s">
        <v>1016</v>
      </c>
      <c r="C23" s="360" t="s">
        <v>351</v>
      </c>
      <c r="D23" s="359" t="s">
        <v>1019</v>
      </c>
    </row>
    <row r="24" spans="1:7" ht="156.75" customHeight="1">
      <c r="A24" s="359" t="s">
        <v>1020</v>
      </c>
      <c r="B24" s="359" t="s">
        <v>1021</v>
      </c>
      <c r="C24" s="360" t="s">
        <v>351</v>
      </c>
      <c r="D24" s="359" t="s">
        <v>1022</v>
      </c>
    </row>
    <row r="25" spans="1:7" ht="57" customHeight="1">
      <c r="A25" s="359" t="s">
        <v>1023</v>
      </c>
      <c r="B25" s="359" t="s">
        <v>1024</v>
      </c>
      <c r="C25" s="360" t="s">
        <v>351</v>
      </c>
      <c r="D25" s="359" t="s">
        <v>1025</v>
      </c>
    </row>
    <row r="27" spans="1:7">
      <c r="A27" s="362" t="s">
        <v>1026</v>
      </c>
    </row>
    <row r="28" spans="1:7">
      <c r="A28" s="368" t="s">
        <v>242</v>
      </c>
      <c r="B28" s="368" t="s">
        <v>390</v>
      </c>
      <c r="C28" s="368" t="s">
        <v>1027</v>
      </c>
      <c r="D28" s="368" t="s">
        <v>1028</v>
      </c>
    </row>
    <row r="29" spans="1:7" ht="45" customHeight="1">
      <c r="A29" s="359" t="s">
        <v>1029</v>
      </c>
      <c r="B29" s="359" t="s">
        <v>976</v>
      </c>
      <c r="C29" s="359" t="s">
        <v>1030</v>
      </c>
      <c r="D29" s="367" t="s">
        <v>1031</v>
      </c>
    </row>
    <row r="30" spans="1:7" ht="42.75" customHeight="1">
      <c r="A30" s="359" t="s">
        <v>1032</v>
      </c>
      <c r="B30" s="359" t="s">
        <v>1011</v>
      </c>
      <c r="C30" s="359" t="s">
        <v>1033</v>
      </c>
      <c r="D30" s="367" t="s">
        <v>1034</v>
      </c>
    </row>
    <row r="31" spans="1:7" ht="28.5" customHeight="1">
      <c r="A31" s="359" t="s">
        <v>984</v>
      </c>
      <c r="B31" s="359" t="s">
        <v>987</v>
      </c>
      <c r="C31" s="359" t="s">
        <v>1035</v>
      </c>
      <c r="D31" s="367" t="s">
        <v>1034</v>
      </c>
    </row>
    <row r="32" spans="1:7" ht="42.75" customHeight="1">
      <c r="A32" s="359" t="s">
        <v>1036</v>
      </c>
      <c r="B32" s="359" t="s">
        <v>992</v>
      </c>
      <c r="C32" s="359" t="s">
        <v>1037</v>
      </c>
      <c r="D32" s="367" t="s">
        <v>1034</v>
      </c>
    </row>
    <row r="33" spans="1:4" ht="42.75" customHeight="1">
      <c r="A33" s="359" t="s">
        <v>1038</v>
      </c>
      <c r="B33" s="359" t="s">
        <v>1039</v>
      </c>
      <c r="C33" s="359" t="s">
        <v>1040</v>
      </c>
      <c r="D33" s="367" t="s">
        <v>1034</v>
      </c>
    </row>
    <row r="34" spans="1:4" ht="42.75" customHeight="1">
      <c r="A34" s="359" t="s">
        <v>1041</v>
      </c>
      <c r="B34" s="359" t="s">
        <v>1042</v>
      </c>
      <c r="C34" s="359" t="s">
        <v>1040</v>
      </c>
      <c r="D34" s="367" t="s">
        <v>1034</v>
      </c>
    </row>
    <row r="35" spans="1:4" ht="60" customHeight="1">
      <c r="A35" s="359" t="s">
        <v>589</v>
      </c>
      <c r="B35" s="359" t="s">
        <v>1043</v>
      </c>
      <c r="C35" s="359" t="s">
        <v>1044</v>
      </c>
      <c r="D35" s="367" t="s">
        <v>1045</v>
      </c>
    </row>
  </sheetData>
  <mergeCells count="1">
    <mergeCell ref="A1:G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23" t="s">
        <v>1046</v>
      </c>
      <c r="B1" s="418"/>
      <c r="C1" s="418"/>
      <c r="D1" s="418"/>
      <c r="E1" s="418"/>
      <c r="F1" s="418"/>
    </row>
    <row r="3" spans="1:6">
      <c r="A3" s="362" t="s">
        <v>46</v>
      </c>
    </row>
    <row r="4" spans="1:6">
      <c r="A4" s="358" t="s">
        <v>285</v>
      </c>
      <c r="B4" s="358" t="s">
        <v>431</v>
      </c>
      <c r="C4" s="358" t="s">
        <v>328</v>
      </c>
      <c r="D4" s="358" t="s">
        <v>432</v>
      </c>
      <c r="E4" s="358" t="s">
        <v>433</v>
      </c>
      <c r="F4" s="358" t="s">
        <v>434</v>
      </c>
    </row>
    <row r="5" spans="1:6" ht="57" customHeight="1">
      <c r="A5" s="370" t="s">
        <v>1047</v>
      </c>
      <c r="B5" s="370" t="s">
        <v>1048</v>
      </c>
      <c r="C5" s="359" t="s">
        <v>1049</v>
      </c>
      <c r="D5" s="359" t="s">
        <v>46</v>
      </c>
      <c r="E5" s="359" t="s">
        <v>493</v>
      </c>
      <c r="F5" s="359" t="s">
        <v>1050</v>
      </c>
    </row>
    <row r="6" spans="1:6" ht="42.75" customHeight="1">
      <c r="A6" s="359" t="s">
        <v>435</v>
      </c>
      <c r="B6" s="359" t="s">
        <v>1051</v>
      </c>
      <c r="C6" s="359" t="s">
        <v>1052</v>
      </c>
      <c r="D6" s="359" t="s">
        <v>46</v>
      </c>
      <c r="E6" s="359" t="s">
        <v>493</v>
      </c>
      <c r="F6" s="359" t="s">
        <v>439</v>
      </c>
    </row>
    <row r="7" spans="1:6" ht="28.5" customHeight="1">
      <c r="A7" s="359" t="s">
        <v>440</v>
      </c>
      <c r="B7" s="359" t="s">
        <v>1053</v>
      </c>
      <c r="C7" s="359" t="s">
        <v>1054</v>
      </c>
      <c r="D7" s="359" t="s">
        <v>46</v>
      </c>
      <c r="E7" s="359" t="s">
        <v>493</v>
      </c>
      <c r="F7" s="359" t="s">
        <v>439</v>
      </c>
    </row>
    <row r="8" spans="1:6" ht="28.5" customHeight="1">
      <c r="A8" s="359" t="s">
        <v>443</v>
      </c>
      <c r="B8" s="359" t="s">
        <v>1055</v>
      </c>
      <c r="C8" s="359" t="s">
        <v>1056</v>
      </c>
      <c r="D8" s="359" t="s">
        <v>46</v>
      </c>
      <c r="E8" s="359" t="s">
        <v>513</v>
      </c>
      <c r="F8" s="359" t="s">
        <v>439</v>
      </c>
    </row>
    <row r="9" spans="1:6">
      <c r="A9" s="359" t="s">
        <v>447</v>
      </c>
      <c r="B9" s="359" t="s">
        <v>1057</v>
      </c>
      <c r="C9" s="359" t="s">
        <v>1058</v>
      </c>
      <c r="D9" s="359" t="s">
        <v>46</v>
      </c>
      <c r="E9" s="359" t="s">
        <v>513</v>
      </c>
      <c r="F9" s="359" t="s">
        <v>439</v>
      </c>
    </row>
    <row r="10" spans="1:6" ht="28.5" customHeight="1">
      <c r="A10" s="359" t="s">
        <v>451</v>
      </c>
      <c r="B10" s="359" t="s">
        <v>1059</v>
      </c>
      <c r="C10" s="359" t="s">
        <v>1060</v>
      </c>
      <c r="D10" s="359" t="s">
        <v>46</v>
      </c>
      <c r="E10" s="359" t="s">
        <v>486</v>
      </c>
      <c r="F10" s="359" t="s">
        <v>439</v>
      </c>
    </row>
    <row r="11" spans="1:6" ht="28.5" customHeight="1">
      <c r="A11" s="359" t="s">
        <v>455</v>
      </c>
      <c r="B11" s="359" t="s">
        <v>1061</v>
      </c>
      <c r="C11" s="359" t="s">
        <v>1062</v>
      </c>
      <c r="D11" s="359" t="s">
        <v>46</v>
      </c>
      <c r="E11" s="359" t="s">
        <v>450</v>
      </c>
      <c r="F11" s="359" t="s">
        <v>439</v>
      </c>
    </row>
    <row r="13" spans="1:6">
      <c r="A13" s="363" t="s">
        <v>474</v>
      </c>
    </row>
    <row r="14" spans="1:6">
      <c r="A14" s="358" t="s">
        <v>285</v>
      </c>
      <c r="B14" s="358" t="s">
        <v>431</v>
      </c>
      <c r="C14" s="358" t="s">
        <v>328</v>
      </c>
      <c r="D14" s="358" t="s">
        <v>432</v>
      </c>
      <c r="E14" s="358" t="s">
        <v>433</v>
      </c>
      <c r="F14" s="358" t="s">
        <v>434</v>
      </c>
    </row>
    <row r="15" spans="1:6" ht="28.5" customHeight="1">
      <c r="A15" s="359" t="s">
        <v>475</v>
      </c>
      <c r="B15" s="359" t="s">
        <v>1063</v>
      </c>
      <c r="C15" s="359" t="s">
        <v>1064</v>
      </c>
      <c r="D15" s="359" t="s">
        <v>474</v>
      </c>
      <c r="E15" s="359" t="s">
        <v>513</v>
      </c>
      <c r="F15" s="359" t="s">
        <v>439</v>
      </c>
    </row>
    <row r="16" spans="1:6" ht="28.5" customHeight="1">
      <c r="A16" s="359" t="s">
        <v>480</v>
      </c>
      <c r="B16" s="359" t="s">
        <v>1065</v>
      </c>
      <c r="C16" s="359" t="s">
        <v>1066</v>
      </c>
      <c r="D16" s="359" t="s">
        <v>474</v>
      </c>
      <c r="E16" s="359" t="s">
        <v>493</v>
      </c>
      <c r="F16" s="359" t="s">
        <v>439</v>
      </c>
    </row>
    <row r="17" spans="1:6" ht="28.5" customHeight="1">
      <c r="A17" s="359" t="s">
        <v>483</v>
      </c>
      <c r="B17" s="359" t="s">
        <v>1067</v>
      </c>
      <c r="C17" s="359" t="s">
        <v>1068</v>
      </c>
      <c r="D17" s="359" t="s">
        <v>474</v>
      </c>
      <c r="E17" s="359" t="s">
        <v>486</v>
      </c>
      <c r="F17" s="359" t="s">
        <v>439</v>
      </c>
    </row>
    <row r="18" spans="1:6">
      <c r="A18" s="359" t="s">
        <v>588</v>
      </c>
      <c r="B18" s="359" t="s">
        <v>1069</v>
      </c>
      <c r="C18" s="359" t="s">
        <v>1070</v>
      </c>
      <c r="D18" s="359" t="s">
        <v>474</v>
      </c>
      <c r="E18" s="359" t="s">
        <v>581</v>
      </c>
      <c r="F18" s="359" t="s">
        <v>1071</v>
      </c>
    </row>
    <row r="20" spans="1:6">
      <c r="A20" s="364" t="s">
        <v>492</v>
      </c>
    </row>
    <row r="21" spans="1:6">
      <c r="A21" s="358" t="s">
        <v>285</v>
      </c>
      <c r="B21" s="358" t="s">
        <v>431</v>
      </c>
      <c r="C21" s="358" t="s">
        <v>328</v>
      </c>
      <c r="D21" s="358" t="s">
        <v>432</v>
      </c>
      <c r="E21" s="358" t="s">
        <v>433</v>
      </c>
      <c r="F21" s="358" t="s">
        <v>434</v>
      </c>
    </row>
    <row r="22" spans="1:6" ht="28.5" customHeight="1">
      <c r="A22" s="359" t="s">
        <v>592</v>
      </c>
      <c r="B22" s="359" t="s">
        <v>1072</v>
      </c>
      <c r="C22" s="359" t="s">
        <v>1073</v>
      </c>
      <c r="D22" s="359" t="s">
        <v>492</v>
      </c>
      <c r="E22" s="359" t="s">
        <v>581</v>
      </c>
      <c r="F22" s="359" t="s">
        <v>1074</v>
      </c>
    </row>
    <row r="23" spans="1:6" ht="28.5" customHeight="1">
      <c r="A23" s="359" t="s">
        <v>595</v>
      </c>
      <c r="B23" s="359" t="s">
        <v>1075</v>
      </c>
      <c r="C23" s="359" t="s">
        <v>1076</v>
      </c>
      <c r="D23" s="359" t="s">
        <v>492</v>
      </c>
      <c r="E23" s="359" t="s">
        <v>581</v>
      </c>
      <c r="F23" s="359" t="s">
        <v>439</v>
      </c>
    </row>
    <row r="24" spans="1:6" ht="28.5" customHeight="1">
      <c r="A24" s="359" t="s">
        <v>600</v>
      </c>
      <c r="B24" s="359" t="s">
        <v>1077</v>
      </c>
      <c r="C24" s="359" t="s">
        <v>1078</v>
      </c>
      <c r="D24" s="359" t="s">
        <v>492</v>
      </c>
      <c r="E24" s="359" t="s">
        <v>813</v>
      </c>
      <c r="F24" s="359" t="s">
        <v>439</v>
      </c>
    </row>
    <row r="25" spans="1:6" ht="28.5" customHeight="1">
      <c r="A25" s="359" t="s">
        <v>818</v>
      </c>
      <c r="B25" s="359" t="s">
        <v>1079</v>
      </c>
      <c r="C25" s="359" t="s">
        <v>1080</v>
      </c>
      <c r="D25" s="359" t="s">
        <v>492</v>
      </c>
      <c r="E25" s="359" t="s">
        <v>817</v>
      </c>
      <c r="F25" s="359" t="s">
        <v>964</v>
      </c>
    </row>
    <row r="26" spans="1:6" ht="28.5" customHeight="1">
      <c r="A26" s="359" t="s">
        <v>822</v>
      </c>
      <c r="B26" s="359" t="s">
        <v>1081</v>
      </c>
      <c r="C26" s="359" t="s">
        <v>1082</v>
      </c>
      <c r="D26" s="359" t="s">
        <v>492</v>
      </c>
      <c r="E26" s="359" t="s">
        <v>1083</v>
      </c>
      <c r="F26" s="359" t="s">
        <v>1084</v>
      </c>
    </row>
    <row r="28" spans="1:6">
      <c r="A28" s="362" t="s">
        <v>1085</v>
      </c>
    </row>
    <row r="29" spans="1:6">
      <c r="A29" s="358" t="s">
        <v>285</v>
      </c>
      <c r="B29" s="358" t="s">
        <v>431</v>
      </c>
      <c r="C29" s="358" t="s">
        <v>328</v>
      </c>
      <c r="D29" s="358" t="s">
        <v>432</v>
      </c>
      <c r="E29" s="358" t="s">
        <v>433</v>
      </c>
      <c r="F29" s="358" t="s">
        <v>434</v>
      </c>
    </row>
    <row r="30" spans="1:6" ht="28.5" customHeight="1">
      <c r="A30" s="359" t="s">
        <v>1086</v>
      </c>
      <c r="B30" s="359" t="s">
        <v>955</v>
      </c>
      <c r="C30" s="359" t="s">
        <v>1087</v>
      </c>
      <c r="D30" s="359" t="s">
        <v>46</v>
      </c>
      <c r="E30" s="359" t="s">
        <v>796</v>
      </c>
      <c r="F30" s="359" t="s">
        <v>817</v>
      </c>
    </row>
    <row r="31" spans="1:6" ht="28.5" customHeight="1">
      <c r="A31" s="359" t="s">
        <v>1088</v>
      </c>
      <c r="B31" s="359" t="s">
        <v>1089</v>
      </c>
      <c r="C31" s="359" t="s">
        <v>1090</v>
      </c>
      <c r="D31" s="359" t="s">
        <v>474</v>
      </c>
      <c r="E31" s="359" t="s">
        <v>817</v>
      </c>
      <c r="F31" s="359" t="s">
        <v>1091</v>
      </c>
    </row>
    <row r="32" spans="1:6" ht="28.5" customHeight="1">
      <c r="A32" s="359" t="s">
        <v>1092</v>
      </c>
      <c r="B32" s="359" t="s">
        <v>1093</v>
      </c>
      <c r="C32" s="359" t="s">
        <v>1094</v>
      </c>
      <c r="D32" s="359" t="s">
        <v>474</v>
      </c>
      <c r="E32" s="359" t="s">
        <v>817</v>
      </c>
      <c r="F32" s="359" t="s">
        <v>964</v>
      </c>
    </row>
    <row r="33" spans="1:6">
      <c r="A33" s="359" t="s">
        <v>1095</v>
      </c>
      <c r="B33" s="359" t="s">
        <v>1096</v>
      </c>
      <c r="C33" s="359" t="s">
        <v>1097</v>
      </c>
      <c r="D33" s="359" t="s">
        <v>474</v>
      </c>
      <c r="E33" s="359" t="s">
        <v>486</v>
      </c>
      <c r="F33" s="359" t="s">
        <v>817</v>
      </c>
    </row>
    <row r="34" spans="1:6" ht="28.5" customHeight="1">
      <c r="A34" s="359" t="s">
        <v>1098</v>
      </c>
      <c r="B34" s="359" t="s">
        <v>957</v>
      </c>
      <c r="C34" s="359" t="s">
        <v>1099</v>
      </c>
      <c r="D34" s="359" t="s">
        <v>474</v>
      </c>
      <c r="E34" s="359" t="s">
        <v>478</v>
      </c>
      <c r="F34" s="359" t="s">
        <v>699</v>
      </c>
    </row>
    <row r="35" spans="1:6">
      <c r="A35" s="359" t="s">
        <v>1100</v>
      </c>
      <c r="B35" s="359" t="s">
        <v>1101</v>
      </c>
      <c r="C35" s="359" t="s">
        <v>1102</v>
      </c>
      <c r="D35" s="359" t="s">
        <v>492</v>
      </c>
      <c r="E35" s="359" t="s">
        <v>513</v>
      </c>
      <c r="F35" s="359" t="s">
        <v>439</v>
      </c>
    </row>
    <row r="36" spans="1:6">
      <c r="A36" s="359" t="s">
        <v>1103</v>
      </c>
      <c r="B36" s="359" t="s">
        <v>1104</v>
      </c>
      <c r="C36" s="359" t="s">
        <v>1105</v>
      </c>
      <c r="D36" s="359" t="s">
        <v>492</v>
      </c>
      <c r="E36" s="359" t="s">
        <v>581</v>
      </c>
      <c r="F36" s="359" t="s">
        <v>1106</v>
      </c>
    </row>
    <row r="38" spans="1:6">
      <c r="A38" s="362" t="s">
        <v>1107</v>
      </c>
    </row>
    <row r="39" spans="1:6">
      <c r="A39" s="368" t="s">
        <v>285</v>
      </c>
      <c r="B39" s="368" t="s">
        <v>431</v>
      </c>
      <c r="C39" s="368" t="s">
        <v>328</v>
      </c>
      <c r="D39" s="368" t="s">
        <v>432</v>
      </c>
      <c r="E39" s="368" t="s">
        <v>433</v>
      </c>
      <c r="F39" s="368" t="s">
        <v>434</v>
      </c>
    </row>
    <row r="40" spans="1:6" ht="42.75" customHeight="1">
      <c r="A40" s="359" t="s">
        <v>1108</v>
      </c>
      <c r="B40" s="359" t="s">
        <v>1109</v>
      </c>
      <c r="C40" s="359" t="s">
        <v>1110</v>
      </c>
      <c r="D40" s="359" t="s">
        <v>46</v>
      </c>
      <c r="E40" s="359" t="s">
        <v>446</v>
      </c>
      <c r="F40" s="359" t="s">
        <v>1111</v>
      </c>
    </row>
    <row r="41" spans="1:6" ht="42.75" customHeight="1">
      <c r="A41" s="359" t="s">
        <v>1112</v>
      </c>
      <c r="B41" s="359" t="s">
        <v>1113</v>
      </c>
      <c r="C41" s="359" t="s">
        <v>1114</v>
      </c>
      <c r="D41" s="359" t="s">
        <v>46</v>
      </c>
      <c r="E41" s="359" t="s">
        <v>493</v>
      </c>
      <c r="F41" s="359" t="s">
        <v>1115</v>
      </c>
    </row>
    <row r="42" spans="1:6" ht="42.75" customHeight="1">
      <c r="A42" s="359" t="s">
        <v>1116</v>
      </c>
      <c r="B42" s="359" t="s">
        <v>1117</v>
      </c>
      <c r="C42" s="359" t="s">
        <v>1118</v>
      </c>
      <c r="D42" s="359" t="s">
        <v>46</v>
      </c>
      <c r="E42" s="359" t="s">
        <v>486</v>
      </c>
      <c r="F42" s="359" t="s">
        <v>1119</v>
      </c>
    </row>
    <row r="43" spans="1:6" ht="28.5" customHeight="1">
      <c r="A43" s="359" t="s">
        <v>1120</v>
      </c>
      <c r="B43" s="359" t="s">
        <v>1121</v>
      </c>
      <c r="C43" s="359" t="s">
        <v>1122</v>
      </c>
      <c r="D43" s="359" t="s">
        <v>46</v>
      </c>
      <c r="E43" s="359" t="s">
        <v>446</v>
      </c>
      <c r="F43" s="359" t="s">
        <v>1123</v>
      </c>
    </row>
  </sheetData>
  <mergeCells count="1">
    <mergeCell ref="A1:F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23" t="s">
        <v>1124</v>
      </c>
      <c r="B1" s="418"/>
      <c r="C1" s="418"/>
      <c r="D1" s="418"/>
      <c r="E1" s="418"/>
      <c r="F1" s="418"/>
    </row>
    <row r="3" spans="1:6">
      <c r="A3" s="358" t="s">
        <v>1125</v>
      </c>
      <c r="B3" s="358" t="s">
        <v>391</v>
      </c>
      <c r="C3" s="358" t="s">
        <v>1126</v>
      </c>
      <c r="D3" s="358" t="s">
        <v>1127</v>
      </c>
      <c r="E3" s="358" t="s">
        <v>1128</v>
      </c>
      <c r="F3" s="358" t="s">
        <v>243</v>
      </c>
    </row>
    <row r="4" spans="1:6" ht="28.5" customHeight="1">
      <c r="A4" s="359" t="s">
        <v>972</v>
      </c>
      <c r="B4" s="359" t="s">
        <v>1129</v>
      </c>
      <c r="C4" s="359" t="s">
        <v>974</v>
      </c>
      <c r="D4" s="359" t="s">
        <v>1130</v>
      </c>
      <c r="E4" s="359" t="s">
        <v>1131</v>
      </c>
      <c r="F4" s="359" t="s">
        <v>1132</v>
      </c>
    </row>
    <row r="5" spans="1:6" ht="28.5" customHeight="1">
      <c r="A5" s="359" t="s">
        <v>979</v>
      </c>
      <c r="B5" s="359" t="s">
        <v>1133</v>
      </c>
      <c r="C5" s="359" t="s">
        <v>981</v>
      </c>
      <c r="D5" s="359" t="s">
        <v>1134</v>
      </c>
      <c r="E5" s="359" t="s">
        <v>915</v>
      </c>
      <c r="F5" s="359" t="s">
        <v>1132</v>
      </c>
    </row>
    <row r="6" spans="1:6" ht="28.5" customHeight="1">
      <c r="A6" s="359" t="s">
        <v>1135</v>
      </c>
      <c r="B6" s="359" t="s">
        <v>1136</v>
      </c>
      <c r="C6" s="359" t="s">
        <v>1137</v>
      </c>
      <c r="D6" s="359" t="s">
        <v>1138</v>
      </c>
      <c r="E6" s="359" t="s">
        <v>915</v>
      </c>
      <c r="F6" s="359" t="s">
        <v>1132</v>
      </c>
    </row>
    <row r="7" spans="1:6" ht="28.5" customHeight="1">
      <c r="A7" s="359" t="s">
        <v>1008</v>
      </c>
      <c r="B7" s="359" t="s">
        <v>1129</v>
      </c>
      <c r="C7" s="359" t="s">
        <v>1010</v>
      </c>
      <c r="D7" s="359" t="s">
        <v>1139</v>
      </c>
      <c r="E7" s="359" t="s">
        <v>1140</v>
      </c>
      <c r="F7" s="359" t="s">
        <v>1132</v>
      </c>
    </row>
    <row r="8" spans="1:6" ht="28.5" customHeight="1">
      <c r="A8" s="359" t="s">
        <v>1141</v>
      </c>
      <c r="B8" s="359" t="s">
        <v>1142</v>
      </c>
      <c r="C8" s="359" t="s">
        <v>1143</v>
      </c>
      <c r="D8" s="359" t="s">
        <v>1144</v>
      </c>
      <c r="E8" s="359" t="s">
        <v>915</v>
      </c>
      <c r="F8" s="359" t="s">
        <v>1132</v>
      </c>
    </row>
    <row r="9" spans="1:6" ht="28.5" customHeight="1">
      <c r="A9" s="359" t="s">
        <v>1145</v>
      </c>
      <c r="B9" s="359" t="s">
        <v>1146</v>
      </c>
      <c r="C9" s="359" t="s">
        <v>1147</v>
      </c>
      <c r="D9" s="359" t="s">
        <v>1148</v>
      </c>
      <c r="E9" s="359" t="s">
        <v>915</v>
      </c>
      <c r="F9" s="359" t="s">
        <v>1132</v>
      </c>
    </row>
    <row r="10" spans="1:6" ht="28.5" customHeight="1">
      <c r="A10" s="359" t="s">
        <v>1149</v>
      </c>
      <c r="B10" s="359" t="s">
        <v>1129</v>
      </c>
      <c r="C10" s="359" t="s">
        <v>1150</v>
      </c>
      <c r="D10" s="359" t="s">
        <v>1151</v>
      </c>
      <c r="E10" s="359" t="s">
        <v>1140</v>
      </c>
      <c r="F10" s="359" t="s">
        <v>1132</v>
      </c>
    </row>
    <row r="11" spans="1:6" ht="28.5" customHeight="1">
      <c r="A11" s="359" t="s">
        <v>984</v>
      </c>
      <c r="B11" s="359" t="s">
        <v>1129</v>
      </c>
      <c r="C11" s="359" t="s">
        <v>986</v>
      </c>
      <c r="D11" s="359" t="s">
        <v>1152</v>
      </c>
      <c r="E11" s="359" t="s">
        <v>1131</v>
      </c>
      <c r="F11" s="359" t="s">
        <v>1132</v>
      </c>
    </row>
    <row r="12" spans="1:6" ht="28.5" customHeight="1">
      <c r="A12" s="359" t="s">
        <v>989</v>
      </c>
      <c r="B12" s="359" t="s">
        <v>1129</v>
      </c>
      <c r="C12" s="359" t="s">
        <v>991</v>
      </c>
      <c r="D12" s="359" t="s">
        <v>1153</v>
      </c>
      <c r="E12" s="359" t="s">
        <v>1154</v>
      </c>
      <c r="F12" s="359" t="s">
        <v>1132</v>
      </c>
    </row>
    <row r="13" spans="1:6" ht="28.5" customHeight="1">
      <c r="A13" s="359" t="s">
        <v>170</v>
      </c>
      <c r="B13" s="359" t="s">
        <v>1155</v>
      </c>
      <c r="C13" s="359" t="s">
        <v>915</v>
      </c>
      <c r="D13" s="359" t="s">
        <v>1156</v>
      </c>
      <c r="E13" s="359" t="s">
        <v>915</v>
      </c>
      <c r="F13" s="359" t="s">
        <v>1157</v>
      </c>
    </row>
    <row r="14" spans="1:6" ht="28.5" customHeight="1">
      <c r="A14" s="359" t="s">
        <v>1158</v>
      </c>
      <c r="B14" s="359" t="s">
        <v>1159</v>
      </c>
      <c r="C14" s="359" t="s">
        <v>915</v>
      </c>
      <c r="D14" s="359" t="s">
        <v>1160</v>
      </c>
      <c r="E14" s="359" t="s">
        <v>1161</v>
      </c>
      <c r="F14" s="359" t="s">
        <v>1162</v>
      </c>
    </row>
    <row r="15" spans="1:6">
      <c r="A15" s="359" t="s">
        <v>1163</v>
      </c>
      <c r="B15" s="359" t="s">
        <v>1164</v>
      </c>
      <c r="C15" s="359" t="s">
        <v>1165</v>
      </c>
      <c r="D15" s="359" t="s">
        <v>1166</v>
      </c>
      <c r="E15" s="359" t="s">
        <v>1161</v>
      </c>
      <c r="F15" s="359" t="s">
        <v>1162</v>
      </c>
    </row>
    <row r="16" spans="1:6" ht="42.75" customHeight="1">
      <c r="A16" s="359" t="s">
        <v>1167</v>
      </c>
      <c r="B16" s="359" t="s">
        <v>1159</v>
      </c>
      <c r="C16" s="359" t="s">
        <v>915</v>
      </c>
      <c r="D16" s="359" t="s">
        <v>1168</v>
      </c>
      <c r="E16" s="359" t="s">
        <v>73</v>
      </c>
      <c r="F16" s="359" t="s">
        <v>1169</v>
      </c>
    </row>
  </sheetData>
  <mergeCells count="1">
    <mergeCell ref="A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23" t="s">
        <v>1170</v>
      </c>
      <c r="B1" s="418"/>
      <c r="C1" s="418"/>
      <c r="D1" s="418"/>
      <c r="E1" s="418"/>
      <c r="F1" s="418"/>
    </row>
    <row r="3" spans="1:6">
      <c r="A3" s="356" t="s">
        <v>522</v>
      </c>
      <c r="B3" s="357" t="s">
        <v>1171</v>
      </c>
    </row>
    <row r="4" spans="1:6">
      <c r="A4" s="356" t="s">
        <v>322</v>
      </c>
      <c r="B4" s="357" t="s">
        <v>1172</v>
      </c>
    </row>
    <row r="5" spans="1:6">
      <c r="A5" s="356" t="s">
        <v>647</v>
      </c>
      <c r="B5" s="357" t="s">
        <v>1173</v>
      </c>
    </row>
    <row r="6" spans="1:6">
      <c r="A6" s="356" t="s">
        <v>243</v>
      </c>
      <c r="B6" s="365" t="s">
        <v>351</v>
      </c>
    </row>
    <row r="8" spans="1:6">
      <c r="A8" s="358" t="s">
        <v>242</v>
      </c>
      <c r="B8" s="358" t="s">
        <v>391</v>
      </c>
      <c r="C8" s="358" t="s">
        <v>392</v>
      </c>
      <c r="D8" s="358" t="s">
        <v>243</v>
      </c>
      <c r="E8" s="358" t="s">
        <v>522</v>
      </c>
      <c r="F8" s="358" t="s">
        <v>244</v>
      </c>
    </row>
    <row r="9" spans="1:6" ht="42.75" customHeight="1">
      <c r="A9" s="359" t="s">
        <v>1174</v>
      </c>
      <c r="B9" s="359" t="s">
        <v>1175</v>
      </c>
      <c r="C9" s="359" t="s">
        <v>1176</v>
      </c>
      <c r="D9" s="360" t="s">
        <v>355</v>
      </c>
      <c r="E9" s="359" t="s">
        <v>1171</v>
      </c>
      <c r="F9" s="359" t="s">
        <v>1177</v>
      </c>
    </row>
    <row r="10" spans="1:6" ht="42.75" customHeight="1">
      <c r="A10" s="359" t="s">
        <v>1178</v>
      </c>
      <c r="B10" s="359" t="s">
        <v>1175</v>
      </c>
      <c r="C10" s="359" t="s">
        <v>1179</v>
      </c>
      <c r="D10" s="360" t="s">
        <v>355</v>
      </c>
      <c r="E10" s="359" t="s">
        <v>1171</v>
      </c>
      <c r="F10" s="359" t="s">
        <v>1177</v>
      </c>
    </row>
    <row r="11" spans="1:6" ht="57" customHeight="1">
      <c r="A11" s="359" t="s">
        <v>1180</v>
      </c>
      <c r="B11" s="359" t="s">
        <v>1175</v>
      </c>
      <c r="C11" s="359" t="s">
        <v>1181</v>
      </c>
      <c r="D11" s="360" t="s">
        <v>355</v>
      </c>
      <c r="E11" s="359" t="s">
        <v>1171</v>
      </c>
      <c r="F11" s="359" t="s">
        <v>1182</v>
      </c>
    </row>
    <row r="12" spans="1:6" ht="57" customHeight="1">
      <c r="A12" s="359" t="s">
        <v>1183</v>
      </c>
      <c r="B12" s="359" t="s">
        <v>1175</v>
      </c>
      <c r="C12" s="359" t="s">
        <v>1184</v>
      </c>
      <c r="D12" s="360" t="s">
        <v>355</v>
      </c>
      <c r="E12" s="359" t="s">
        <v>1171</v>
      </c>
      <c r="F12" s="359" t="s">
        <v>1182</v>
      </c>
    </row>
    <row r="13" spans="1:6" ht="30" customHeight="1">
      <c r="A13" s="359" t="s">
        <v>1185</v>
      </c>
      <c r="B13" s="359" t="s">
        <v>242</v>
      </c>
      <c r="C13" s="359" t="s">
        <v>1186</v>
      </c>
      <c r="D13" s="360" t="s">
        <v>355</v>
      </c>
      <c r="E13" s="359" t="s">
        <v>1171</v>
      </c>
      <c r="F13" s="359"/>
    </row>
    <row r="14" spans="1:6" ht="30" customHeight="1">
      <c r="A14" s="359" t="s">
        <v>1187</v>
      </c>
      <c r="B14" s="359" t="s">
        <v>1175</v>
      </c>
      <c r="C14" s="359" t="s">
        <v>1188</v>
      </c>
      <c r="D14" s="360" t="s">
        <v>355</v>
      </c>
      <c r="E14" s="359" t="s">
        <v>1171</v>
      </c>
      <c r="F14" s="359"/>
    </row>
    <row r="15" spans="1:6" ht="30" customHeight="1">
      <c r="A15" s="359" t="s">
        <v>1189</v>
      </c>
      <c r="B15" s="359" t="s">
        <v>242</v>
      </c>
      <c r="C15" s="359" t="s">
        <v>1190</v>
      </c>
      <c r="D15" s="360" t="s">
        <v>355</v>
      </c>
      <c r="E15" s="359" t="s">
        <v>1171</v>
      </c>
      <c r="F15" s="359"/>
    </row>
    <row r="16" spans="1:6" ht="30" customHeight="1">
      <c r="A16" s="359" t="s">
        <v>1191</v>
      </c>
      <c r="B16" s="359" t="s">
        <v>1192</v>
      </c>
      <c r="C16" s="359" t="s">
        <v>1193</v>
      </c>
      <c r="D16" s="360" t="s">
        <v>355</v>
      </c>
      <c r="E16" s="359" t="s">
        <v>1171</v>
      </c>
      <c r="F16" s="359"/>
    </row>
    <row r="17" spans="1:6" ht="30" customHeight="1">
      <c r="A17" s="359" t="s">
        <v>1194</v>
      </c>
      <c r="B17" s="359" t="s">
        <v>1192</v>
      </c>
      <c r="C17" s="359" t="s">
        <v>1195</v>
      </c>
      <c r="D17" s="360" t="s">
        <v>355</v>
      </c>
      <c r="E17" s="359" t="s">
        <v>1171</v>
      </c>
      <c r="F17" s="359"/>
    </row>
    <row r="18" spans="1:6" ht="30" customHeight="1">
      <c r="A18" s="359" t="s">
        <v>1196</v>
      </c>
      <c r="B18" s="359" t="s">
        <v>1197</v>
      </c>
      <c r="C18" s="359" t="s">
        <v>1198</v>
      </c>
      <c r="D18" s="360" t="s">
        <v>355</v>
      </c>
      <c r="E18" s="359" t="s">
        <v>1171</v>
      </c>
      <c r="F18" s="359"/>
    </row>
    <row r="19" spans="1:6" ht="57" customHeight="1">
      <c r="A19" s="359" t="s">
        <v>1199</v>
      </c>
      <c r="B19" s="359" t="s">
        <v>1200</v>
      </c>
      <c r="C19" s="359" t="s">
        <v>1201</v>
      </c>
      <c r="D19" s="361" t="s">
        <v>358</v>
      </c>
      <c r="E19" s="359" t="s">
        <v>915</v>
      </c>
      <c r="F19" s="359" t="s">
        <v>1202</v>
      </c>
    </row>
    <row r="20" spans="1:6" ht="57" customHeight="1">
      <c r="A20" s="359" t="s">
        <v>1203</v>
      </c>
      <c r="B20" s="359" t="s">
        <v>1200</v>
      </c>
      <c r="C20" s="359" t="s">
        <v>1201</v>
      </c>
      <c r="D20" s="361" t="s">
        <v>358</v>
      </c>
      <c r="E20" s="359" t="s">
        <v>915</v>
      </c>
      <c r="F20" s="359" t="s">
        <v>1202</v>
      </c>
    </row>
    <row r="21" spans="1:6" ht="42.75" customHeight="1">
      <c r="A21" s="359" t="s">
        <v>1204</v>
      </c>
      <c r="B21" s="359" t="s">
        <v>1200</v>
      </c>
      <c r="C21" s="359" t="s">
        <v>1201</v>
      </c>
      <c r="D21" s="361" t="s">
        <v>358</v>
      </c>
      <c r="E21" s="359" t="s">
        <v>915</v>
      </c>
      <c r="F21" s="359" t="s">
        <v>1202</v>
      </c>
    </row>
    <row r="22" spans="1:6" ht="156.75" customHeight="1">
      <c r="A22" s="359" t="s">
        <v>1205</v>
      </c>
      <c r="B22" s="359" t="s">
        <v>1206</v>
      </c>
      <c r="C22" s="359" t="s">
        <v>1207</v>
      </c>
      <c r="D22" s="366" t="s">
        <v>1208</v>
      </c>
      <c r="E22" s="359" t="s">
        <v>915</v>
      </c>
      <c r="F22" s="359" t="s">
        <v>1209</v>
      </c>
    </row>
    <row r="23" spans="1:6" ht="57" customHeight="1">
      <c r="A23" s="359" t="s">
        <v>1210</v>
      </c>
      <c r="B23" s="359" t="s">
        <v>1200</v>
      </c>
      <c r="C23" s="359" t="s">
        <v>1211</v>
      </c>
      <c r="D23" s="361" t="s">
        <v>358</v>
      </c>
      <c r="E23" s="359" t="s">
        <v>915</v>
      </c>
      <c r="F23" s="359" t="s">
        <v>1212</v>
      </c>
    </row>
    <row r="26" spans="1:6">
      <c r="A26" s="362" t="s">
        <v>1213</v>
      </c>
    </row>
    <row r="27" spans="1:6">
      <c r="A27" s="358" t="s">
        <v>286</v>
      </c>
      <c r="B27" s="358" t="s">
        <v>918</v>
      </c>
      <c r="C27" s="358" t="s">
        <v>1214</v>
      </c>
      <c r="D27" s="358" t="s">
        <v>919</v>
      </c>
      <c r="E27" s="358"/>
      <c r="F27" s="358"/>
    </row>
    <row r="28" spans="1:6" ht="42.75" customHeight="1">
      <c r="A28" s="367" t="s">
        <v>932</v>
      </c>
      <c r="B28" s="359" t="s">
        <v>1215</v>
      </c>
      <c r="C28" s="359" t="s">
        <v>1216</v>
      </c>
      <c r="D28" s="359" t="s">
        <v>598</v>
      </c>
    </row>
    <row r="29" spans="1:6" ht="42.75" customHeight="1">
      <c r="A29" s="367" t="s">
        <v>926</v>
      </c>
      <c r="B29" s="359" t="s">
        <v>1217</v>
      </c>
      <c r="C29" s="359" t="s">
        <v>928</v>
      </c>
      <c r="D29" s="359" t="s">
        <v>598</v>
      </c>
    </row>
    <row r="30" spans="1:6" ht="42.75" customHeight="1">
      <c r="A30" s="367" t="s">
        <v>929</v>
      </c>
      <c r="B30" s="359" t="s">
        <v>1218</v>
      </c>
      <c r="C30" s="359" t="s">
        <v>931</v>
      </c>
      <c r="D30" s="359" t="s">
        <v>598</v>
      </c>
    </row>
    <row r="31" spans="1:6" ht="30" customHeight="1">
      <c r="A31" s="367" t="s">
        <v>923</v>
      </c>
      <c r="B31" s="359" t="s">
        <v>924</v>
      </c>
      <c r="C31" s="359" t="s">
        <v>925</v>
      </c>
      <c r="D31" s="359" t="s">
        <v>598</v>
      </c>
    </row>
    <row r="32" spans="1:6" ht="57" customHeight="1">
      <c r="A32" s="367" t="s">
        <v>935</v>
      </c>
      <c r="B32" s="359" t="s">
        <v>1219</v>
      </c>
      <c r="C32" s="359" t="s">
        <v>1220</v>
      </c>
      <c r="D32" s="359" t="s">
        <v>598</v>
      </c>
    </row>
  </sheetData>
  <mergeCells count="1">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23" t="s">
        <v>1221</v>
      </c>
      <c r="B1" s="418"/>
      <c r="C1" s="418"/>
    </row>
    <row r="3" spans="1:3">
      <c r="A3" s="368" t="s">
        <v>285</v>
      </c>
      <c r="B3" s="368" t="s">
        <v>1222</v>
      </c>
      <c r="C3" s="368" t="s">
        <v>1223</v>
      </c>
    </row>
    <row r="4" spans="1:3" ht="85.5" customHeight="1">
      <c r="A4" s="369">
        <v>1</v>
      </c>
      <c r="B4" s="369" t="s">
        <v>1224</v>
      </c>
      <c r="C4" s="369" t="s">
        <v>1225</v>
      </c>
    </row>
    <row r="5" spans="1:3">
      <c r="A5" s="369">
        <v>2</v>
      </c>
      <c r="B5" s="369" t="s">
        <v>1226</v>
      </c>
      <c r="C5" s="369" t="s">
        <v>1227</v>
      </c>
    </row>
    <row r="6" spans="1:3">
      <c r="A6" s="369">
        <v>3</v>
      </c>
      <c r="B6" s="369" t="s">
        <v>1228</v>
      </c>
      <c r="C6" s="369" t="s">
        <v>1229</v>
      </c>
    </row>
    <row r="7" spans="1:3">
      <c r="A7" s="369">
        <v>4</v>
      </c>
      <c r="B7" s="369" t="s">
        <v>1230</v>
      </c>
      <c r="C7" s="369" t="s">
        <v>1231</v>
      </c>
    </row>
    <row r="8" spans="1:3">
      <c r="A8" s="369">
        <v>5</v>
      </c>
      <c r="B8" s="369" t="s">
        <v>1232</v>
      </c>
      <c r="C8" s="369" t="s">
        <v>1233</v>
      </c>
    </row>
    <row r="9" spans="1:3">
      <c r="A9" s="369">
        <v>6</v>
      </c>
      <c r="B9" s="369" t="s">
        <v>1234</v>
      </c>
      <c r="C9" s="369" t="s">
        <v>1235</v>
      </c>
    </row>
    <row r="10" spans="1:3">
      <c r="A10" s="369">
        <v>7</v>
      </c>
      <c r="B10" s="369" t="s">
        <v>1236</v>
      </c>
      <c r="C10" s="369" t="s">
        <v>1237</v>
      </c>
    </row>
    <row r="11" spans="1:3">
      <c r="A11" s="369">
        <v>8</v>
      </c>
      <c r="B11" s="369" t="s">
        <v>1238</v>
      </c>
      <c r="C11" s="369" t="s">
        <v>915</v>
      </c>
    </row>
    <row r="12" spans="1:3">
      <c r="A12" s="369">
        <v>9</v>
      </c>
      <c r="B12" s="369" t="s">
        <v>1239</v>
      </c>
      <c r="C12" s="369" t="s">
        <v>1240</v>
      </c>
    </row>
    <row r="13" spans="1:3" ht="28.5" customHeight="1">
      <c r="A13" s="369">
        <v>10</v>
      </c>
      <c r="B13" s="369" t="s">
        <v>1241</v>
      </c>
      <c r="C13" s="369" t="s">
        <v>1242</v>
      </c>
    </row>
    <row r="14" spans="1:3">
      <c r="A14" s="369">
        <v>11</v>
      </c>
      <c r="B14" s="369" t="s">
        <v>1243</v>
      </c>
      <c r="C14" s="369" t="s">
        <v>1244</v>
      </c>
    </row>
    <row r="15" spans="1:3">
      <c r="A15" s="369">
        <v>12</v>
      </c>
      <c r="B15" s="369" t="s">
        <v>1245</v>
      </c>
      <c r="C15" s="369" t="s">
        <v>1246</v>
      </c>
    </row>
    <row r="16" spans="1:3">
      <c r="A16" s="369">
        <v>13</v>
      </c>
      <c r="B16" s="369" t="s">
        <v>1247</v>
      </c>
      <c r="C16" s="369" t="s">
        <v>1235</v>
      </c>
    </row>
    <row r="18" spans="1:2">
      <c r="A18" s="356" t="s">
        <v>1248</v>
      </c>
      <c r="B18" s="357" t="s">
        <v>1249</v>
      </c>
    </row>
  </sheetData>
  <mergeCells count="1">
    <mergeCell ref="A1:C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3"/>
  <sheetViews>
    <sheetView tabSelected="1" zoomScaleNormal="100" workbookViewId="0">
      <selection sqref="A1:B1"/>
    </sheetView>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25" t="s">
        <v>1250</v>
      </c>
      <c r="B1" s="426"/>
      <c r="C1" s="426"/>
      <c r="D1" s="426"/>
      <c r="E1" s="426"/>
      <c r="F1" s="427"/>
    </row>
    <row r="2" spans="1:6" ht="60" customHeight="1">
      <c r="A2" s="424" t="s">
        <v>1251</v>
      </c>
      <c r="B2" s="418"/>
      <c r="C2" s="418"/>
      <c r="D2" s="418"/>
      <c r="E2" s="418"/>
      <c r="F2" s="418"/>
    </row>
    <row r="4" spans="1:6" ht="68.25" customHeight="1">
      <c r="A4" s="3" t="s">
        <v>1252</v>
      </c>
      <c r="B4" s="4"/>
      <c r="C4" s="4"/>
      <c r="D4" s="4"/>
      <c r="E4" s="4"/>
      <c r="F4" s="4"/>
    </row>
    <row r="5" spans="1:6" ht="15" customHeight="1">
      <c r="A5" s="5" t="s">
        <v>1253</v>
      </c>
      <c r="B5" s="5" t="s">
        <v>1254</v>
      </c>
      <c r="C5" s="5" t="s">
        <v>1255</v>
      </c>
      <c r="D5" s="5" t="s">
        <v>243</v>
      </c>
      <c r="E5" s="5" t="s">
        <v>1256</v>
      </c>
      <c r="F5" s="5" t="s">
        <v>244</v>
      </c>
    </row>
    <row r="6" spans="1:6" ht="57" customHeight="1">
      <c r="A6" s="6" t="s">
        <v>1257</v>
      </c>
      <c r="B6" s="6" t="s">
        <v>1258</v>
      </c>
      <c r="C6" s="7" t="s">
        <v>1259</v>
      </c>
      <c r="D6" s="6" t="s">
        <v>1260</v>
      </c>
      <c r="E6" s="7" t="s">
        <v>1261</v>
      </c>
      <c r="F6" s="7" t="s">
        <v>1262</v>
      </c>
    </row>
    <row r="7" spans="1:6" ht="60" customHeight="1">
      <c r="A7" s="8" t="s">
        <v>1263</v>
      </c>
      <c r="B7" s="8" t="s">
        <v>1264</v>
      </c>
      <c r="C7" s="9" t="s">
        <v>1265</v>
      </c>
      <c r="D7" s="8" t="s">
        <v>1266</v>
      </c>
      <c r="E7" s="9" t="s">
        <v>1267</v>
      </c>
      <c r="F7" s="9" t="s">
        <v>1268</v>
      </c>
    </row>
    <row r="8" spans="1:6" ht="45.75" customHeight="1">
      <c r="A8" s="6" t="s">
        <v>1269</v>
      </c>
      <c r="B8" s="6" t="s">
        <v>1270</v>
      </c>
      <c r="C8" s="7" t="s">
        <v>1271</v>
      </c>
      <c r="D8" s="6" t="s">
        <v>1260</v>
      </c>
      <c r="E8" s="7" t="s">
        <v>1272</v>
      </c>
      <c r="F8" s="7" t="s">
        <v>1273</v>
      </c>
    </row>
    <row r="9" spans="1:6" ht="60" customHeight="1">
      <c r="A9" s="8" t="s">
        <v>1274</v>
      </c>
      <c r="B9" s="8" t="s">
        <v>1275</v>
      </c>
      <c r="C9" s="9" t="s">
        <v>1276</v>
      </c>
      <c r="D9" s="8" t="s">
        <v>1260</v>
      </c>
      <c r="E9" s="9" t="s">
        <v>1277</v>
      </c>
      <c r="F9" s="9" t="s">
        <v>1278</v>
      </c>
    </row>
    <row r="10" spans="1:6" ht="60" customHeight="1">
      <c r="A10" s="6" t="s">
        <v>1279</v>
      </c>
      <c r="B10" s="6" t="s">
        <v>1280</v>
      </c>
      <c r="C10" s="7" t="s">
        <v>1281</v>
      </c>
      <c r="D10" s="6" t="s">
        <v>1260</v>
      </c>
      <c r="E10" s="7" t="s">
        <v>1282</v>
      </c>
      <c r="F10" s="7" t="s">
        <v>1283</v>
      </c>
    </row>
    <row r="12" spans="1:6" ht="95.25" customHeight="1">
      <c r="A12" s="3" t="s">
        <v>1284</v>
      </c>
      <c r="B12" s="4"/>
      <c r="C12" s="4"/>
      <c r="D12" s="4"/>
      <c r="E12" s="4"/>
      <c r="F12" s="4"/>
    </row>
    <row r="13" spans="1:6" ht="15" customHeight="1">
      <c r="A13" s="5" t="s">
        <v>1285</v>
      </c>
      <c r="B13" s="5" t="s">
        <v>534</v>
      </c>
      <c r="C13" s="5" t="s">
        <v>392</v>
      </c>
      <c r="D13" s="5" t="s">
        <v>432</v>
      </c>
      <c r="E13" s="5" t="s">
        <v>433</v>
      </c>
      <c r="F13" s="5" t="s">
        <v>1286</v>
      </c>
    </row>
    <row r="14" spans="1:6" ht="60" customHeight="1">
      <c r="A14" s="6" t="s">
        <v>1287</v>
      </c>
      <c r="B14" s="6" t="s">
        <v>1288</v>
      </c>
      <c r="C14" s="7" t="s">
        <v>1289</v>
      </c>
      <c r="D14" s="6" t="s">
        <v>1290</v>
      </c>
      <c r="E14" s="7" t="s">
        <v>1291</v>
      </c>
      <c r="F14" s="7" t="s">
        <v>1292</v>
      </c>
    </row>
    <row r="15" spans="1:6" ht="60" customHeight="1">
      <c r="A15" s="8" t="s">
        <v>1293</v>
      </c>
      <c r="B15" s="8" t="s">
        <v>1294</v>
      </c>
      <c r="C15" s="9" t="s">
        <v>1295</v>
      </c>
      <c r="D15" s="8" t="s">
        <v>474</v>
      </c>
      <c r="E15" s="9" t="s">
        <v>581</v>
      </c>
      <c r="F15" s="9" t="s">
        <v>1296</v>
      </c>
    </row>
    <row r="16" spans="1:6" ht="60" customHeight="1">
      <c r="A16" s="6" t="s">
        <v>1297</v>
      </c>
      <c r="B16" s="6" t="s">
        <v>1298</v>
      </c>
      <c r="C16" s="7" t="s">
        <v>1299</v>
      </c>
      <c r="D16" s="6" t="s">
        <v>1290</v>
      </c>
      <c r="E16" s="7" t="s">
        <v>581</v>
      </c>
      <c r="F16" s="7" t="s">
        <v>1300</v>
      </c>
    </row>
    <row r="17" spans="1:6" ht="60" customHeight="1">
      <c r="A17" s="8" t="s">
        <v>1301</v>
      </c>
      <c r="B17" s="8" t="s">
        <v>1302</v>
      </c>
      <c r="C17" s="9" t="s">
        <v>1303</v>
      </c>
      <c r="D17" s="8" t="s">
        <v>474</v>
      </c>
      <c r="E17" s="9" t="s">
        <v>581</v>
      </c>
      <c r="F17" s="9" t="s">
        <v>1304</v>
      </c>
    </row>
    <row r="18" spans="1:6" ht="60" customHeight="1">
      <c r="A18" s="6" t="s">
        <v>1305</v>
      </c>
      <c r="B18" s="6" t="s">
        <v>1306</v>
      </c>
      <c r="C18" s="7" t="s">
        <v>1307</v>
      </c>
      <c r="D18" s="6" t="s">
        <v>492</v>
      </c>
      <c r="E18" s="7" t="s">
        <v>813</v>
      </c>
      <c r="F18" s="7" t="s">
        <v>1308</v>
      </c>
    </row>
    <row r="19" spans="1:6" ht="60" customHeight="1">
      <c r="A19" s="8" t="s">
        <v>1309</v>
      </c>
      <c r="B19" s="8" t="s">
        <v>1310</v>
      </c>
      <c r="C19" s="9" t="s">
        <v>1311</v>
      </c>
      <c r="D19" s="8" t="s">
        <v>474</v>
      </c>
      <c r="E19" s="9" t="s">
        <v>581</v>
      </c>
      <c r="F19" s="9" t="s">
        <v>1312</v>
      </c>
    </row>
    <row r="20" spans="1:6" ht="45.75" customHeight="1">
      <c r="A20" s="8" t="s">
        <v>1313</v>
      </c>
      <c r="B20" s="8" t="s">
        <v>1314</v>
      </c>
      <c r="C20" s="9" t="s">
        <v>1315</v>
      </c>
      <c r="D20" s="8" t="s">
        <v>1316</v>
      </c>
      <c r="E20" s="9" t="s">
        <v>1317</v>
      </c>
      <c r="F20" s="9" t="s">
        <v>1318</v>
      </c>
    </row>
    <row r="21" spans="1:6" ht="95.25" customHeight="1"/>
    <row r="22" spans="1:6" ht="15" customHeight="1">
      <c r="A22" s="3" t="s">
        <v>1319</v>
      </c>
      <c r="B22" s="4"/>
      <c r="C22" s="4"/>
      <c r="D22" s="4"/>
      <c r="E22" s="4"/>
      <c r="F22" s="4"/>
    </row>
    <row r="23" spans="1:6" ht="60" customHeight="1">
      <c r="A23" s="5" t="s">
        <v>1320</v>
      </c>
      <c r="B23" s="5" t="s">
        <v>1321</v>
      </c>
      <c r="C23" s="5" t="s">
        <v>1322</v>
      </c>
      <c r="D23" s="5" t="s">
        <v>243</v>
      </c>
      <c r="E23" s="5" t="s">
        <v>1323</v>
      </c>
      <c r="F23" s="5" t="s">
        <v>244</v>
      </c>
    </row>
    <row r="24" spans="1:6" ht="60" customHeight="1">
      <c r="A24" s="6" t="s">
        <v>1324</v>
      </c>
      <c r="B24" s="6" t="s">
        <v>1325</v>
      </c>
      <c r="C24" s="7" t="s">
        <v>1326</v>
      </c>
      <c r="D24" s="6" t="s">
        <v>1327</v>
      </c>
      <c r="E24" s="7" t="s">
        <v>1328</v>
      </c>
      <c r="F24" s="7" t="s">
        <v>1329</v>
      </c>
    </row>
    <row r="25" spans="1:6" ht="60" customHeight="1">
      <c r="A25" s="8" t="s">
        <v>1330</v>
      </c>
      <c r="B25" s="8" t="s">
        <v>1331</v>
      </c>
      <c r="C25" s="9" t="s">
        <v>1332</v>
      </c>
      <c r="D25" s="8" t="s">
        <v>1327</v>
      </c>
      <c r="E25" s="9" t="s">
        <v>1328</v>
      </c>
      <c r="F25" s="9" t="s">
        <v>1333</v>
      </c>
    </row>
    <row r="26" spans="1:6" ht="60" customHeight="1">
      <c r="A26" s="6" t="s">
        <v>1334</v>
      </c>
      <c r="B26" s="6" t="s">
        <v>1335</v>
      </c>
      <c r="C26" s="7" t="s">
        <v>1336</v>
      </c>
      <c r="D26" s="6" t="s">
        <v>1327</v>
      </c>
      <c r="E26" s="7" t="s">
        <v>1328</v>
      </c>
      <c r="F26" s="7" t="s">
        <v>1337</v>
      </c>
    </row>
    <row r="27" spans="1:6" ht="60" customHeight="1">
      <c r="A27" s="8" t="s">
        <v>1338</v>
      </c>
      <c r="B27" s="8" t="s">
        <v>1339</v>
      </c>
      <c r="C27" s="9" t="s">
        <v>1340</v>
      </c>
      <c r="D27" s="8" t="s">
        <v>1327</v>
      </c>
      <c r="E27" s="9" t="s">
        <v>1328</v>
      </c>
      <c r="F27" s="9" t="s">
        <v>1341</v>
      </c>
    </row>
    <row r="28" spans="1:6" ht="60" customHeight="1">
      <c r="A28" s="6" t="s">
        <v>1342</v>
      </c>
      <c r="B28" s="6" t="s">
        <v>1343</v>
      </c>
      <c r="C28" s="7" t="s">
        <v>1344</v>
      </c>
      <c r="D28" s="6" t="s">
        <v>1327</v>
      </c>
      <c r="E28" s="7" t="s">
        <v>1345</v>
      </c>
      <c r="F28" s="7" t="s">
        <v>1346</v>
      </c>
    </row>
    <row r="29" spans="1:6" ht="57" customHeight="1">
      <c r="A29" s="8" t="s">
        <v>1347</v>
      </c>
      <c r="B29" s="8" t="s">
        <v>1348</v>
      </c>
      <c r="C29" s="9" t="s">
        <v>1349</v>
      </c>
      <c r="D29" s="8" t="s">
        <v>1327</v>
      </c>
      <c r="E29" s="9" t="s">
        <v>1328</v>
      </c>
      <c r="F29" s="9" t="s">
        <v>1350</v>
      </c>
    </row>
    <row r="30" spans="1:6" ht="81.75" customHeight="1">
      <c r="A30" s="8" t="s">
        <v>1351</v>
      </c>
      <c r="B30" s="8" t="s">
        <v>1352</v>
      </c>
      <c r="C30" s="9" t="s">
        <v>1353</v>
      </c>
      <c r="D30" s="8" t="s">
        <v>1327</v>
      </c>
      <c r="E30" s="9" t="s">
        <v>1354</v>
      </c>
      <c r="F30" s="9" t="s">
        <v>1355</v>
      </c>
    </row>
    <row r="31" spans="1:6" ht="15" customHeight="1"/>
    <row r="32" spans="1:6" ht="60" customHeight="1">
      <c r="A32" s="3" t="s">
        <v>1356</v>
      </c>
      <c r="B32" s="4"/>
      <c r="C32" s="4"/>
      <c r="D32" s="4"/>
      <c r="E32" s="4"/>
      <c r="F32" s="4"/>
    </row>
    <row r="33" spans="1:6" ht="45.75" customHeight="1">
      <c r="A33" s="5" t="s">
        <v>286</v>
      </c>
      <c r="B33" s="5" t="s">
        <v>1357</v>
      </c>
      <c r="C33" s="5" t="s">
        <v>1358</v>
      </c>
      <c r="D33" s="5" t="s">
        <v>1359</v>
      </c>
      <c r="E33" s="5" t="s">
        <v>243</v>
      </c>
      <c r="F33" s="5" t="s">
        <v>1360</v>
      </c>
    </row>
    <row r="34" spans="1:6" ht="60" customHeight="1">
      <c r="A34" s="10" t="s">
        <v>1361</v>
      </c>
      <c r="B34" s="11" t="s">
        <v>1362</v>
      </c>
      <c r="C34" s="11" t="s">
        <v>1363</v>
      </c>
      <c r="D34" s="11" t="s">
        <v>1364</v>
      </c>
      <c r="E34" s="10" t="s">
        <v>1365</v>
      </c>
      <c r="F34" s="10" t="s">
        <v>439</v>
      </c>
    </row>
    <row r="35" spans="1:6" ht="60" customHeight="1">
      <c r="A35" s="10" t="s">
        <v>1366</v>
      </c>
      <c r="B35" s="11" t="s">
        <v>1367</v>
      </c>
      <c r="C35" s="11" t="s">
        <v>1368</v>
      </c>
      <c r="D35" s="11" t="s">
        <v>1369</v>
      </c>
      <c r="E35" s="10" t="s">
        <v>1365</v>
      </c>
      <c r="F35" s="10" t="s">
        <v>439</v>
      </c>
    </row>
    <row r="36" spans="1:6" ht="135.75" customHeight="1">
      <c r="A36" s="12" t="s">
        <v>1370</v>
      </c>
      <c r="B36" s="13" t="s">
        <v>1371</v>
      </c>
      <c r="C36" s="13" t="s">
        <v>1372</v>
      </c>
      <c r="D36" s="13" t="s">
        <v>1373</v>
      </c>
      <c r="E36" s="12" t="s">
        <v>1374</v>
      </c>
      <c r="F36" s="12" t="s">
        <v>599</v>
      </c>
    </row>
    <row r="37" spans="1:6" ht="81.75" customHeight="1">
      <c r="A37" s="12" t="s">
        <v>1375</v>
      </c>
      <c r="B37" s="13" t="s">
        <v>1376</v>
      </c>
      <c r="C37" s="13" t="s">
        <v>1377</v>
      </c>
      <c r="D37" s="13" t="s">
        <v>1378</v>
      </c>
      <c r="E37" s="12" t="s">
        <v>1374</v>
      </c>
      <c r="F37" s="12" t="s">
        <v>599</v>
      </c>
    </row>
    <row r="38" spans="1:6" ht="15" customHeight="1"/>
    <row r="39" spans="1:6" ht="60" customHeight="1">
      <c r="A39" s="3" t="s">
        <v>1379</v>
      </c>
      <c r="B39" s="4"/>
      <c r="C39" s="4"/>
      <c r="D39" s="4"/>
      <c r="E39" s="4"/>
      <c r="F39" s="4"/>
    </row>
    <row r="40" spans="1:6" ht="60" customHeight="1">
      <c r="A40" s="5" t="s">
        <v>1380</v>
      </c>
      <c r="B40" s="5" t="s">
        <v>1381</v>
      </c>
      <c r="C40" s="5" t="s">
        <v>1382</v>
      </c>
      <c r="D40" s="5" t="s">
        <v>1383</v>
      </c>
      <c r="E40" s="5" t="s">
        <v>1384</v>
      </c>
      <c r="F40" s="5" t="s">
        <v>1385</v>
      </c>
    </row>
    <row r="41" spans="1:6" ht="60" customHeight="1">
      <c r="A41" s="12" t="s">
        <v>1386</v>
      </c>
      <c r="B41" s="13" t="s">
        <v>1387</v>
      </c>
      <c r="C41" s="13" t="s">
        <v>1388</v>
      </c>
      <c r="D41" s="13" t="s">
        <v>1389</v>
      </c>
      <c r="E41" s="13" t="s">
        <v>1390</v>
      </c>
      <c r="F41" s="13" t="s">
        <v>1391</v>
      </c>
    </row>
    <row r="42" spans="1:6" ht="79.5" customHeight="1">
      <c r="A42" s="14" t="s">
        <v>1392</v>
      </c>
      <c r="B42" s="15" t="s">
        <v>1393</v>
      </c>
      <c r="C42" s="15" t="s">
        <v>1394</v>
      </c>
      <c r="D42" s="15" t="s">
        <v>1395</v>
      </c>
      <c r="E42" s="15" t="s">
        <v>1396</v>
      </c>
      <c r="F42" s="15" t="s">
        <v>1397</v>
      </c>
    </row>
    <row r="43" spans="1:6" ht="79.5" customHeight="1">
      <c r="A43" s="10" t="s">
        <v>1398</v>
      </c>
      <c r="B43" s="11" t="s">
        <v>1399</v>
      </c>
      <c r="C43" s="11" t="s">
        <v>1400</v>
      </c>
      <c r="D43" s="11" t="s">
        <v>1401</v>
      </c>
      <c r="E43" s="11" t="s">
        <v>1402</v>
      </c>
      <c r="F43" s="11" t="s">
        <v>1403</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28" t="s">
        <v>1404</v>
      </c>
      <c r="B1" s="418"/>
      <c r="C1" s="418"/>
      <c r="D1" s="418"/>
      <c r="E1" s="418"/>
      <c r="F1" s="418"/>
    </row>
    <row r="3" spans="1:6">
      <c r="A3" s="343" t="s">
        <v>46</v>
      </c>
    </row>
    <row r="4" spans="1:6">
      <c r="A4" s="332" t="s">
        <v>285</v>
      </c>
      <c r="B4" s="332" t="s">
        <v>431</v>
      </c>
      <c r="C4" s="332" t="s">
        <v>328</v>
      </c>
      <c r="D4" s="332" t="s">
        <v>432</v>
      </c>
      <c r="E4" s="332" t="s">
        <v>433</v>
      </c>
      <c r="F4" s="332" t="s">
        <v>434</v>
      </c>
    </row>
    <row r="5" spans="1:6">
      <c r="A5" s="333" t="s">
        <v>435</v>
      </c>
      <c r="B5" s="333" t="s">
        <v>1405</v>
      </c>
      <c r="C5" s="333" t="s">
        <v>1406</v>
      </c>
      <c r="D5" s="336" t="s">
        <v>46</v>
      </c>
      <c r="E5" s="333" t="s">
        <v>581</v>
      </c>
      <c r="F5" s="333" t="s">
        <v>1407</v>
      </c>
    </row>
    <row r="6" spans="1:6">
      <c r="A6" s="333" t="s">
        <v>440</v>
      </c>
      <c r="B6" s="333" t="s">
        <v>1408</v>
      </c>
      <c r="C6" s="333" t="s">
        <v>1409</v>
      </c>
      <c r="D6" s="336" t="s">
        <v>46</v>
      </c>
      <c r="E6" s="333" t="s">
        <v>486</v>
      </c>
      <c r="F6" s="333" t="s">
        <v>1410</v>
      </c>
    </row>
    <row r="7" spans="1:6">
      <c r="A7" s="333" t="s">
        <v>443</v>
      </c>
      <c r="B7" s="333" t="s">
        <v>1411</v>
      </c>
      <c r="C7" s="333" t="s">
        <v>1412</v>
      </c>
      <c r="D7" s="336" t="s">
        <v>46</v>
      </c>
      <c r="E7" s="333" t="s">
        <v>486</v>
      </c>
      <c r="F7" s="333" t="s">
        <v>1413</v>
      </c>
    </row>
    <row r="8" spans="1:6">
      <c r="A8" s="333" t="s">
        <v>447</v>
      </c>
      <c r="B8" s="333" t="s">
        <v>1414</v>
      </c>
      <c r="C8" s="333" t="s">
        <v>1415</v>
      </c>
      <c r="D8" s="336" t="s">
        <v>46</v>
      </c>
      <c r="E8" s="333" t="s">
        <v>478</v>
      </c>
      <c r="F8" s="333" t="s">
        <v>1416</v>
      </c>
    </row>
    <row r="10" spans="1:6">
      <c r="A10" s="344" t="s">
        <v>474</v>
      </c>
    </row>
    <row r="11" spans="1:6">
      <c r="A11" s="332" t="s">
        <v>285</v>
      </c>
      <c r="B11" s="332" t="s">
        <v>431</v>
      </c>
      <c r="C11" s="332" t="s">
        <v>328</v>
      </c>
      <c r="D11" s="332" t="s">
        <v>432</v>
      </c>
      <c r="E11" s="332" t="s">
        <v>433</v>
      </c>
      <c r="F11" s="332" t="s">
        <v>434</v>
      </c>
    </row>
    <row r="12" spans="1:6">
      <c r="A12" s="333" t="s">
        <v>475</v>
      </c>
      <c r="B12" s="333" t="s">
        <v>1417</v>
      </c>
      <c r="C12" s="333" t="s">
        <v>1418</v>
      </c>
      <c r="D12" s="345" t="s">
        <v>474</v>
      </c>
      <c r="E12" s="333" t="s">
        <v>486</v>
      </c>
      <c r="F12" s="333" t="s">
        <v>439</v>
      </c>
    </row>
    <row r="13" spans="1:6">
      <c r="A13" s="333" t="s">
        <v>480</v>
      </c>
      <c r="B13" s="333" t="s">
        <v>1419</v>
      </c>
      <c r="C13" s="333" t="s">
        <v>1420</v>
      </c>
      <c r="D13" s="345" t="s">
        <v>474</v>
      </c>
      <c r="E13" s="333" t="s">
        <v>581</v>
      </c>
      <c r="F13" s="333" t="s">
        <v>439</v>
      </c>
    </row>
    <row r="14" spans="1:6">
      <c r="A14" s="333" t="s">
        <v>483</v>
      </c>
      <c r="B14" s="333" t="s">
        <v>1421</v>
      </c>
      <c r="C14" s="333" t="s">
        <v>1422</v>
      </c>
      <c r="D14" s="345" t="s">
        <v>474</v>
      </c>
      <c r="E14" s="333" t="s">
        <v>1083</v>
      </c>
      <c r="F14" s="333" t="s">
        <v>1084</v>
      </c>
    </row>
    <row r="15" spans="1:6">
      <c r="A15" s="333" t="s">
        <v>588</v>
      </c>
      <c r="B15" s="333" t="s">
        <v>1423</v>
      </c>
      <c r="C15" s="333" t="s">
        <v>1424</v>
      </c>
      <c r="D15" s="345" t="s">
        <v>474</v>
      </c>
      <c r="E15" s="333" t="s">
        <v>581</v>
      </c>
      <c r="F15" s="333" t="s">
        <v>1071</v>
      </c>
    </row>
    <row r="17" spans="1:6">
      <c r="A17" s="346" t="s">
        <v>492</v>
      </c>
    </row>
    <row r="18" spans="1:6">
      <c r="A18" s="332" t="s">
        <v>285</v>
      </c>
      <c r="B18" s="332" t="s">
        <v>431</v>
      </c>
      <c r="C18" s="332" t="s">
        <v>328</v>
      </c>
      <c r="D18" s="332" t="s">
        <v>432</v>
      </c>
      <c r="E18" s="332" t="s">
        <v>433</v>
      </c>
      <c r="F18" s="332" t="s">
        <v>434</v>
      </c>
    </row>
    <row r="19" spans="1:6">
      <c r="A19" s="333" t="s">
        <v>592</v>
      </c>
      <c r="B19" s="333" t="s">
        <v>1425</v>
      </c>
      <c r="C19" s="333" t="s">
        <v>1426</v>
      </c>
      <c r="D19" s="333" t="s">
        <v>492</v>
      </c>
      <c r="E19" s="333" t="s">
        <v>581</v>
      </c>
      <c r="F19" s="333" t="s">
        <v>439</v>
      </c>
    </row>
    <row r="20" spans="1:6">
      <c r="A20" s="333" t="s">
        <v>595</v>
      </c>
      <c r="B20" s="333" t="s">
        <v>1427</v>
      </c>
      <c r="C20" s="333" t="s">
        <v>1076</v>
      </c>
      <c r="D20" s="333" t="s">
        <v>492</v>
      </c>
      <c r="E20" s="333" t="s">
        <v>581</v>
      </c>
      <c r="F20" s="333" t="s">
        <v>439</v>
      </c>
    </row>
    <row r="21" spans="1:6">
      <c r="A21" s="333" t="s">
        <v>600</v>
      </c>
      <c r="B21" s="333" t="s">
        <v>960</v>
      </c>
      <c r="C21" s="333" t="s">
        <v>1428</v>
      </c>
      <c r="D21" s="333" t="s">
        <v>492</v>
      </c>
      <c r="E21" s="333" t="s">
        <v>813</v>
      </c>
      <c r="F21" s="333" t="s">
        <v>439</v>
      </c>
    </row>
    <row r="22" spans="1:6">
      <c r="A22" s="333" t="s">
        <v>818</v>
      </c>
      <c r="B22" s="333" t="s">
        <v>890</v>
      </c>
      <c r="C22" s="333" t="s">
        <v>1429</v>
      </c>
      <c r="D22" s="333" t="s">
        <v>492</v>
      </c>
      <c r="E22" s="333" t="s">
        <v>817</v>
      </c>
      <c r="F22" s="333" t="s">
        <v>964</v>
      </c>
    </row>
    <row r="23" spans="1:6">
      <c r="A23" s="333" t="s">
        <v>822</v>
      </c>
      <c r="B23" s="333" t="s">
        <v>1430</v>
      </c>
      <c r="C23" s="333" t="s">
        <v>1431</v>
      </c>
      <c r="D23" s="333" t="s">
        <v>492</v>
      </c>
      <c r="E23" s="333" t="s">
        <v>581</v>
      </c>
      <c r="F23" s="333" t="s">
        <v>439</v>
      </c>
    </row>
  </sheetData>
  <mergeCells count="1">
    <mergeCell ref="A1:F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1432</v>
      </c>
      <c r="B1" s="16"/>
      <c r="C1" s="16"/>
      <c r="D1" s="16"/>
      <c r="E1" s="16"/>
      <c r="F1" s="16"/>
    </row>
    <row r="4" spans="1:6" ht="45.75" customHeight="1">
      <c r="A4" s="17" t="s">
        <v>1433</v>
      </c>
      <c r="B4" s="17"/>
      <c r="C4" s="17"/>
      <c r="D4" s="17"/>
      <c r="E4" s="17"/>
      <c r="F4" s="17"/>
    </row>
    <row r="5" spans="1:6" ht="15" customHeight="1">
      <c r="A5" s="5" t="s">
        <v>285</v>
      </c>
      <c r="B5" s="5" t="s">
        <v>431</v>
      </c>
      <c r="C5" s="5" t="s">
        <v>328</v>
      </c>
      <c r="D5" s="5" t="s">
        <v>432</v>
      </c>
      <c r="E5" s="5" t="s">
        <v>433</v>
      </c>
      <c r="F5" s="5" t="s">
        <v>1434</v>
      </c>
    </row>
    <row r="6" spans="1:6" ht="23.25" customHeight="1">
      <c r="A6" s="10" t="s">
        <v>435</v>
      </c>
      <c r="B6" s="10" t="s">
        <v>1435</v>
      </c>
      <c r="C6" s="11" t="s">
        <v>1436</v>
      </c>
      <c r="D6" s="10" t="s">
        <v>46</v>
      </c>
      <c r="E6" s="11" t="s">
        <v>1437</v>
      </c>
      <c r="F6" s="347" t="s">
        <v>1438</v>
      </c>
    </row>
    <row r="7" spans="1:6" ht="23.25" customHeight="1">
      <c r="A7" s="10" t="s">
        <v>440</v>
      </c>
      <c r="B7" s="10" t="s">
        <v>1439</v>
      </c>
      <c r="C7" s="11" t="s">
        <v>1440</v>
      </c>
      <c r="D7" s="10" t="s">
        <v>46</v>
      </c>
      <c r="E7" s="11" t="s">
        <v>1437</v>
      </c>
      <c r="F7" s="327" t="s">
        <v>1441</v>
      </c>
    </row>
    <row r="8" spans="1:6" ht="68.25" customHeight="1">
      <c r="A8" s="17" t="s">
        <v>1442</v>
      </c>
      <c r="B8" s="17"/>
      <c r="C8" s="17"/>
      <c r="D8" s="17"/>
      <c r="E8" s="17"/>
      <c r="F8" s="17"/>
    </row>
    <row r="9" spans="1:6" ht="15" customHeight="1">
      <c r="A9" s="5" t="s">
        <v>285</v>
      </c>
      <c r="B9" s="5" t="s">
        <v>431</v>
      </c>
      <c r="C9" s="5" t="s">
        <v>328</v>
      </c>
      <c r="D9" s="5" t="s">
        <v>432</v>
      </c>
      <c r="E9" s="5" t="s">
        <v>433</v>
      </c>
      <c r="F9" s="5" t="s">
        <v>1434</v>
      </c>
    </row>
    <row r="10" spans="1:6" ht="34.5" customHeight="1">
      <c r="A10" s="6" t="s">
        <v>475</v>
      </c>
      <c r="B10" s="6" t="s">
        <v>1443</v>
      </c>
      <c r="C10" s="7" t="s">
        <v>1444</v>
      </c>
      <c r="D10" s="6" t="s">
        <v>474</v>
      </c>
      <c r="E10" s="7" t="s">
        <v>1291</v>
      </c>
      <c r="F10" s="328" t="s">
        <v>1445</v>
      </c>
    </row>
    <row r="11" spans="1:6" ht="23.25" customHeight="1">
      <c r="A11" s="8" t="s">
        <v>480</v>
      </c>
      <c r="B11" s="8" t="s">
        <v>1446</v>
      </c>
      <c r="C11" s="9" t="s">
        <v>1447</v>
      </c>
      <c r="D11" s="8" t="s">
        <v>474</v>
      </c>
      <c r="E11" s="9" t="s">
        <v>581</v>
      </c>
      <c r="F11" s="329" t="s">
        <v>1448</v>
      </c>
    </row>
    <row r="12" spans="1:6" ht="34.5" customHeight="1">
      <c r="A12" s="6" t="s">
        <v>483</v>
      </c>
      <c r="B12" s="6" t="s">
        <v>1449</v>
      </c>
      <c r="C12" s="7" t="s">
        <v>1450</v>
      </c>
      <c r="D12" s="6" t="s">
        <v>474</v>
      </c>
      <c r="E12" s="7" t="s">
        <v>813</v>
      </c>
      <c r="F12" s="328" t="s">
        <v>1451</v>
      </c>
    </row>
    <row r="13" spans="1:6" ht="23.25" customHeight="1">
      <c r="A13" s="8" t="s">
        <v>588</v>
      </c>
      <c r="B13" s="8" t="s">
        <v>1452</v>
      </c>
      <c r="C13" s="9" t="s">
        <v>1453</v>
      </c>
      <c r="D13" s="8" t="s">
        <v>474</v>
      </c>
      <c r="E13" s="9" t="s">
        <v>581</v>
      </c>
      <c r="F13" s="329" t="s">
        <v>1454</v>
      </c>
    </row>
    <row r="14" spans="1:6" ht="23.25" customHeight="1">
      <c r="A14" s="6" t="s">
        <v>694</v>
      </c>
      <c r="B14" s="6" t="s">
        <v>1455</v>
      </c>
      <c r="C14" s="7" t="s">
        <v>1456</v>
      </c>
      <c r="D14" s="6" t="s">
        <v>474</v>
      </c>
      <c r="E14" s="7" t="s">
        <v>581</v>
      </c>
      <c r="F14" s="348" t="s">
        <v>1457</v>
      </c>
    </row>
    <row r="15" spans="1:6" ht="45.75" customHeight="1">
      <c r="A15" s="17" t="s">
        <v>1458</v>
      </c>
      <c r="B15" s="17"/>
      <c r="C15" s="17"/>
      <c r="D15" s="17"/>
      <c r="E15" s="17"/>
      <c r="F15" s="17"/>
    </row>
    <row r="16" spans="1:6" ht="15" customHeight="1">
      <c r="A16" s="5" t="s">
        <v>285</v>
      </c>
      <c r="B16" s="5" t="s">
        <v>431</v>
      </c>
      <c r="C16" s="5" t="s">
        <v>328</v>
      </c>
      <c r="D16" s="5" t="s">
        <v>432</v>
      </c>
      <c r="E16" s="5" t="s">
        <v>433</v>
      </c>
      <c r="F16" s="5" t="s">
        <v>1434</v>
      </c>
    </row>
    <row r="17" spans="1:6" ht="23.25" customHeight="1">
      <c r="A17" s="8" t="s">
        <v>592</v>
      </c>
      <c r="B17" s="8" t="s">
        <v>1459</v>
      </c>
      <c r="C17" s="9" t="s">
        <v>1460</v>
      </c>
      <c r="D17" s="8" t="s">
        <v>492</v>
      </c>
      <c r="E17" s="9" t="s">
        <v>581</v>
      </c>
      <c r="F17" s="329" t="s">
        <v>1461</v>
      </c>
    </row>
    <row r="18" spans="1:6" ht="15" customHeight="1">
      <c r="A18" s="6" t="s">
        <v>595</v>
      </c>
      <c r="B18" s="6" t="s">
        <v>1462</v>
      </c>
      <c r="C18" s="7" t="s">
        <v>1463</v>
      </c>
      <c r="D18" s="6" t="s">
        <v>492</v>
      </c>
      <c r="E18" s="7" t="s">
        <v>493</v>
      </c>
      <c r="F18" s="328" t="s">
        <v>1464</v>
      </c>
    </row>
    <row r="19" spans="1:6" ht="23.25" customHeight="1">
      <c r="A19" s="8" t="s">
        <v>600</v>
      </c>
      <c r="B19" s="8" t="s">
        <v>1465</v>
      </c>
      <c r="C19" s="9" t="s">
        <v>1466</v>
      </c>
      <c r="D19" s="8" t="s">
        <v>492</v>
      </c>
      <c r="E19" s="9" t="s">
        <v>478</v>
      </c>
      <c r="F19" s="329" t="s">
        <v>1467</v>
      </c>
    </row>
    <row r="20" spans="1:6" ht="23.25" customHeight="1">
      <c r="A20" s="6" t="s">
        <v>818</v>
      </c>
      <c r="B20" s="6" t="s">
        <v>1468</v>
      </c>
      <c r="C20" s="7" t="s">
        <v>1469</v>
      </c>
      <c r="D20" s="6" t="s">
        <v>492</v>
      </c>
      <c r="E20" s="7" t="s">
        <v>478</v>
      </c>
      <c r="F20" s="328" t="s">
        <v>1470</v>
      </c>
    </row>
    <row r="21" spans="1:6" ht="23.25" customHeight="1">
      <c r="A21" s="8" t="s">
        <v>822</v>
      </c>
      <c r="B21" s="8" t="s">
        <v>1471</v>
      </c>
      <c r="C21" s="9" t="s">
        <v>1472</v>
      </c>
      <c r="D21" s="8" t="s">
        <v>492</v>
      </c>
      <c r="E21" s="9" t="s">
        <v>581</v>
      </c>
      <c r="F21" s="349" t="s">
        <v>1457</v>
      </c>
    </row>
    <row r="22" spans="1:6" ht="23.25" customHeight="1">
      <c r="A22" s="6" t="s">
        <v>1473</v>
      </c>
      <c r="B22" s="6" t="s">
        <v>1474</v>
      </c>
      <c r="C22" s="7" t="s">
        <v>1475</v>
      </c>
      <c r="D22" s="6" t="s">
        <v>492</v>
      </c>
      <c r="E22" s="7" t="s">
        <v>581</v>
      </c>
      <c r="F22" s="348" t="s">
        <v>1457</v>
      </c>
    </row>
    <row r="23" spans="1:6" ht="23.25" customHeight="1">
      <c r="A23" s="8" t="s">
        <v>1476</v>
      </c>
      <c r="B23" s="8" t="s">
        <v>1477</v>
      </c>
      <c r="C23" s="9" t="s">
        <v>1478</v>
      </c>
      <c r="D23" s="8" t="s">
        <v>492</v>
      </c>
      <c r="E23" s="9" t="s">
        <v>813</v>
      </c>
      <c r="F23" s="349" t="s">
        <v>1457</v>
      </c>
    </row>
    <row r="24" spans="1:6" ht="68.25" customHeight="1">
      <c r="A24" s="17" t="s">
        <v>1479</v>
      </c>
      <c r="B24" s="17"/>
      <c r="C24" s="17"/>
      <c r="D24" s="17"/>
      <c r="E24" s="17"/>
      <c r="F24" s="17"/>
    </row>
    <row r="25" spans="1:6" ht="15" customHeight="1">
      <c r="A25" s="5" t="s">
        <v>285</v>
      </c>
      <c r="B25" s="5" t="s">
        <v>431</v>
      </c>
      <c r="C25" s="5" t="s">
        <v>328</v>
      </c>
      <c r="D25" s="5" t="s">
        <v>432</v>
      </c>
      <c r="E25" s="5" t="s">
        <v>433</v>
      </c>
      <c r="F25" s="5" t="s">
        <v>1434</v>
      </c>
    </row>
    <row r="26" spans="1:6" ht="23.25" customHeight="1">
      <c r="A26" s="6" t="s">
        <v>1480</v>
      </c>
      <c r="B26" s="6" t="s">
        <v>1430</v>
      </c>
      <c r="C26" s="7" t="s">
        <v>1481</v>
      </c>
      <c r="D26" s="6" t="s">
        <v>1482</v>
      </c>
      <c r="E26" s="7" t="s">
        <v>581</v>
      </c>
      <c r="F26" s="7" t="s">
        <v>439</v>
      </c>
    </row>
    <row r="27" spans="1:6" ht="23.25" customHeight="1">
      <c r="A27" s="8" t="s">
        <v>1483</v>
      </c>
      <c r="B27" s="8" t="s">
        <v>1484</v>
      </c>
      <c r="C27" s="9" t="s">
        <v>1485</v>
      </c>
      <c r="D27" s="8" t="s">
        <v>1482</v>
      </c>
      <c r="E27" s="9" t="s">
        <v>581</v>
      </c>
      <c r="F27" s="9" t="s">
        <v>1486</v>
      </c>
    </row>
    <row r="28" spans="1:6" ht="15" customHeight="1">
      <c r="A28" s="6" t="s">
        <v>1487</v>
      </c>
      <c r="B28" s="6" t="s">
        <v>1488</v>
      </c>
      <c r="C28" s="7" t="s">
        <v>1489</v>
      </c>
      <c r="D28" s="6" t="s">
        <v>1482</v>
      </c>
      <c r="E28" s="7" t="s">
        <v>817</v>
      </c>
      <c r="F28" s="7" t="s">
        <v>915</v>
      </c>
    </row>
    <row r="29" spans="1:6" ht="15" customHeight="1">
      <c r="A29" s="8" t="s">
        <v>1490</v>
      </c>
      <c r="B29" s="8" t="s">
        <v>1491</v>
      </c>
      <c r="C29" s="9" t="s">
        <v>1492</v>
      </c>
      <c r="D29" s="8" t="s">
        <v>1482</v>
      </c>
      <c r="E29" s="9" t="s">
        <v>1493</v>
      </c>
      <c r="F29" s="9" t="s">
        <v>439</v>
      </c>
    </row>
    <row r="30" spans="1:6" ht="23.25" customHeight="1">
      <c r="A30" s="6" t="s">
        <v>1494</v>
      </c>
      <c r="B30" s="6" t="s">
        <v>1495</v>
      </c>
      <c r="C30" s="7" t="s">
        <v>1496</v>
      </c>
      <c r="D30" s="6" t="s">
        <v>1482</v>
      </c>
      <c r="E30" s="7" t="s">
        <v>1497</v>
      </c>
      <c r="F30" s="328" t="s">
        <v>1498</v>
      </c>
    </row>
    <row r="31" spans="1:6" ht="23.25" customHeight="1">
      <c r="A31" s="8" t="s">
        <v>1499</v>
      </c>
      <c r="B31" s="8" t="s">
        <v>1500</v>
      </c>
      <c r="C31" s="9" t="s">
        <v>1501</v>
      </c>
      <c r="D31" s="8" t="s">
        <v>1482</v>
      </c>
      <c r="E31" s="9" t="s">
        <v>1497</v>
      </c>
      <c r="F31" s="330" t="s">
        <v>1502</v>
      </c>
    </row>
  </sheetData>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28" t="s">
        <v>1503</v>
      </c>
      <c r="B1" s="418"/>
      <c r="C1" s="418"/>
      <c r="D1" s="418"/>
      <c r="E1" s="418"/>
      <c r="F1" s="418"/>
      <c r="G1" s="418"/>
    </row>
    <row r="3" spans="1:7">
      <c r="A3" s="331" t="s">
        <v>1504</v>
      </c>
    </row>
    <row r="4" spans="1:7">
      <c r="A4" s="332" t="s">
        <v>285</v>
      </c>
      <c r="B4" s="332" t="s">
        <v>390</v>
      </c>
      <c r="C4" s="332" t="s">
        <v>391</v>
      </c>
      <c r="D4" s="332" t="s">
        <v>1027</v>
      </c>
      <c r="E4" s="332" t="s">
        <v>392</v>
      </c>
      <c r="F4" s="332" t="s">
        <v>1505</v>
      </c>
      <c r="G4" s="332" t="s">
        <v>243</v>
      </c>
    </row>
    <row r="5" spans="1:7">
      <c r="A5" s="333" t="s">
        <v>288</v>
      </c>
      <c r="B5" s="333" t="s">
        <v>1506</v>
      </c>
      <c r="C5" s="333" t="s">
        <v>1507</v>
      </c>
      <c r="D5" s="333" t="s">
        <v>1508</v>
      </c>
      <c r="E5" s="333" t="s">
        <v>1509</v>
      </c>
      <c r="F5" s="333" t="s">
        <v>1510</v>
      </c>
      <c r="G5" s="334" t="s">
        <v>1511</v>
      </c>
    </row>
    <row r="6" spans="1:7">
      <c r="A6" s="333" t="s">
        <v>291</v>
      </c>
      <c r="B6" s="333" t="s">
        <v>1512</v>
      </c>
      <c r="C6" s="333" t="s">
        <v>1513</v>
      </c>
      <c r="D6" s="333" t="s">
        <v>1514</v>
      </c>
      <c r="E6" s="333" t="s">
        <v>1515</v>
      </c>
      <c r="F6" s="333" t="s">
        <v>1516</v>
      </c>
      <c r="G6" s="334" t="s">
        <v>1511</v>
      </c>
    </row>
    <row r="7" spans="1:7">
      <c r="A7" s="333" t="s">
        <v>294</v>
      </c>
      <c r="B7" s="333" t="s">
        <v>1517</v>
      </c>
      <c r="C7" s="333" t="s">
        <v>1513</v>
      </c>
      <c r="D7" s="333" t="s">
        <v>1035</v>
      </c>
      <c r="E7" s="333" t="s">
        <v>1518</v>
      </c>
      <c r="F7" s="333" t="s">
        <v>1519</v>
      </c>
      <c r="G7" s="334" t="s">
        <v>1511</v>
      </c>
    </row>
    <row r="8" spans="1:7">
      <c r="A8" s="333" t="s">
        <v>297</v>
      </c>
      <c r="B8" s="333" t="s">
        <v>1520</v>
      </c>
      <c r="C8" s="333" t="s">
        <v>1513</v>
      </c>
      <c r="D8" s="333" t="s">
        <v>1521</v>
      </c>
      <c r="E8" s="333" t="s">
        <v>1522</v>
      </c>
      <c r="F8" s="333" t="s">
        <v>1523</v>
      </c>
      <c r="G8" s="334" t="s">
        <v>1511</v>
      </c>
    </row>
    <row r="9" spans="1:7">
      <c r="A9" s="333" t="s">
        <v>300</v>
      </c>
      <c r="B9" s="333" t="s">
        <v>1524</v>
      </c>
      <c r="C9" s="333" t="s">
        <v>1513</v>
      </c>
      <c r="D9" s="333" t="s">
        <v>1525</v>
      </c>
      <c r="E9" s="333" t="s">
        <v>1526</v>
      </c>
      <c r="F9" s="333" t="s">
        <v>1527</v>
      </c>
      <c r="G9" s="334" t="s">
        <v>1511</v>
      </c>
    </row>
    <row r="10" spans="1:7">
      <c r="A10" s="333" t="s">
        <v>309</v>
      </c>
      <c r="B10" s="333" t="s">
        <v>1528</v>
      </c>
      <c r="C10" s="333" t="s">
        <v>1529</v>
      </c>
      <c r="D10" s="333" t="s">
        <v>1040</v>
      </c>
      <c r="E10" s="333" t="s">
        <v>1530</v>
      </c>
      <c r="F10" s="333" t="s">
        <v>1531</v>
      </c>
      <c r="G10" s="334" t="s">
        <v>1511</v>
      </c>
    </row>
    <row r="11" spans="1:7">
      <c r="A11" s="333" t="s">
        <v>311</v>
      </c>
      <c r="B11" s="333" t="s">
        <v>1532</v>
      </c>
      <c r="C11" s="333" t="s">
        <v>399</v>
      </c>
      <c r="D11" s="333" t="s">
        <v>1533</v>
      </c>
      <c r="E11" s="333" t="s">
        <v>1534</v>
      </c>
      <c r="F11" s="333" t="s">
        <v>1535</v>
      </c>
      <c r="G11" s="334" t="s">
        <v>1511</v>
      </c>
    </row>
    <row r="12" spans="1:7">
      <c r="A12" s="333" t="s">
        <v>313</v>
      </c>
      <c r="B12" s="333" t="s">
        <v>1536</v>
      </c>
      <c r="C12" s="333" t="s">
        <v>1537</v>
      </c>
      <c r="D12" s="333" t="s">
        <v>1533</v>
      </c>
      <c r="E12" s="333" t="s">
        <v>1538</v>
      </c>
      <c r="F12" s="333" t="s">
        <v>1539</v>
      </c>
      <c r="G12" s="334" t="s">
        <v>1511</v>
      </c>
    </row>
    <row r="13" spans="1:7">
      <c r="A13" s="333" t="s">
        <v>315</v>
      </c>
      <c r="B13" s="333" t="s">
        <v>1540</v>
      </c>
      <c r="C13" s="333" t="s">
        <v>1541</v>
      </c>
      <c r="D13" s="333" t="s">
        <v>1040</v>
      </c>
      <c r="E13" s="333" t="s">
        <v>1542</v>
      </c>
      <c r="F13" s="333" t="s">
        <v>1543</v>
      </c>
      <c r="G13" s="334" t="s">
        <v>1511</v>
      </c>
    </row>
    <row r="14" spans="1:7">
      <c r="A14" s="333" t="s">
        <v>317</v>
      </c>
      <c r="B14" s="333" t="s">
        <v>1544</v>
      </c>
      <c r="C14" s="333" t="s">
        <v>1545</v>
      </c>
      <c r="D14" s="333" t="s">
        <v>1044</v>
      </c>
      <c r="E14" s="333" t="s">
        <v>1546</v>
      </c>
      <c r="F14" s="333" t="s">
        <v>1547</v>
      </c>
      <c r="G14" s="335" t="s">
        <v>341</v>
      </c>
    </row>
    <row r="15" spans="1:7">
      <c r="A15" s="333" t="s">
        <v>1548</v>
      </c>
      <c r="B15" s="333" t="s">
        <v>1549</v>
      </c>
      <c r="C15" s="333" t="s">
        <v>1550</v>
      </c>
      <c r="D15" s="333" t="s">
        <v>1551</v>
      </c>
      <c r="E15" s="333" t="s">
        <v>1552</v>
      </c>
      <c r="F15" s="333" t="s">
        <v>1553</v>
      </c>
      <c r="G15" s="335" t="s">
        <v>341</v>
      </c>
    </row>
    <row r="17" spans="1:7">
      <c r="A17" s="331" t="s">
        <v>1554</v>
      </c>
    </row>
    <row r="18" spans="1:7">
      <c r="A18" s="332" t="s">
        <v>242</v>
      </c>
      <c r="B18" s="332" t="s">
        <v>1555</v>
      </c>
      <c r="C18" s="332" t="s">
        <v>322</v>
      </c>
      <c r="D18" s="332" t="s">
        <v>1556</v>
      </c>
      <c r="E18" s="332" t="s">
        <v>1557</v>
      </c>
      <c r="F18" s="332" t="s">
        <v>1558</v>
      </c>
      <c r="G18" s="332" t="s">
        <v>243</v>
      </c>
    </row>
    <row r="19" spans="1:7">
      <c r="A19" s="333" t="s">
        <v>1175</v>
      </c>
      <c r="B19" s="333" t="s">
        <v>1174</v>
      </c>
      <c r="C19" s="333" t="s">
        <v>1143</v>
      </c>
      <c r="D19" s="333" t="s">
        <v>1559</v>
      </c>
      <c r="E19" s="333" t="s">
        <v>1131</v>
      </c>
      <c r="F19" s="333" t="s">
        <v>859</v>
      </c>
      <c r="G19" s="335" t="s">
        <v>1560</v>
      </c>
    </row>
    <row r="20" spans="1:7">
      <c r="A20" s="333" t="s">
        <v>1175</v>
      </c>
      <c r="B20" s="333" t="s">
        <v>1561</v>
      </c>
      <c r="C20" s="333" t="s">
        <v>1562</v>
      </c>
      <c r="D20" s="333" t="s">
        <v>1563</v>
      </c>
      <c r="E20" s="333" t="s">
        <v>1131</v>
      </c>
      <c r="F20" s="333" t="s">
        <v>859</v>
      </c>
      <c r="G20" s="335" t="s">
        <v>1560</v>
      </c>
    </row>
    <row r="21" spans="1:7">
      <c r="A21" s="333" t="s">
        <v>1175</v>
      </c>
      <c r="B21" s="333" t="s">
        <v>1178</v>
      </c>
      <c r="C21" s="333" t="s">
        <v>1564</v>
      </c>
      <c r="D21" s="333" t="s">
        <v>1565</v>
      </c>
      <c r="E21" s="333" t="s">
        <v>1566</v>
      </c>
      <c r="F21" s="333" t="s">
        <v>859</v>
      </c>
      <c r="G21" s="335" t="s">
        <v>1560</v>
      </c>
    </row>
    <row r="22" spans="1:7">
      <c r="A22" s="333" t="s">
        <v>1175</v>
      </c>
      <c r="B22" s="333" t="s">
        <v>1567</v>
      </c>
      <c r="C22" s="333" t="s">
        <v>1568</v>
      </c>
      <c r="D22" s="333" t="s">
        <v>1569</v>
      </c>
      <c r="E22" s="333" t="s">
        <v>1131</v>
      </c>
      <c r="F22" s="333" t="s">
        <v>859</v>
      </c>
      <c r="G22" s="335" t="s">
        <v>1560</v>
      </c>
    </row>
    <row r="23" spans="1:7">
      <c r="A23" s="333" t="s">
        <v>1175</v>
      </c>
      <c r="B23" s="333" t="s">
        <v>1570</v>
      </c>
      <c r="C23" s="333" t="s">
        <v>1571</v>
      </c>
      <c r="D23" s="333" t="s">
        <v>1572</v>
      </c>
      <c r="E23" s="333" t="s">
        <v>1131</v>
      </c>
      <c r="F23" s="333" t="s">
        <v>863</v>
      </c>
      <c r="G23" s="335" t="s">
        <v>1560</v>
      </c>
    </row>
    <row r="24" spans="1:7">
      <c r="A24" s="333" t="s">
        <v>1175</v>
      </c>
      <c r="B24" s="333" t="s">
        <v>1573</v>
      </c>
      <c r="C24" s="333" t="s">
        <v>1568</v>
      </c>
      <c r="D24" s="333" t="s">
        <v>1574</v>
      </c>
      <c r="E24" s="333" t="s">
        <v>1131</v>
      </c>
      <c r="F24" s="333" t="s">
        <v>863</v>
      </c>
      <c r="G24" s="335" t="s">
        <v>1560</v>
      </c>
    </row>
    <row r="25" spans="1:7">
      <c r="A25" s="333" t="s">
        <v>1175</v>
      </c>
      <c r="B25" s="333" t="s">
        <v>1180</v>
      </c>
      <c r="C25" s="333" t="s">
        <v>1564</v>
      </c>
      <c r="D25" s="333" t="s">
        <v>1575</v>
      </c>
      <c r="E25" s="333" t="s">
        <v>1576</v>
      </c>
      <c r="F25" s="333" t="s">
        <v>1577</v>
      </c>
      <c r="G25" s="335" t="s">
        <v>1560</v>
      </c>
    </row>
    <row r="26" spans="1:7">
      <c r="A26" s="333" t="s">
        <v>1175</v>
      </c>
      <c r="B26" s="333" t="s">
        <v>1183</v>
      </c>
      <c r="C26" s="333" t="s">
        <v>1568</v>
      </c>
      <c r="D26" s="333" t="s">
        <v>1578</v>
      </c>
      <c r="E26" s="333" t="s">
        <v>1576</v>
      </c>
      <c r="F26" s="333" t="s">
        <v>1577</v>
      </c>
      <c r="G26" s="335" t="s">
        <v>1560</v>
      </c>
    </row>
    <row r="27" spans="1:7">
      <c r="A27" s="333" t="s">
        <v>1175</v>
      </c>
      <c r="B27" s="333" t="s">
        <v>1187</v>
      </c>
      <c r="C27" s="333" t="s">
        <v>1579</v>
      </c>
      <c r="D27" s="333" t="s">
        <v>1580</v>
      </c>
      <c r="E27" s="333" t="s">
        <v>1581</v>
      </c>
      <c r="F27" s="333" t="s">
        <v>1582</v>
      </c>
      <c r="G27" s="335" t="s">
        <v>1560</v>
      </c>
    </row>
    <row r="28" spans="1:7">
      <c r="A28" s="333" t="s">
        <v>1583</v>
      </c>
      <c r="B28" s="333" t="s">
        <v>1189</v>
      </c>
      <c r="C28" s="333" t="s">
        <v>996</v>
      </c>
      <c r="D28" s="333" t="s">
        <v>1584</v>
      </c>
      <c r="E28" s="333" t="s">
        <v>1585</v>
      </c>
      <c r="F28" s="333" t="s">
        <v>859</v>
      </c>
      <c r="G28" s="335" t="s">
        <v>1560</v>
      </c>
    </row>
    <row r="29" spans="1:7">
      <c r="A29" s="333" t="s">
        <v>1586</v>
      </c>
      <c r="B29" s="333" t="s">
        <v>972</v>
      </c>
      <c r="C29" s="333" t="s">
        <v>1587</v>
      </c>
      <c r="D29" s="333" t="s">
        <v>1588</v>
      </c>
      <c r="E29" s="333" t="s">
        <v>1131</v>
      </c>
      <c r="F29" s="333" t="s">
        <v>1589</v>
      </c>
      <c r="G29" s="335" t="s">
        <v>1560</v>
      </c>
    </row>
    <row r="30" spans="1:7">
      <c r="A30" s="333" t="s">
        <v>1590</v>
      </c>
      <c r="B30" s="333" t="s">
        <v>1185</v>
      </c>
      <c r="C30" s="333" t="s">
        <v>1002</v>
      </c>
      <c r="D30" s="333" t="s">
        <v>1591</v>
      </c>
      <c r="E30" s="333" t="s">
        <v>1592</v>
      </c>
      <c r="F30" s="333" t="s">
        <v>1577</v>
      </c>
      <c r="G30" s="335" t="s">
        <v>1560</v>
      </c>
    </row>
    <row r="31" spans="1:7">
      <c r="A31" s="333" t="s">
        <v>1593</v>
      </c>
      <c r="B31" s="333" t="s">
        <v>1594</v>
      </c>
      <c r="C31" s="333" t="s">
        <v>1595</v>
      </c>
      <c r="D31" s="333" t="s">
        <v>1596</v>
      </c>
      <c r="E31" s="333" t="s">
        <v>1597</v>
      </c>
      <c r="F31" s="333" t="s">
        <v>25</v>
      </c>
      <c r="G31" s="335" t="s">
        <v>1560</v>
      </c>
    </row>
    <row r="33" spans="1:7">
      <c r="A33" s="331" t="s">
        <v>1598</v>
      </c>
    </row>
    <row r="34" spans="1:7">
      <c r="A34" s="332" t="s">
        <v>286</v>
      </c>
      <c r="B34" s="332" t="s">
        <v>1599</v>
      </c>
      <c r="C34" s="332" t="s">
        <v>1360</v>
      </c>
      <c r="D34" s="332" t="s">
        <v>1600</v>
      </c>
      <c r="E34" s="332" t="s">
        <v>1323</v>
      </c>
      <c r="F34" s="332" t="s">
        <v>1601</v>
      </c>
      <c r="G34" s="332" t="s">
        <v>244</v>
      </c>
    </row>
    <row r="35" spans="1:7">
      <c r="A35" s="333" t="s">
        <v>1602</v>
      </c>
      <c r="B35" s="333" t="s">
        <v>1603</v>
      </c>
      <c r="C35" s="335" t="s">
        <v>599</v>
      </c>
      <c r="D35" s="333" t="s">
        <v>1604</v>
      </c>
      <c r="E35" s="333" t="s">
        <v>1605</v>
      </c>
      <c r="F35" s="333" t="s">
        <v>474</v>
      </c>
      <c r="G35" s="333" t="s">
        <v>1606</v>
      </c>
    </row>
    <row r="36" spans="1:7">
      <c r="A36" s="333" t="s">
        <v>1607</v>
      </c>
      <c r="B36" s="333" t="s">
        <v>1608</v>
      </c>
      <c r="C36" s="335" t="s">
        <v>599</v>
      </c>
      <c r="D36" s="333" t="s">
        <v>1609</v>
      </c>
      <c r="E36" s="333" t="s">
        <v>1610</v>
      </c>
      <c r="F36" s="333" t="s">
        <v>492</v>
      </c>
      <c r="G36" s="333" t="s">
        <v>1611</v>
      </c>
    </row>
    <row r="37" spans="1:7">
      <c r="A37" s="333" t="s">
        <v>1612</v>
      </c>
      <c r="B37" s="333" t="s">
        <v>1613</v>
      </c>
      <c r="C37" s="335" t="s">
        <v>1614</v>
      </c>
      <c r="D37" s="333" t="s">
        <v>1615</v>
      </c>
      <c r="E37" s="333" t="s">
        <v>1616</v>
      </c>
      <c r="F37" s="333" t="s">
        <v>46</v>
      </c>
      <c r="G37" s="333" t="s">
        <v>1617</v>
      </c>
    </row>
    <row r="38" spans="1:7">
      <c r="A38" s="333" t="s">
        <v>1618</v>
      </c>
      <c r="B38" s="333" t="s">
        <v>1619</v>
      </c>
      <c r="C38" s="335" t="s">
        <v>599</v>
      </c>
      <c r="D38" s="333" t="s">
        <v>1620</v>
      </c>
      <c r="E38" s="333" t="s">
        <v>1621</v>
      </c>
      <c r="F38" s="333" t="s">
        <v>46</v>
      </c>
      <c r="G38" s="333" t="s">
        <v>1622</v>
      </c>
    </row>
    <row r="39" spans="1:7">
      <c r="A39" s="333" t="s">
        <v>1623</v>
      </c>
      <c r="B39" s="333" t="s">
        <v>1624</v>
      </c>
      <c r="C39" s="335" t="s">
        <v>599</v>
      </c>
      <c r="D39" s="333" t="s">
        <v>1625</v>
      </c>
      <c r="E39" s="333" t="s">
        <v>1626</v>
      </c>
      <c r="F39" s="333" t="s">
        <v>1627</v>
      </c>
      <c r="G39" s="333" t="s">
        <v>1628</v>
      </c>
    </row>
    <row r="40" spans="1:7">
      <c r="A40" s="333" t="s">
        <v>1629</v>
      </c>
      <c r="B40" s="333" t="s">
        <v>1624</v>
      </c>
      <c r="C40" s="336" t="s">
        <v>1630</v>
      </c>
      <c r="D40" s="333" t="s">
        <v>1631</v>
      </c>
      <c r="E40" s="333" t="s">
        <v>915</v>
      </c>
      <c r="F40" s="333" t="s">
        <v>1632</v>
      </c>
      <c r="G40" s="333" t="s">
        <v>1633</v>
      </c>
    </row>
    <row r="41" spans="1:7">
      <c r="A41" s="333" t="s">
        <v>1634</v>
      </c>
      <c r="B41" s="333" t="s">
        <v>1624</v>
      </c>
      <c r="C41" s="336" t="s">
        <v>1630</v>
      </c>
      <c r="D41" s="333" t="s">
        <v>1631</v>
      </c>
      <c r="E41" s="333" t="s">
        <v>915</v>
      </c>
      <c r="F41" s="333" t="s">
        <v>1632</v>
      </c>
      <c r="G41" s="333" t="s">
        <v>1633</v>
      </c>
    </row>
  </sheetData>
  <mergeCells count="1">
    <mergeCell ref="A1:G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826</v>
      </c>
      <c r="B1" s="332" t="s">
        <v>522</v>
      </c>
      <c r="C1" s="332" t="s">
        <v>827</v>
      </c>
      <c r="D1" s="332" t="s">
        <v>322</v>
      </c>
      <c r="E1" s="332" t="s">
        <v>647</v>
      </c>
      <c r="F1" s="332" t="s">
        <v>243</v>
      </c>
    </row>
    <row r="2" spans="1:6">
      <c r="A2" s="333" t="s">
        <v>1635</v>
      </c>
      <c r="B2" s="333" t="s">
        <v>1636</v>
      </c>
      <c r="C2" s="333" t="s">
        <v>1637</v>
      </c>
      <c r="D2" s="333" t="s">
        <v>915</v>
      </c>
      <c r="E2" s="333" t="s">
        <v>915</v>
      </c>
      <c r="F2" s="335" t="s">
        <v>351</v>
      </c>
    </row>
    <row r="3" spans="1:6">
      <c r="A3" s="333" t="s">
        <v>1638</v>
      </c>
      <c r="B3" s="333" t="s">
        <v>1636</v>
      </c>
      <c r="C3" s="333" t="s">
        <v>1639</v>
      </c>
      <c r="D3" s="333" t="s">
        <v>915</v>
      </c>
      <c r="E3" s="333" t="s">
        <v>915</v>
      </c>
      <c r="F3" s="335" t="s">
        <v>334</v>
      </c>
    </row>
    <row r="4" spans="1:6">
      <c r="A4" s="333" t="s">
        <v>1640</v>
      </c>
      <c r="B4" s="333" t="s">
        <v>1636</v>
      </c>
      <c r="C4" s="333" t="s">
        <v>1641</v>
      </c>
      <c r="D4" s="333" t="s">
        <v>915</v>
      </c>
      <c r="E4" s="333" t="s">
        <v>915</v>
      </c>
      <c r="F4" s="335" t="s">
        <v>1642</v>
      </c>
    </row>
    <row r="5" spans="1:6">
      <c r="A5" s="333" t="s">
        <v>1643</v>
      </c>
      <c r="B5" s="333" t="s">
        <v>1636</v>
      </c>
      <c r="C5" s="333" t="s">
        <v>1644</v>
      </c>
      <c r="D5" s="333" t="s">
        <v>915</v>
      </c>
      <c r="E5" s="333" t="s">
        <v>915</v>
      </c>
      <c r="F5" s="335" t="s">
        <v>1645</v>
      </c>
    </row>
    <row r="6" spans="1:6">
      <c r="A6" s="333" t="s">
        <v>1646</v>
      </c>
      <c r="B6" s="333" t="s">
        <v>401</v>
      </c>
      <c r="C6" s="333" t="s">
        <v>1647</v>
      </c>
      <c r="D6" s="333" t="s">
        <v>1648</v>
      </c>
      <c r="E6" s="333" t="s">
        <v>1493</v>
      </c>
      <c r="F6" s="345" t="s">
        <v>1457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5"/>
  <sheetViews>
    <sheetView tabSelected="1" zoomScaleNormal="100" workbookViewId="0">
      <selection sqref="A1:B1"/>
    </sheetView>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826</v>
      </c>
      <c r="B1" s="18" t="s">
        <v>522</v>
      </c>
      <c r="C1" s="18" t="s">
        <v>827</v>
      </c>
      <c r="D1" s="18" t="s">
        <v>322</v>
      </c>
      <c r="E1" s="18" t="s">
        <v>647</v>
      </c>
      <c r="F1" s="18" t="s">
        <v>243</v>
      </c>
    </row>
    <row r="2" spans="1:6" ht="15" customHeight="1">
      <c r="A2" s="19" t="s">
        <v>288</v>
      </c>
      <c r="B2" s="20" t="s">
        <v>1649</v>
      </c>
      <c r="C2" s="19" t="s">
        <v>1650</v>
      </c>
      <c r="D2" s="19">
        <v>1629</v>
      </c>
      <c r="E2" s="19" t="s">
        <v>1651</v>
      </c>
      <c r="F2" s="21" t="s">
        <v>361</v>
      </c>
    </row>
    <row r="3" spans="1:6" ht="15" customHeight="1">
      <c r="A3" s="19" t="s">
        <v>291</v>
      </c>
      <c r="B3" s="20" t="s">
        <v>1652</v>
      </c>
      <c r="C3" s="19" t="s">
        <v>1653</v>
      </c>
      <c r="D3" s="19">
        <v>1629</v>
      </c>
      <c r="E3" s="19" t="s">
        <v>1654</v>
      </c>
      <c r="F3" s="21" t="s">
        <v>361</v>
      </c>
    </row>
    <row r="4" spans="1:6" ht="15" customHeight="1">
      <c r="A4" s="19" t="s">
        <v>294</v>
      </c>
      <c r="B4" s="20" t="s">
        <v>1655</v>
      </c>
      <c r="C4" s="19" t="s">
        <v>1656</v>
      </c>
      <c r="D4" s="19">
        <v>1629</v>
      </c>
      <c r="E4" s="19" t="s">
        <v>1657</v>
      </c>
      <c r="F4" s="21" t="s">
        <v>361</v>
      </c>
    </row>
    <row r="5" spans="1:6" ht="15" customHeight="1">
      <c r="A5" s="19" t="s">
        <v>297</v>
      </c>
      <c r="B5" s="20" t="s">
        <v>1658</v>
      </c>
      <c r="C5" s="19" t="s">
        <v>1659</v>
      </c>
      <c r="D5" s="19">
        <v>1642</v>
      </c>
      <c r="E5" s="19" t="s">
        <v>1660</v>
      </c>
      <c r="F5" s="21" t="s">
        <v>361</v>
      </c>
    </row>
    <row r="6" spans="1:6" ht="15" customHeight="1">
      <c r="A6" s="19" t="s">
        <v>1661</v>
      </c>
      <c r="B6" s="20" t="s">
        <v>1662</v>
      </c>
      <c r="C6" s="19" t="s">
        <v>1663</v>
      </c>
      <c r="D6" s="19">
        <v>1652</v>
      </c>
      <c r="E6" s="19" t="s">
        <v>1664</v>
      </c>
      <c r="F6" s="22" t="s">
        <v>1665</v>
      </c>
    </row>
    <row r="7" spans="1:6" ht="15" customHeight="1">
      <c r="A7" s="19" t="s">
        <v>300</v>
      </c>
      <c r="B7" s="20" t="s">
        <v>1666</v>
      </c>
      <c r="C7" s="19" t="s">
        <v>1667</v>
      </c>
      <c r="D7" s="19">
        <v>1652</v>
      </c>
      <c r="E7" s="19" t="s">
        <v>1668</v>
      </c>
      <c r="F7" s="21" t="s">
        <v>361</v>
      </c>
    </row>
    <row r="8" spans="1:6" ht="15" customHeight="1">
      <c r="A8" s="23"/>
      <c r="B8" s="23"/>
      <c r="C8" s="23"/>
      <c r="D8" s="23"/>
      <c r="E8" s="23"/>
      <c r="F8" s="23"/>
    </row>
    <row r="9" spans="1:6" ht="15" customHeight="1">
      <c r="A9" s="24" t="s">
        <v>1669</v>
      </c>
      <c r="B9" s="23"/>
      <c r="C9" s="23"/>
      <c r="D9" s="23"/>
      <c r="E9" s="23"/>
      <c r="F9" s="23"/>
    </row>
    <row r="10" spans="1:6" ht="15" customHeight="1">
      <c r="A10" s="25" t="s">
        <v>1670</v>
      </c>
      <c r="B10" s="26" t="s">
        <v>1671</v>
      </c>
      <c r="C10" s="23"/>
      <c r="D10" s="23"/>
      <c r="E10" s="23"/>
      <c r="F10" s="23"/>
    </row>
    <row r="11" spans="1:6" ht="15" customHeight="1">
      <c r="A11" s="25" t="s">
        <v>1672</v>
      </c>
      <c r="B11" s="26" t="s">
        <v>1673</v>
      </c>
      <c r="C11" s="23"/>
      <c r="D11" s="23"/>
      <c r="E11" s="23"/>
      <c r="F11" s="23"/>
    </row>
    <row r="12" spans="1:6" ht="15" customHeight="1">
      <c r="A12" s="25" t="s">
        <v>1674</v>
      </c>
      <c r="B12" s="26" t="s">
        <v>1671</v>
      </c>
      <c r="C12" s="23"/>
      <c r="D12" s="23"/>
      <c r="E12" s="23"/>
      <c r="F12" s="23"/>
    </row>
    <row r="13" spans="1:6" ht="15" customHeight="1">
      <c r="A13" s="23"/>
      <c r="B13" s="23"/>
      <c r="C13" s="23"/>
      <c r="D13" s="23"/>
      <c r="E13" s="23"/>
      <c r="F13" s="23"/>
    </row>
    <row r="14" spans="1:6" ht="15" customHeight="1">
      <c r="A14" s="24" t="s">
        <v>1675</v>
      </c>
      <c r="B14" s="23"/>
      <c r="C14" s="23"/>
      <c r="D14" s="23"/>
      <c r="E14" s="23"/>
      <c r="F14" s="23"/>
    </row>
    <row r="15" spans="1:6" ht="15" customHeight="1">
      <c r="A15" s="26" t="s">
        <v>1676</v>
      </c>
      <c r="B15" s="27">
        <v>25</v>
      </c>
      <c r="C15" s="23"/>
      <c r="D15" s="23"/>
      <c r="E15" s="23"/>
      <c r="F15" s="23"/>
    </row>
    <row r="16" spans="1:6" ht="15" customHeight="1">
      <c r="A16" s="26" t="s">
        <v>526</v>
      </c>
      <c r="B16" s="27">
        <v>25</v>
      </c>
      <c r="C16" s="23"/>
      <c r="D16" s="23"/>
      <c r="E16" s="23"/>
      <c r="F16" s="23"/>
    </row>
    <row r="17" spans="1:6" ht="15" customHeight="1">
      <c r="A17" s="26" t="s">
        <v>1677</v>
      </c>
      <c r="B17" s="27">
        <v>0</v>
      </c>
      <c r="C17" s="23"/>
      <c r="D17" s="23"/>
      <c r="E17" s="23"/>
      <c r="F17" s="23"/>
    </row>
    <row r="18" spans="1:6" ht="15" customHeight="1">
      <c r="A18" s="26" t="s">
        <v>1678</v>
      </c>
      <c r="B18" s="27" t="s">
        <v>1679</v>
      </c>
      <c r="C18" s="23"/>
      <c r="D18" s="23"/>
      <c r="E18" s="23"/>
      <c r="F18" s="23"/>
    </row>
    <row r="19" spans="1:6" ht="15" customHeight="1">
      <c r="A19" s="23"/>
      <c r="B19" s="23"/>
      <c r="C19" s="23"/>
      <c r="D19" s="23"/>
      <c r="E19" s="23"/>
      <c r="F19" s="23"/>
    </row>
    <row r="20" spans="1:6" ht="15" customHeight="1">
      <c r="A20" s="24" t="s">
        <v>1680</v>
      </c>
      <c r="B20" s="23"/>
      <c r="C20" s="23"/>
      <c r="D20" s="23"/>
      <c r="E20" s="23"/>
      <c r="F20" s="23"/>
    </row>
    <row r="21" spans="1:6" ht="15" customHeight="1">
      <c r="A21" s="28" t="s">
        <v>1681</v>
      </c>
      <c r="B21" s="27" t="s">
        <v>1682</v>
      </c>
      <c r="C21" s="23"/>
      <c r="D21" s="23"/>
      <c r="E21" s="23"/>
      <c r="F21" s="23"/>
    </row>
    <row r="22" spans="1:6" ht="15" customHeight="1">
      <c r="A22" s="28" t="s">
        <v>1683</v>
      </c>
      <c r="B22" s="27" t="s">
        <v>1682</v>
      </c>
      <c r="C22" s="23"/>
      <c r="D22" s="23"/>
      <c r="E22" s="23"/>
      <c r="F22" s="23"/>
    </row>
    <row r="23" spans="1:6" ht="15" customHeight="1">
      <c r="A23" s="28" t="s">
        <v>1684</v>
      </c>
      <c r="B23" s="27" t="s">
        <v>1682</v>
      </c>
      <c r="C23" s="23"/>
      <c r="D23" s="23"/>
      <c r="E23" s="23"/>
      <c r="F23" s="23"/>
    </row>
    <row r="24" spans="1:6" ht="15" customHeight="1">
      <c r="A24" s="28" t="s">
        <v>1685</v>
      </c>
      <c r="B24" s="27" t="s">
        <v>1682</v>
      </c>
      <c r="C24" s="23"/>
      <c r="D24" s="23"/>
      <c r="E24" s="23"/>
      <c r="F24" s="23"/>
    </row>
    <row r="25" spans="1:6" ht="15" customHeight="1">
      <c r="A25" s="28" t="s">
        <v>1686</v>
      </c>
      <c r="B25" s="27" t="s">
        <v>1682</v>
      </c>
      <c r="C25" s="23"/>
      <c r="D25" s="23"/>
      <c r="E25" s="23"/>
      <c r="F25" s="23"/>
    </row>
    <row r="26" spans="1:6" ht="15" customHeight="1">
      <c r="A26" s="28" t="s">
        <v>1687</v>
      </c>
      <c r="B26" s="27" t="s">
        <v>1682</v>
      </c>
      <c r="C26" s="23"/>
      <c r="D26" s="23"/>
      <c r="E26" s="23"/>
      <c r="F26" s="23"/>
    </row>
    <row r="27" spans="1:6" ht="15" customHeight="1">
      <c r="A27" s="28" t="s">
        <v>1688</v>
      </c>
      <c r="B27" s="27" t="s">
        <v>1682</v>
      </c>
      <c r="C27" s="23"/>
      <c r="D27" s="23"/>
      <c r="E27" s="23"/>
      <c r="F27" s="23"/>
    </row>
    <row r="28" spans="1:6" ht="15" customHeight="1">
      <c r="A28" s="28" t="s">
        <v>1689</v>
      </c>
      <c r="B28" s="27" t="s">
        <v>1682</v>
      </c>
      <c r="C28" s="23"/>
      <c r="D28" s="23"/>
      <c r="E28" s="23"/>
      <c r="F28" s="23"/>
    </row>
    <row r="29" spans="1:6" ht="15" customHeight="1">
      <c r="A29" s="28" t="s">
        <v>1690</v>
      </c>
      <c r="B29" s="27" t="s">
        <v>1682</v>
      </c>
      <c r="C29" s="23"/>
      <c r="D29" s="23"/>
      <c r="E29" s="23"/>
      <c r="F29" s="23"/>
    </row>
    <row r="30" spans="1:6" ht="15" customHeight="1">
      <c r="A30" s="28" t="s">
        <v>1691</v>
      </c>
      <c r="B30" s="27" t="s">
        <v>1682</v>
      </c>
      <c r="C30" s="23"/>
      <c r="D30" s="23"/>
      <c r="E30" s="23"/>
      <c r="F30" s="23"/>
    </row>
    <row r="31" spans="1:6" ht="15" customHeight="1">
      <c r="A31" s="28" t="s">
        <v>1692</v>
      </c>
      <c r="B31" s="27" t="s">
        <v>1682</v>
      </c>
      <c r="C31" s="23"/>
      <c r="D31" s="23"/>
      <c r="E31" s="23"/>
      <c r="F31" s="23"/>
    </row>
    <row r="32" spans="1:6" ht="15" customHeight="1">
      <c r="A32" s="28" t="s">
        <v>1693</v>
      </c>
      <c r="B32" s="27" t="s">
        <v>1682</v>
      </c>
      <c r="C32" s="23"/>
      <c r="D32" s="23"/>
      <c r="E32" s="23"/>
      <c r="F32" s="23"/>
    </row>
    <row r="33" spans="1:6" ht="15" customHeight="1">
      <c r="A33" s="28" t="s">
        <v>1694</v>
      </c>
      <c r="B33" s="27" t="s">
        <v>1682</v>
      </c>
      <c r="C33" s="23"/>
      <c r="D33" s="23"/>
      <c r="E33" s="23"/>
      <c r="F33" s="23"/>
    </row>
    <row r="34" spans="1:6" ht="15" customHeight="1">
      <c r="A34" s="28" t="s">
        <v>1695</v>
      </c>
      <c r="B34" s="27" t="s">
        <v>1682</v>
      </c>
      <c r="C34" s="23"/>
      <c r="D34" s="23"/>
      <c r="E34" s="23"/>
      <c r="F34" s="23"/>
    </row>
    <row r="35" spans="1:6" ht="15" customHeight="1">
      <c r="A35" s="28" t="s">
        <v>1696</v>
      </c>
      <c r="B35" s="27" t="s">
        <v>1682</v>
      </c>
      <c r="C35" s="23"/>
      <c r="D35" s="23"/>
      <c r="E35" s="23"/>
      <c r="F35" s="23"/>
    </row>
    <row r="36" spans="1:6" ht="15" customHeight="1">
      <c r="A36" s="28" t="s">
        <v>1697</v>
      </c>
      <c r="B36" s="27" t="s">
        <v>1682</v>
      </c>
      <c r="C36" s="23"/>
      <c r="D36" s="23"/>
      <c r="E36" s="23"/>
      <c r="F36" s="23"/>
    </row>
    <row r="37" spans="1:6" ht="15" customHeight="1">
      <c r="A37" s="28" t="s">
        <v>1698</v>
      </c>
      <c r="B37" s="27" t="s">
        <v>1682</v>
      </c>
      <c r="C37" s="23"/>
      <c r="D37" s="23"/>
      <c r="E37" s="23"/>
      <c r="F37" s="23"/>
    </row>
    <row r="38" spans="1:6" ht="15" customHeight="1">
      <c r="A38" s="28" t="s">
        <v>1699</v>
      </c>
      <c r="B38" s="27" t="s">
        <v>1682</v>
      </c>
      <c r="C38" s="23"/>
      <c r="D38" s="23"/>
      <c r="E38" s="23"/>
      <c r="F38" s="23"/>
    </row>
    <row r="39" spans="1:6" ht="15" customHeight="1">
      <c r="A39" s="28" t="s">
        <v>1700</v>
      </c>
      <c r="B39" s="27" t="s">
        <v>1682</v>
      </c>
      <c r="C39" s="23"/>
      <c r="D39" s="23"/>
      <c r="E39" s="23"/>
      <c r="F39" s="23"/>
    </row>
    <row r="40" spans="1:6" ht="15" customHeight="1">
      <c r="A40" s="28" t="s">
        <v>1701</v>
      </c>
      <c r="B40" s="27" t="s">
        <v>1682</v>
      </c>
      <c r="C40" s="23"/>
      <c r="D40" s="23"/>
      <c r="E40" s="23"/>
      <c r="F40" s="23"/>
    </row>
    <row r="41" spans="1:6" ht="15" customHeight="1">
      <c r="A41" s="28" t="s">
        <v>1702</v>
      </c>
      <c r="B41" s="27" t="s">
        <v>1682</v>
      </c>
      <c r="C41" s="23"/>
      <c r="D41" s="23"/>
      <c r="E41" s="23"/>
      <c r="F41" s="23"/>
    </row>
    <row r="42" spans="1:6" ht="15" customHeight="1">
      <c r="A42" s="28" t="s">
        <v>1703</v>
      </c>
      <c r="B42" s="27" t="s">
        <v>1682</v>
      </c>
      <c r="C42" s="23"/>
      <c r="D42" s="23"/>
      <c r="E42" s="23"/>
      <c r="F42" s="23"/>
    </row>
    <row r="43" spans="1:6" ht="15" customHeight="1">
      <c r="A43" s="28" t="s">
        <v>1704</v>
      </c>
      <c r="B43" s="27" t="s">
        <v>1682</v>
      </c>
      <c r="C43" s="23"/>
      <c r="D43" s="23"/>
      <c r="E43" s="23"/>
      <c r="F43" s="23"/>
    </row>
    <row r="44" spans="1:6" ht="15" customHeight="1">
      <c r="A44" s="28" t="s">
        <v>1705</v>
      </c>
      <c r="B44" s="27" t="s">
        <v>1682</v>
      </c>
      <c r="C44" s="23"/>
      <c r="D44" s="23"/>
      <c r="E44" s="23"/>
      <c r="F44" s="23"/>
    </row>
    <row r="45" spans="1:6" ht="15" customHeight="1">
      <c r="A45" s="28" t="s">
        <v>1706</v>
      </c>
      <c r="B45" s="27" t="s">
        <v>1682</v>
      </c>
      <c r="C45" s="23"/>
      <c r="D45" s="23"/>
      <c r="E45" s="23"/>
      <c r="F45" s="23"/>
    </row>
  </sheetData>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24"/>
  <sheetViews>
    <sheetView tabSelected="1" topLeftCell="A43" zoomScaleNormal="100" workbookViewId="0">
      <selection sqref="A1:B1"/>
    </sheetView>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32" t="s">
        <v>1707</v>
      </c>
      <c r="B1" s="418"/>
      <c r="C1" s="418"/>
      <c r="D1" s="418"/>
      <c r="E1" s="418"/>
      <c r="F1" s="418"/>
    </row>
    <row r="2" spans="1:6" ht="15" customHeight="1">
      <c r="A2" s="431" t="s">
        <v>1708</v>
      </c>
      <c r="B2" s="418"/>
      <c r="C2" s="418"/>
      <c r="D2" s="418"/>
      <c r="E2" s="418"/>
      <c r="F2" s="418"/>
    </row>
    <row r="3" spans="1:6" ht="39.75" customHeight="1">
      <c r="A3" s="430" t="s">
        <v>1709</v>
      </c>
      <c r="B3" s="418"/>
      <c r="C3" s="418"/>
      <c r="D3" s="418"/>
      <c r="E3" s="418"/>
      <c r="F3" s="418"/>
    </row>
    <row r="4" spans="1:6" ht="15" customHeight="1">
      <c r="A4" s="23"/>
      <c r="B4" s="23"/>
      <c r="C4" s="23"/>
      <c r="D4" s="23"/>
      <c r="E4" s="23"/>
      <c r="F4" s="23"/>
    </row>
    <row r="5" spans="1:6" ht="15" customHeight="1">
      <c r="A5" s="429" t="s">
        <v>1710</v>
      </c>
      <c r="B5" s="418"/>
      <c r="C5" s="418"/>
      <c r="D5" s="418"/>
      <c r="E5" s="418"/>
      <c r="F5" s="418"/>
    </row>
    <row r="6" spans="1:6" ht="15" customHeight="1">
      <c r="A6" s="29" t="s">
        <v>604</v>
      </c>
      <c r="B6" s="29" t="s">
        <v>1586</v>
      </c>
      <c r="C6" s="29" t="s">
        <v>243</v>
      </c>
      <c r="D6" s="29" t="s">
        <v>1711</v>
      </c>
      <c r="E6" s="29" t="s">
        <v>432</v>
      </c>
      <c r="F6" s="29" t="s">
        <v>1712</v>
      </c>
    </row>
    <row r="7" spans="1:6" ht="30" customHeight="1">
      <c r="A7" s="30" t="s">
        <v>1713</v>
      </c>
      <c r="B7" s="31" t="s">
        <v>1714</v>
      </c>
      <c r="C7" s="32" t="s">
        <v>1715</v>
      </c>
      <c r="D7" s="33" t="s">
        <v>1716</v>
      </c>
      <c r="E7" s="31"/>
      <c r="F7" s="31" t="s">
        <v>1717</v>
      </c>
    </row>
    <row r="8" spans="1:6" ht="30" customHeight="1">
      <c r="A8" s="34" t="s">
        <v>1718</v>
      </c>
      <c r="B8" s="35" t="s">
        <v>1714</v>
      </c>
      <c r="C8" s="36" t="s">
        <v>1719</v>
      </c>
      <c r="D8" s="37" t="s">
        <v>1720</v>
      </c>
      <c r="E8" s="35"/>
      <c r="F8" s="35" t="s">
        <v>1717</v>
      </c>
    </row>
    <row r="9" spans="1:6" ht="30" customHeight="1">
      <c r="A9" s="30" t="s">
        <v>1721</v>
      </c>
      <c r="B9" s="31" t="s">
        <v>1714</v>
      </c>
      <c r="C9" s="32" t="s">
        <v>1715</v>
      </c>
      <c r="D9" s="33" t="s">
        <v>1722</v>
      </c>
      <c r="E9" s="31"/>
      <c r="F9" s="31" t="s">
        <v>1717</v>
      </c>
    </row>
    <row r="10" spans="1:6" ht="30" customHeight="1">
      <c r="A10" s="34" t="s">
        <v>1723</v>
      </c>
      <c r="B10" s="35" t="s">
        <v>1714</v>
      </c>
      <c r="C10" s="36" t="s">
        <v>1719</v>
      </c>
      <c r="D10" s="37" t="s">
        <v>1724</v>
      </c>
      <c r="E10" s="35"/>
      <c r="F10" s="35" t="s">
        <v>1717</v>
      </c>
    </row>
    <row r="11" spans="1:6" ht="30" customHeight="1">
      <c r="A11" s="30" t="s">
        <v>1725</v>
      </c>
      <c r="B11" s="31" t="s">
        <v>1714</v>
      </c>
      <c r="C11" s="32" t="s">
        <v>1715</v>
      </c>
      <c r="D11" s="33" t="s">
        <v>1726</v>
      </c>
      <c r="E11" s="31"/>
      <c r="F11" s="31" t="s">
        <v>1717</v>
      </c>
    </row>
    <row r="12" spans="1:6" ht="30" customHeight="1">
      <c r="A12" s="34" t="s">
        <v>1727</v>
      </c>
      <c r="B12" s="35" t="s">
        <v>1714</v>
      </c>
      <c r="C12" s="36" t="s">
        <v>1719</v>
      </c>
      <c r="D12" s="37" t="s">
        <v>1728</v>
      </c>
      <c r="E12" s="35"/>
      <c r="F12" s="35" t="s">
        <v>1717</v>
      </c>
    </row>
    <row r="13" spans="1:6" ht="30" customHeight="1">
      <c r="A13" s="30" t="s">
        <v>1729</v>
      </c>
      <c r="B13" s="31" t="s">
        <v>1714</v>
      </c>
      <c r="C13" s="32" t="s">
        <v>1715</v>
      </c>
      <c r="D13" s="33" t="s">
        <v>1730</v>
      </c>
      <c r="E13" s="31"/>
      <c r="F13" s="31" t="s">
        <v>1717</v>
      </c>
    </row>
    <row r="14" spans="1:6" ht="30" customHeight="1">
      <c r="A14" s="34" t="s">
        <v>1731</v>
      </c>
      <c r="B14" s="35" t="s">
        <v>1714</v>
      </c>
      <c r="C14" s="36" t="s">
        <v>1719</v>
      </c>
      <c r="D14" s="37" t="s">
        <v>1732</v>
      </c>
      <c r="E14" s="35"/>
      <c r="F14" s="35" t="s">
        <v>1717</v>
      </c>
    </row>
    <row r="15" spans="1:6" ht="30" customHeight="1">
      <c r="A15" s="30" t="s">
        <v>1733</v>
      </c>
      <c r="B15" s="31" t="s">
        <v>1714</v>
      </c>
      <c r="C15" s="38" t="s">
        <v>1734</v>
      </c>
      <c r="D15" s="33" t="s">
        <v>1735</v>
      </c>
      <c r="E15" s="31"/>
      <c r="F15" s="31" t="s">
        <v>1717</v>
      </c>
    </row>
    <row r="16" spans="1:6" ht="15" customHeight="1">
      <c r="A16" s="23"/>
      <c r="B16" s="23"/>
      <c r="C16" s="23"/>
      <c r="D16" s="23"/>
      <c r="E16" s="23"/>
      <c r="F16" s="23"/>
    </row>
    <row r="17" spans="1:6" ht="15" customHeight="1">
      <c r="A17" s="429" t="s">
        <v>1736</v>
      </c>
      <c r="B17" s="418"/>
      <c r="C17" s="418"/>
      <c r="D17" s="418"/>
      <c r="E17" s="418"/>
      <c r="F17" s="418"/>
    </row>
    <row r="18" spans="1:6" ht="15" customHeight="1">
      <c r="A18" s="29" t="s">
        <v>604</v>
      </c>
      <c r="B18" s="29" t="s">
        <v>1586</v>
      </c>
      <c r="C18" s="29" t="s">
        <v>243</v>
      </c>
      <c r="D18" s="29" t="s">
        <v>1711</v>
      </c>
      <c r="E18" s="29" t="s">
        <v>432</v>
      </c>
      <c r="F18" s="29" t="s">
        <v>1712</v>
      </c>
    </row>
    <row r="19" spans="1:6" ht="30" customHeight="1">
      <c r="A19" s="30" t="s">
        <v>1737</v>
      </c>
      <c r="B19" s="31" t="s">
        <v>263</v>
      </c>
      <c r="C19" s="32" t="s">
        <v>1715</v>
      </c>
      <c r="D19" s="33" t="s">
        <v>1738</v>
      </c>
      <c r="E19" s="31"/>
      <c r="F19" s="31" t="s">
        <v>1717</v>
      </c>
    </row>
    <row r="20" spans="1:6" ht="30" customHeight="1">
      <c r="A20" s="30" t="s">
        <v>1739</v>
      </c>
      <c r="B20" s="31" t="s">
        <v>263</v>
      </c>
      <c r="C20" s="32" t="s">
        <v>1715</v>
      </c>
      <c r="D20" s="33" t="s">
        <v>1740</v>
      </c>
      <c r="E20" s="31"/>
      <c r="F20" s="31" t="s">
        <v>1717</v>
      </c>
    </row>
    <row r="21" spans="1:6" ht="30" customHeight="1">
      <c r="A21" s="30" t="s">
        <v>1741</v>
      </c>
      <c r="B21" s="31" t="s">
        <v>263</v>
      </c>
      <c r="C21" s="31" t="s">
        <v>1742</v>
      </c>
      <c r="D21" s="33" t="s">
        <v>1743</v>
      </c>
      <c r="E21" s="31"/>
      <c r="F21" s="31" t="s">
        <v>1717</v>
      </c>
    </row>
    <row r="22" spans="1:6" ht="30" customHeight="1">
      <c r="A22" s="30" t="s">
        <v>1744</v>
      </c>
      <c r="B22" s="31" t="s">
        <v>263</v>
      </c>
      <c r="C22" s="32" t="s">
        <v>1715</v>
      </c>
      <c r="D22" s="33" t="s">
        <v>1745</v>
      </c>
      <c r="E22" s="31"/>
      <c r="F22" s="31" t="s">
        <v>1717</v>
      </c>
    </row>
    <row r="23" spans="1:6" ht="30" customHeight="1">
      <c r="A23" s="30" t="s">
        <v>1746</v>
      </c>
      <c r="B23" s="31" t="s">
        <v>263</v>
      </c>
      <c r="C23" s="32" t="s">
        <v>1715</v>
      </c>
      <c r="D23" s="33" t="s">
        <v>1747</v>
      </c>
      <c r="E23" s="31"/>
      <c r="F23" s="31" t="s">
        <v>1717</v>
      </c>
    </row>
    <row r="24" spans="1:6" ht="30" customHeight="1">
      <c r="A24" s="30" t="s">
        <v>1748</v>
      </c>
      <c r="B24" s="31" t="s">
        <v>263</v>
      </c>
      <c r="C24" s="32" t="s">
        <v>1715</v>
      </c>
      <c r="D24" s="33" t="s">
        <v>1749</v>
      </c>
      <c r="E24" s="31"/>
      <c r="F24" s="31" t="s">
        <v>1717</v>
      </c>
    </row>
    <row r="25" spans="1:6" ht="30" customHeight="1">
      <c r="A25" s="30" t="s">
        <v>1750</v>
      </c>
      <c r="B25" s="31" t="s">
        <v>263</v>
      </c>
      <c r="C25" s="32" t="s">
        <v>1715</v>
      </c>
      <c r="D25" s="33" t="s">
        <v>1751</v>
      </c>
      <c r="E25" s="31"/>
      <c r="F25" s="31" t="s">
        <v>1717</v>
      </c>
    </row>
    <row r="26" spans="1:6" ht="30" customHeight="1">
      <c r="A26" s="34" t="s">
        <v>1752</v>
      </c>
      <c r="B26" s="35" t="s">
        <v>263</v>
      </c>
      <c r="C26" s="36" t="s">
        <v>1719</v>
      </c>
      <c r="D26" s="37" t="s">
        <v>1753</v>
      </c>
      <c r="E26" s="35"/>
      <c r="F26" s="35" t="s">
        <v>1717</v>
      </c>
    </row>
    <row r="27" spans="1:6" ht="30" customHeight="1">
      <c r="A27" s="30" t="s">
        <v>1754</v>
      </c>
      <c r="B27" s="31" t="s">
        <v>263</v>
      </c>
      <c r="C27" s="31" t="s">
        <v>1742</v>
      </c>
      <c r="D27" s="33" t="s">
        <v>1755</v>
      </c>
      <c r="E27" s="31"/>
      <c r="F27" s="31" t="s">
        <v>1717</v>
      </c>
    </row>
    <row r="28" spans="1:6" ht="15" customHeight="1">
      <c r="A28" s="23"/>
      <c r="B28" s="23"/>
      <c r="C28" s="23"/>
      <c r="D28" s="23"/>
      <c r="E28" s="23"/>
      <c r="F28" s="23"/>
    </row>
    <row r="29" spans="1:6" ht="15" customHeight="1">
      <c r="A29" s="429" t="s">
        <v>1756</v>
      </c>
      <c r="B29" s="418"/>
      <c r="C29" s="418"/>
      <c r="D29" s="418"/>
      <c r="E29" s="418"/>
      <c r="F29" s="418"/>
    </row>
    <row r="30" spans="1:6" ht="15" customHeight="1">
      <c r="A30" s="29" t="s">
        <v>604</v>
      </c>
      <c r="B30" s="29" t="s">
        <v>1586</v>
      </c>
      <c r="C30" s="29" t="s">
        <v>243</v>
      </c>
      <c r="D30" s="29" t="s">
        <v>1711</v>
      </c>
      <c r="E30" s="29" t="s">
        <v>432</v>
      </c>
      <c r="F30" s="29" t="s">
        <v>1712</v>
      </c>
    </row>
    <row r="31" spans="1:6" ht="30" customHeight="1">
      <c r="A31" s="30" t="s">
        <v>1757</v>
      </c>
      <c r="B31" s="31" t="s">
        <v>1758</v>
      </c>
      <c r="C31" s="32" t="s">
        <v>1715</v>
      </c>
      <c r="D31" s="33" t="s">
        <v>1759</v>
      </c>
      <c r="E31" s="31"/>
      <c r="F31" s="31" t="s">
        <v>1717</v>
      </c>
    </row>
    <row r="32" spans="1:6" ht="30" customHeight="1">
      <c r="A32" s="34" t="s">
        <v>1760</v>
      </c>
      <c r="B32" s="35" t="s">
        <v>1758</v>
      </c>
      <c r="C32" s="36" t="s">
        <v>1734</v>
      </c>
      <c r="D32" s="37" t="s">
        <v>1761</v>
      </c>
      <c r="E32" s="35"/>
      <c r="F32" s="35" t="s">
        <v>1717</v>
      </c>
    </row>
    <row r="33" spans="1:6" ht="30" customHeight="1">
      <c r="A33" s="34" t="s">
        <v>1762</v>
      </c>
      <c r="B33" s="35" t="s">
        <v>1758</v>
      </c>
      <c r="C33" s="35" t="s">
        <v>1734</v>
      </c>
      <c r="D33" s="37" t="s">
        <v>1763</v>
      </c>
      <c r="E33" s="35"/>
      <c r="F33" s="35" t="s">
        <v>1717</v>
      </c>
    </row>
    <row r="34" spans="1:6" ht="30" customHeight="1">
      <c r="A34" s="34" t="s">
        <v>1764</v>
      </c>
      <c r="B34" s="35" t="s">
        <v>1758</v>
      </c>
      <c r="C34" s="35" t="s">
        <v>1734</v>
      </c>
      <c r="D34" s="37" t="s">
        <v>1765</v>
      </c>
      <c r="E34" s="35"/>
      <c r="F34" s="35" t="s">
        <v>1717</v>
      </c>
    </row>
    <row r="35" spans="1:6" ht="15" customHeight="1">
      <c r="A35" s="23"/>
      <c r="B35" s="23"/>
      <c r="C35" s="23"/>
      <c r="D35" s="23"/>
      <c r="E35" s="23"/>
      <c r="F35" s="23"/>
    </row>
    <row r="36" spans="1:6" ht="15" customHeight="1">
      <c r="A36" s="429" t="s">
        <v>1766</v>
      </c>
      <c r="B36" s="418"/>
      <c r="C36" s="418"/>
      <c r="D36" s="418"/>
      <c r="E36" s="418"/>
      <c r="F36" s="418"/>
    </row>
    <row r="37" spans="1:6" ht="15" customHeight="1">
      <c r="A37" s="29" t="s">
        <v>604</v>
      </c>
      <c r="B37" s="29" t="s">
        <v>1586</v>
      </c>
      <c r="C37" s="29" t="s">
        <v>243</v>
      </c>
      <c r="D37" s="29" t="s">
        <v>1711</v>
      </c>
      <c r="E37" s="29" t="s">
        <v>432</v>
      </c>
      <c r="F37" s="29" t="s">
        <v>1712</v>
      </c>
    </row>
    <row r="38" spans="1:6" ht="30" customHeight="1">
      <c r="A38" s="34" t="s">
        <v>1767</v>
      </c>
      <c r="B38" s="35" t="s">
        <v>1768</v>
      </c>
      <c r="C38" s="36" t="s">
        <v>1719</v>
      </c>
      <c r="D38" s="37" t="s">
        <v>1769</v>
      </c>
      <c r="E38" s="35"/>
      <c r="F38" s="35" t="s">
        <v>1717</v>
      </c>
    </row>
    <row r="39" spans="1:6" ht="30" customHeight="1">
      <c r="A39" s="34" t="s">
        <v>1770</v>
      </c>
      <c r="B39" s="35" t="s">
        <v>1768</v>
      </c>
      <c r="C39" s="36" t="s">
        <v>1719</v>
      </c>
      <c r="D39" s="37" t="s">
        <v>1771</v>
      </c>
      <c r="E39" s="35"/>
      <c r="F39" s="35" t="s">
        <v>1717</v>
      </c>
    </row>
    <row r="40" spans="1:6" ht="30" customHeight="1">
      <c r="A40" s="34" t="s">
        <v>1772</v>
      </c>
      <c r="B40" s="35" t="s">
        <v>1768</v>
      </c>
      <c r="C40" s="36" t="s">
        <v>1719</v>
      </c>
      <c r="D40" s="37" t="s">
        <v>1773</v>
      </c>
      <c r="E40" s="35"/>
      <c r="F40" s="35" t="s">
        <v>1717</v>
      </c>
    </row>
    <row r="41" spans="1:6" ht="30" customHeight="1">
      <c r="A41" s="34" t="s">
        <v>1774</v>
      </c>
      <c r="B41" s="35" t="s">
        <v>1768</v>
      </c>
      <c r="C41" s="36" t="s">
        <v>1719</v>
      </c>
      <c r="D41" s="37" t="s">
        <v>1775</v>
      </c>
      <c r="E41" s="35"/>
      <c r="F41" s="35" t="s">
        <v>1717</v>
      </c>
    </row>
    <row r="42" spans="1:6" ht="30" customHeight="1">
      <c r="A42" s="34" t="s">
        <v>1776</v>
      </c>
      <c r="B42" s="35" t="s">
        <v>1768</v>
      </c>
      <c r="C42" s="36" t="s">
        <v>1719</v>
      </c>
      <c r="D42" s="37" t="s">
        <v>1777</v>
      </c>
      <c r="E42" s="35"/>
      <c r="F42" s="35" t="s">
        <v>1717</v>
      </c>
    </row>
    <row r="43" spans="1:6" ht="15" customHeight="1">
      <c r="A43" s="23"/>
      <c r="B43" s="23"/>
      <c r="C43" s="23"/>
      <c r="D43" s="23"/>
      <c r="E43" s="23"/>
      <c r="F43" s="23"/>
    </row>
    <row r="44" spans="1:6" ht="15" customHeight="1">
      <c r="A44" s="429" t="s">
        <v>1778</v>
      </c>
      <c r="B44" s="418"/>
      <c r="C44" s="418"/>
      <c r="D44" s="418"/>
      <c r="E44" s="418"/>
      <c r="F44" s="418"/>
    </row>
    <row r="45" spans="1:6" ht="15" customHeight="1">
      <c r="A45" s="29" t="s">
        <v>604</v>
      </c>
      <c r="B45" s="29" t="s">
        <v>1586</v>
      </c>
      <c r="C45" s="29" t="s">
        <v>243</v>
      </c>
      <c r="D45" s="29" t="s">
        <v>1711</v>
      </c>
      <c r="E45" s="29" t="s">
        <v>432</v>
      </c>
      <c r="F45" s="29" t="s">
        <v>1712</v>
      </c>
    </row>
    <row r="46" spans="1:6" ht="30" customHeight="1">
      <c r="A46" s="30" t="s">
        <v>1779</v>
      </c>
      <c r="B46" s="31" t="s">
        <v>1780</v>
      </c>
      <c r="C46" s="31" t="s">
        <v>1742</v>
      </c>
      <c r="D46" s="33" t="s">
        <v>1781</v>
      </c>
      <c r="E46" s="31"/>
      <c r="F46" s="31" t="s">
        <v>1717</v>
      </c>
    </row>
    <row r="47" spans="1:6" ht="30" customHeight="1">
      <c r="A47" s="34" t="s">
        <v>1782</v>
      </c>
      <c r="B47" s="35" t="s">
        <v>1780</v>
      </c>
      <c r="C47" s="35" t="s">
        <v>1734</v>
      </c>
      <c r="D47" s="37" t="s">
        <v>1783</v>
      </c>
      <c r="E47" s="35"/>
      <c r="F47" s="35" t="s">
        <v>1717</v>
      </c>
    </row>
    <row r="48" spans="1:6" ht="30" customHeight="1">
      <c r="A48" s="34" t="s">
        <v>1784</v>
      </c>
      <c r="B48" s="35" t="s">
        <v>1780</v>
      </c>
      <c r="C48" s="35" t="s">
        <v>1734</v>
      </c>
      <c r="D48" s="37" t="s">
        <v>1785</v>
      </c>
      <c r="E48" s="35"/>
      <c r="F48" s="35" t="s">
        <v>1717</v>
      </c>
    </row>
    <row r="49" spans="1:6" ht="30" customHeight="1">
      <c r="A49" s="34" t="s">
        <v>1786</v>
      </c>
      <c r="B49" s="35" t="s">
        <v>1780</v>
      </c>
      <c r="C49" s="35" t="s">
        <v>1734</v>
      </c>
      <c r="D49" s="37" t="s">
        <v>1787</v>
      </c>
      <c r="E49" s="35"/>
      <c r="F49" s="35" t="s">
        <v>1717</v>
      </c>
    </row>
    <row r="50" spans="1:6" ht="30" customHeight="1">
      <c r="A50" s="34" t="s">
        <v>1788</v>
      </c>
      <c r="B50" s="35" t="s">
        <v>1780</v>
      </c>
      <c r="C50" s="35" t="s">
        <v>1734</v>
      </c>
      <c r="D50" s="37" t="s">
        <v>1789</v>
      </c>
      <c r="E50" s="35"/>
      <c r="F50" s="35" t="s">
        <v>1717</v>
      </c>
    </row>
    <row r="51" spans="1:6" ht="30" customHeight="1">
      <c r="A51" s="34" t="s">
        <v>1790</v>
      </c>
      <c r="B51" s="35" t="s">
        <v>1780</v>
      </c>
      <c r="C51" s="35" t="s">
        <v>1734</v>
      </c>
      <c r="D51" s="37" t="s">
        <v>1791</v>
      </c>
      <c r="E51" s="35"/>
      <c r="F51" s="35" t="s">
        <v>1717</v>
      </c>
    </row>
    <row r="52" spans="1:6" ht="15" customHeight="1">
      <c r="A52" s="23"/>
      <c r="B52" s="23"/>
      <c r="C52" s="23"/>
      <c r="D52" s="23"/>
      <c r="E52" s="23"/>
      <c r="F52" s="23"/>
    </row>
    <row r="53" spans="1:6" ht="15" customHeight="1">
      <c r="A53" s="429" t="s">
        <v>1792</v>
      </c>
      <c r="B53" s="418"/>
      <c r="C53" s="418"/>
      <c r="D53" s="418"/>
      <c r="E53" s="418"/>
      <c r="F53" s="418"/>
    </row>
    <row r="54" spans="1:6" ht="15" customHeight="1">
      <c r="A54" s="29" t="s">
        <v>604</v>
      </c>
      <c r="B54" s="29" t="s">
        <v>1586</v>
      </c>
      <c r="C54" s="29" t="s">
        <v>243</v>
      </c>
      <c r="D54" s="29" t="s">
        <v>1711</v>
      </c>
      <c r="E54" s="29" t="s">
        <v>432</v>
      </c>
      <c r="F54" s="29" t="s">
        <v>1712</v>
      </c>
    </row>
    <row r="55" spans="1:6" ht="30" customHeight="1">
      <c r="A55" s="34" t="s">
        <v>1793</v>
      </c>
      <c r="B55" s="35" t="s">
        <v>1794</v>
      </c>
      <c r="C55" s="36" t="s">
        <v>1719</v>
      </c>
      <c r="D55" s="37" t="s">
        <v>1795</v>
      </c>
      <c r="E55" s="35"/>
      <c r="F55" s="35" t="s">
        <v>1717</v>
      </c>
    </row>
    <row r="56" spans="1:6" ht="30" customHeight="1">
      <c r="A56" s="34" t="s">
        <v>1796</v>
      </c>
      <c r="B56" s="35" t="s">
        <v>1794</v>
      </c>
      <c r="C56" s="36" t="s">
        <v>1719</v>
      </c>
      <c r="D56" s="37" t="s">
        <v>1797</v>
      </c>
      <c r="E56" s="35"/>
      <c r="F56" s="35" t="s">
        <v>1717</v>
      </c>
    </row>
    <row r="57" spans="1:6" ht="30" customHeight="1">
      <c r="A57" s="34" t="s">
        <v>1798</v>
      </c>
      <c r="B57" s="35" t="s">
        <v>1794</v>
      </c>
      <c r="C57" s="36" t="s">
        <v>1719</v>
      </c>
      <c r="D57" s="37" t="s">
        <v>1799</v>
      </c>
      <c r="E57" s="35"/>
      <c r="F57" s="35" t="s">
        <v>1717</v>
      </c>
    </row>
    <row r="58" spans="1:6" ht="30" customHeight="1">
      <c r="A58" s="30" t="s">
        <v>1800</v>
      </c>
      <c r="B58" s="31" t="s">
        <v>1794</v>
      </c>
      <c r="C58" s="32" t="s">
        <v>1715</v>
      </c>
      <c r="D58" s="33" t="s">
        <v>1801</v>
      </c>
      <c r="E58" s="31"/>
      <c r="F58" s="31" t="s">
        <v>1717</v>
      </c>
    </row>
    <row r="59" spans="1:6" ht="15" customHeight="1">
      <c r="A59" s="23"/>
      <c r="B59" s="23"/>
      <c r="C59" s="23"/>
      <c r="D59" s="23"/>
      <c r="E59" s="23"/>
      <c r="F59" s="23"/>
    </row>
    <row r="60" spans="1:6" ht="15" customHeight="1">
      <c r="A60" s="429" t="s">
        <v>1802</v>
      </c>
      <c r="B60" s="418"/>
      <c r="C60" s="418"/>
      <c r="D60" s="418"/>
      <c r="E60" s="418"/>
      <c r="F60" s="418"/>
    </row>
    <row r="61" spans="1:6" ht="15" customHeight="1">
      <c r="A61" s="29" t="s">
        <v>604</v>
      </c>
      <c r="B61" s="29" t="s">
        <v>1586</v>
      </c>
      <c r="C61" s="29" t="s">
        <v>243</v>
      </c>
      <c r="D61" s="29" t="s">
        <v>1711</v>
      </c>
      <c r="E61" s="29" t="s">
        <v>432</v>
      </c>
      <c r="F61" s="29" t="s">
        <v>1712</v>
      </c>
    </row>
    <row r="62" spans="1:6" ht="30" customHeight="1">
      <c r="A62" s="34" t="s">
        <v>1803</v>
      </c>
      <c r="B62" s="35" t="s">
        <v>1804</v>
      </c>
      <c r="C62" s="36" t="s">
        <v>1719</v>
      </c>
      <c r="D62" s="37" t="s">
        <v>1805</v>
      </c>
      <c r="E62" s="35"/>
      <c r="F62" s="35" t="s">
        <v>1717</v>
      </c>
    </row>
    <row r="63" spans="1:6" ht="30" customHeight="1">
      <c r="A63" s="34" t="s">
        <v>1806</v>
      </c>
      <c r="B63" s="35" t="s">
        <v>1804</v>
      </c>
      <c r="C63" s="36" t="s">
        <v>1719</v>
      </c>
      <c r="D63" s="37" t="s">
        <v>1807</v>
      </c>
      <c r="E63" s="35"/>
      <c r="F63" s="35" t="s">
        <v>1717</v>
      </c>
    </row>
    <row r="64" spans="1:6" ht="30" customHeight="1">
      <c r="A64" s="34" t="s">
        <v>1808</v>
      </c>
      <c r="B64" s="35" t="s">
        <v>1804</v>
      </c>
      <c r="C64" s="36" t="s">
        <v>1719</v>
      </c>
      <c r="D64" s="37" t="s">
        <v>1809</v>
      </c>
      <c r="E64" s="35"/>
      <c r="F64" s="35" t="s">
        <v>1717</v>
      </c>
    </row>
    <row r="65" spans="1:6" ht="15" customHeight="1">
      <c r="A65" s="23"/>
      <c r="B65" s="23"/>
      <c r="C65" s="23"/>
      <c r="D65" s="23"/>
      <c r="E65" s="23"/>
      <c r="F65" s="23"/>
    </row>
    <row r="66" spans="1:6" ht="15" customHeight="1">
      <c r="A66" s="429" t="s">
        <v>1810</v>
      </c>
      <c r="B66" s="418"/>
      <c r="C66" s="418"/>
      <c r="D66" s="418"/>
      <c r="E66" s="418"/>
      <c r="F66" s="418"/>
    </row>
    <row r="67" spans="1:6" ht="15" customHeight="1">
      <c r="A67" s="29" t="s">
        <v>604</v>
      </c>
      <c r="B67" s="29" t="s">
        <v>1586</v>
      </c>
      <c r="C67" s="29" t="s">
        <v>243</v>
      </c>
      <c r="D67" s="29" t="s">
        <v>1711</v>
      </c>
      <c r="E67" s="29" t="s">
        <v>432</v>
      </c>
      <c r="F67" s="29" t="s">
        <v>1712</v>
      </c>
    </row>
    <row r="68" spans="1:6" ht="30" customHeight="1">
      <c r="A68" s="30" t="s">
        <v>1811</v>
      </c>
      <c r="B68" s="31" t="s">
        <v>1812</v>
      </c>
      <c r="C68" s="31" t="s">
        <v>1742</v>
      </c>
      <c r="D68" s="33" t="s">
        <v>1813</v>
      </c>
      <c r="E68" s="31"/>
      <c r="F68" s="31" t="s">
        <v>1717</v>
      </c>
    </row>
    <row r="69" spans="1:6" ht="30" customHeight="1">
      <c r="A69" s="30" t="s">
        <v>1814</v>
      </c>
      <c r="B69" s="31" t="s">
        <v>1812</v>
      </c>
      <c r="C69" s="31" t="s">
        <v>1742</v>
      </c>
      <c r="D69" s="33" t="s">
        <v>1815</v>
      </c>
      <c r="E69" s="31"/>
      <c r="F69" s="31" t="s">
        <v>1717</v>
      </c>
    </row>
    <row r="70" spans="1:6" ht="30" customHeight="1">
      <c r="A70" s="30" t="s">
        <v>1816</v>
      </c>
      <c r="B70" s="31" t="s">
        <v>1812</v>
      </c>
      <c r="C70" s="31" t="s">
        <v>1742</v>
      </c>
      <c r="D70" s="33" t="s">
        <v>1817</v>
      </c>
      <c r="E70" s="31"/>
      <c r="F70" s="31" t="s">
        <v>1717</v>
      </c>
    </row>
    <row r="71" spans="1:6" ht="30" customHeight="1">
      <c r="A71" s="30" t="s">
        <v>1818</v>
      </c>
      <c r="B71" s="31" t="s">
        <v>1812</v>
      </c>
      <c r="C71" s="31" t="s">
        <v>1742</v>
      </c>
      <c r="D71" s="33" t="s">
        <v>1819</v>
      </c>
      <c r="E71" s="31"/>
      <c r="F71" s="31" t="s">
        <v>1717</v>
      </c>
    </row>
    <row r="72" spans="1:6" ht="30" customHeight="1">
      <c r="A72" s="30" t="s">
        <v>1820</v>
      </c>
      <c r="B72" s="31" t="s">
        <v>1812</v>
      </c>
      <c r="C72" s="31" t="s">
        <v>1742</v>
      </c>
      <c r="D72" s="33" t="s">
        <v>1821</v>
      </c>
      <c r="E72" s="31"/>
      <c r="F72" s="31" t="s">
        <v>1717</v>
      </c>
    </row>
    <row r="73" spans="1:6" ht="30" customHeight="1">
      <c r="A73" s="30" t="s">
        <v>1822</v>
      </c>
      <c r="B73" s="31" t="s">
        <v>1812</v>
      </c>
      <c r="C73" s="31" t="s">
        <v>1742</v>
      </c>
      <c r="D73" s="33" t="s">
        <v>1823</v>
      </c>
      <c r="E73" s="31"/>
      <c r="F73" s="31" t="s">
        <v>1717</v>
      </c>
    </row>
    <row r="74" spans="1:6" ht="15" customHeight="1">
      <c r="A74" s="23"/>
      <c r="B74" s="23"/>
      <c r="C74" s="23"/>
      <c r="D74" s="23"/>
      <c r="E74" s="23"/>
      <c r="F74" s="23"/>
    </row>
    <row r="75" spans="1:6" ht="15" customHeight="1">
      <c r="A75" s="429" t="s">
        <v>1824</v>
      </c>
      <c r="B75" s="418"/>
      <c r="C75" s="418"/>
      <c r="D75" s="418"/>
      <c r="E75" s="418"/>
      <c r="F75" s="418"/>
    </row>
    <row r="76" spans="1:6" ht="15" customHeight="1">
      <c r="A76" s="29" t="s">
        <v>604</v>
      </c>
      <c r="B76" s="29" t="s">
        <v>1586</v>
      </c>
      <c r="C76" s="29" t="s">
        <v>243</v>
      </c>
      <c r="D76" s="29" t="s">
        <v>1711</v>
      </c>
      <c r="E76" s="29" t="s">
        <v>432</v>
      </c>
      <c r="F76" s="29" t="s">
        <v>1712</v>
      </c>
    </row>
    <row r="77" spans="1:6" ht="30" customHeight="1">
      <c r="A77" s="34" t="s">
        <v>1825</v>
      </c>
      <c r="B77" s="35" t="s">
        <v>274</v>
      </c>
      <c r="C77" s="36" t="s">
        <v>1719</v>
      </c>
      <c r="D77" s="37" t="s">
        <v>1826</v>
      </c>
      <c r="E77" s="35"/>
      <c r="F77" s="35" t="s">
        <v>1717</v>
      </c>
    </row>
    <row r="78" spans="1:6" ht="30" customHeight="1">
      <c r="A78" s="34" t="s">
        <v>1827</v>
      </c>
      <c r="B78" s="35" t="s">
        <v>274</v>
      </c>
      <c r="C78" s="36" t="s">
        <v>1719</v>
      </c>
      <c r="D78" s="37" t="s">
        <v>1828</v>
      </c>
      <c r="E78" s="35"/>
      <c r="F78" s="35" t="s">
        <v>1717</v>
      </c>
    </row>
    <row r="79" spans="1:6" ht="30" customHeight="1">
      <c r="A79" s="34" t="s">
        <v>1829</v>
      </c>
      <c r="B79" s="35" t="s">
        <v>274</v>
      </c>
      <c r="C79" s="36" t="s">
        <v>1734</v>
      </c>
      <c r="D79" s="37" t="s">
        <v>1830</v>
      </c>
      <c r="E79" s="35"/>
      <c r="F79" s="35" t="s">
        <v>1717</v>
      </c>
    </row>
    <row r="80" spans="1:6" ht="30" customHeight="1">
      <c r="A80" s="34" t="s">
        <v>1831</v>
      </c>
      <c r="B80" s="35" t="s">
        <v>274</v>
      </c>
      <c r="C80" s="36" t="s">
        <v>1719</v>
      </c>
      <c r="D80" s="37" t="s">
        <v>1832</v>
      </c>
      <c r="E80" s="35"/>
      <c r="F80" s="35" t="s">
        <v>1717</v>
      </c>
    </row>
    <row r="81" spans="1:6" ht="15" customHeight="1">
      <c r="A81" s="23"/>
      <c r="B81" s="23"/>
      <c r="C81" s="23"/>
      <c r="D81" s="23"/>
      <c r="E81" s="23"/>
      <c r="F81" s="23"/>
    </row>
    <row r="82" spans="1:6" ht="15" customHeight="1">
      <c r="A82" s="429" t="s">
        <v>1833</v>
      </c>
      <c r="B82" s="418"/>
      <c r="C82" s="418"/>
      <c r="D82" s="418"/>
      <c r="E82" s="418"/>
      <c r="F82" s="418"/>
    </row>
    <row r="83" spans="1:6" ht="15" customHeight="1">
      <c r="A83" s="29" t="s">
        <v>604</v>
      </c>
      <c r="B83" s="29" t="s">
        <v>1586</v>
      </c>
      <c r="C83" s="29" t="s">
        <v>243</v>
      </c>
      <c r="D83" s="29" t="s">
        <v>1711</v>
      </c>
      <c r="E83" s="29" t="s">
        <v>432</v>
      </c>
      <c r="F83" s="29" t="s">
        <v>1712</v>
      </c>
    </row>
    <row r="84" spans="1:6" ht="30" customHeight="1">
      <c r="A84" s="34" t="s">
        <v>1834</v>
      </c>
      <c r="B84" s="35" t="s">
        <v>1835</v>
      </c>
      <c r="C84" s="36" t="s">
        <v>1719</v>
      </c>
      <c r="D84" s="37" t="s">
        <v>1836</v>
      </c>
      <c r="E84" s="35"/>
      <c r="F84" s="35" t="s">
        <v>1717</v>
      </c>
    </row>
    <row r="85" spans="1:6" ht="30" customHeight="1">
      <c r="A85" s="34" t="s">
        <v>1837</v>
      </c>
      <c r="B85" s="35" t="s">
        <v>1835</v>
      </c>
      <c r="C85" s="36" t="s">
        <v>1719</v>
      </c>
      <c r="D85" s="37" t="s">
        <v>1838</v>
      </c>
      <c r="E85" s="35"/>
      <c r="F85" s="35" t="s">
        <v>1717</v>
      </c>
    </row>
    <row r="86" spans="1:6" ht="30" customHeight="1">
      <c r="A86" s="34" t="s">
        <v>1839</v>
      </c>
      <c r="B86" s="35" t="s">
        <v>1835</v>
      </c>
      <c r="C86" s="36" t="s">
        <v>1719</v>
      </c>
      <c r="D86" s="37" t="s">
        <v>1840</v>
      </c>
      <c r="E86" s="35"/>
      <c r="F86" s="35" t="s">
        <v>1717</v>
      </c>
    </row>
    <row r="87" spans="1:6" ht="30" customHeight="1">
      <c r="A87" s="34" t="s">
        <v>1841</v>
      </c>
      <c r="B87" s="35" t="s">
        <v>1835</v>
      </c>
      <c r="C87" s="36" t="s">
        <v>1719</v>
      </c>
      <c r="D87" s="37" t="s">
        <v>1842</v>
      </c>
      <c r="E87" s="35"/>
      <c r="F87" s="35" t="s">
        <v>1717</v>
      </c>
    </row>
    <row r="88" spans="1:6" ht="30" customHeight="1">
      <c r="A88" s="34" t="s">
        <v>1843</v>
      </c>
      <c r="B88" s="35" t="s">
        <v>1835</v>
      </c>
      <c r="C88" s="36" t="s">
        <v>1719</v>
      </c>
      <c r="D88" s="37" t="s">
        <v>1844</v>
      </c>
      <c r="E88" s="35"/>
      <c r="F88" s="35" t="s">
        <v>1717</v>
      </c>
    </row>
    <row r="89" spans="1:6" ht="30" customHeight="1">
      <c r="A89" s="34" t="s">
        <v>1845</v>
      </c>
      <c r="B89" s="35" t="s">
        <v>1835</v>
      </c>
      <c r="C89" s="36" t="s">
        <v>1719</v>
      </c>
      <c r="D89" s="37" t="s">
        <v>1846</v>
      </c>
      <c r="E89" s="35"/>
      <c r="F89" s="35" t="s">
        <v>1717</v>
      </c>
    </row>
    <row r="90" spans="1:6" ht="15" customHeight="1">
      <c r="A90" s="23"/>
      <c r="B90" s="23"/>
      <c r="C90" s="23"/>
      <c r="D90" s="23"/>
      <c r="E90" s="23"/>
      <c r="F90" s="23"/>
    </row>
    <row r="91" spans="1:6" ht="15" customHeight="1">
      <c r="A91" s="429" t="s">
        <v>1847</v>
      </c>
      <c r="B91" s="418"/>
      <c r="C91" s="418"/>
      <c r="D91" s="418"/>
      <c r="E91" s="418"/>
      <c r="F91" s="418"/>
    </row>
    <row r="92" spans="1:6" ht="15" customHeight="1">
      <c r="A92" s="29" t="s">
        <v>604</v>
      </c>
      <c r="B92" s="29" t="s">
        <v>1586</v>
      </c>
      <c r="C92" s="29" t="s">
        <v>243</v>
      </c>
      <c r="D92" s="29" t="s">
        <v>1711</v>
      </c>
      <c r="E92" s="29" t="s">
        <v>432</v>
      </c>
      <c r="F92" s="29" t="s">
        <v>1712</v>
      </c>
    </row>
    <row r="93" spans="1:6" ht="30" customHeight="1">
      <c r="A93" s="30" t="s">
        <v>1848</v>
      </c>
      <c r="B93" s="31" t="s">
        <v>1849</v>
      </c>
      <c r="C93" s="32" t="s">
        <v>1715</v>
      </c>
      <c r="D93" s="33" t="s">
        <v>1850</v>
      </c>
      <c r="E93" s="31"/>
      <c r="F93" s="31" t="s">
        <v>1717</v>
      </c>
    </row>
    <row r="94" spans="1:6" ht="30" customHeight="1">
      <c r="A94" s="30" t="s">
        <v>1851</v>
      </c>
      <c r="B94" s="31" t="s">
        <v>1849</v>
      </c>
      <c r="C94" s="32" t="s">
        <v>1715</v>
      </c>
      <c r="D94" s="33" t="s">
        <v>1852</v>
      </c>
      <c r="E94" s="31"/>
      <c r="F94" s="31" t="s">
        <v>1717</v>
      </c>
    </row>
    <row r="95" spans="1:6" ht="30" customHeight="1">
      <c r="A95" s="30" t="s">
        <v>1853</v>
      </c>
      <c r="B95" s="31" t="s">
        <v>1849</v>
      </c>
      <c r="C95" s="32" t="s">
        <v>1715</v>
      </c>
      <c r="D95" s="33" t="s">
        <v>1854</v>
      </c>
      <c r="E95" s="31"/>
      <c r="F95" s="31" t="s">
        <v>1717</v>
      </c>
    </row>
    <row r="96" spans="1:6" ht="15" customHeight="1">
      <c r="A96" s="23"/>
      <c r="B96" s="23"/>
      <c r="C96" s="23"/>
      <c r="D96" s="23"/>
      <c r="E96" s="23"/>
      <c r="F96" s="23"/>
    </row>
    <row r="97" spans="1:6" ht="15" customHeight="1">
      <c r="A97" s="429" t="s">
        <v>1855</v>
      </c>
      <c r="B97" s="418"/>
      <c r="C97" s="418"/>
      <c r="D97" s="418"/>
      <c r="E97" s="418"/>
      <c r="F97" s="418"/>
    </row>
    <row r="98" spans="1:6" ht="15" customHeight="1">
      <c r="A98" s="29" t="s">
        <v>604</v>
      </c>
      <c r="B98" s="29" t="s">
        <v>1586</v>
      </c>
      <c r="C98" s="29" t="s">
        <v>243</v>
      </c>
      <c r="D98" s="29" t="s">
        <v>1711</v>
      </c>
      <c r="E98" s="29" t="s">
        <v>432</v>
      </c>
      <c r="F98" s="29" t="s">
        <v>1712</v>
      </c>
    </row>
    <row r="99" spans="1:6" ht="30" customHeight="1">
      <c r="A99" s="30" t="s">
        <v>1856</v>
      </c>
      <c r="B99" s="31" t="s">
        <v>1857</v>
      </c>
      <c r="C99" s="31" t="s">
        <v>1742</v>
      </c>
      <c r="D99" s="33" t="s">
        <v>1858</v>
      </c>
      <c r="E99" s="31"/>
      <c r="F99" s="31" t="s">
        <v>1717</v>
      </c>
    </row>
    <row r="100" spans="1:6" ht="30" customHeight="1">
      <c r="A100" s="30" t="s">
        <v>1859</v>
      </c>
      <c r="B100" s="31" t="s">
        <v>1857</v>
      </c>
      <c r="C100" s="31" t="s">
        <v>1742</v>
      </c>
      <c r="D100" s="33" t="s">
        <v>1860</v>
      </c>
      <c r="E100" s="31"/>
      <c r="F100" s="31" t="s">
        <v>1717</v>
      </c>
    </row>
    <row r="101" spans="1:6" ht="30" customHeight="1">
      <c r="A101" s="30" t="s">
        <v>1861</v>
      </c>
      <c r="B101" s="31" t="s">
        <v>1857</v>
      </c>
      <c r="C101" s="31" t="s">
        <v>1742</v>
      </c>
      <c r="D101" s="33" t="s">
        <v>1862</v>
      </c>
      <c r="E101" s="31"/>
      <c r="F101" s="31" t="s">
        <v>1717</v>
      </c>
    </row>
    <row r="102" spans="1:6" ht="30" customHeight="1">
      <c r="A102" s="30" t="s">
        <v>1863</v>
      </c>
      <c r="B102" s="31" t="s">
        <v>1857</v>
      </c>
      <c r="C102" s="31" t="s">
        <v>1742</v>
      </c>
      <c r="D102" s="33" t="s">
        <v>1864</v>
      </c>
      <c r="E102" s="31"/>
      <c r="F102" s="31" t="s">
        <v>1717</v>
      </c>
    </row>
    <row r="103" spans="1:6" ht="30" customHeight="1">
      <c r="A103" s="30" t="s">
        <v>1865</v>
      </c>
      <c r="B103" s="31" t="s">
        <v>1857</v>
      </c>
      <c r="C103" s="31" t="s">
        <v>1742</v>
      </c>
      <c r="D103" s="33" t="s">
        <v>1866</v>
      </c>
      <c r="E103" s="31"/>
      <c r="F103" s="31" t="s">
        <v>1717</v>
      </c>
    </row>
    <row r="104" spans="1:6" ht="15" customHeight="1">
      <c r="A104" s="23"/>
      <c r="B104" s="23"/>
      <c r="C104" s="23"/>
      <c r="D104" s="23"/>
      <c r="E104" s="23"/>
      <c r="F104" s="23"/>
    </row>
    <row r="105" spans="1:6" ht="15" customHeight="1">
      <c r="A105" s="429" t="s">
        <v>1867</v>
      </c>
      <c r="B105" s="418"/>
      <c r="C105" s="418"/>
      <c r="D105" s="418"/>
      <c r="E105" s="418"/>
      <c r="F105" s="418"/>
    </row>
    <row r="106" spans="1:6" ht="15" customHeight="1">
      <c r="A106" s="29" t="s">
        <v>604</v>
      </c>
      <c r="B106" s="29" t="s">
        <v>1586</v>
      </c>
      <c r="C106" s="29" t="s">
        <v>243</v>
      </c>
      <c r="D106" s="29" t="s">
        <v>1711</v>
      </c>
      <c r="E106" s="29" t="s">
        <v>432</v>
      </c>
      <c r="F106" s="29" t="s">
        <v>1712</v>
      </c>
    </row>
    <row r="107" spans="1:6" ht="30" customHeight="1">
      <c r="A107" s="30" t="s">
        <v>1868</v>
      </c>
      <c r="B107" s="31" t="s">
        <v>1869</v>
      </c>
      <c r="C107" s="32" t="s">
        <v>1715</v>
      </c>
      <c r="D107" s="33" t="s">
        <v>1801</v>
      </c>
      <c r="E107" s="31"/>
      <c r="F107" s="31" t="s">
        <v>1717</v>
      </c>
    </row>
    <row r="108" spans="1:6" ht="30" customHeight="1">
      <c r="A108" s="30" t="s">
        <v>1870</v>
      </c>
      <c r="B108" s="31" t="s">
        <v>1869</v>
      </c>
      <c r="C108" s="31" t="s">
        <v>1742</v>
      </c>
      <c r="D108" s="33" t="s">
        <v>1871</v>
      </c>
      <c r="E108" s="31"/>
      <c r="F108" s="31" t="s">
        <v>1717</v>
      </c>
    </row>
    <row r="109" spans="1:6" ht="30" customHeight="1">
      <c r="A109" s="30" t="s">
        <v>1872</v>
      </c>
      <c r="B109" s="31" t="s">
        <v>1869</v>
      </c>
      <c r="C109" s="31" t="s">
        <v>1742</v>
      </c>
      <c r="D109" s="33" t="s">
        <v>1873</v>
      </c>
      <c r="E109" s="31"/>
      <c r="F109" s="31" t="s">
        <v>1717</v>
      </c>
    </row>
    <row r="110" spans="1:6" ht="30" customHeight="1">
      <c r="A110" s="30" t="s">
        <v>1874</v>
      </c>
      <c r="B110" s="31" t="s">
        <v>1869</v>
      </c>
      <c r="C110" s="31" t="s">
        <v>1742</v>
      </c>
      <c r="D110" s="33" t="s">
        <v>1875</v>
      </c>
      <c r="E110" s="31"/>
      <c r="F110" s="31" t="s">
        <v>1717</v>
      </c>
    </row>
    <row r="111" spans="1:6" ht="30" customHeight="1">
      <c r="A111" s="30" t="s">
        <v>1876</v>
      </c>
      <c r="B111" s="31" t="s">
        <v>1869</v>
      </c>
      <c r="C111" s="31" t="s">
        <v>1742</v>
      </c>
      <c r="D111" s="33" t="s">
        <v>1877</v>
      </c>
      <c r="E111" s="31"/>
      <c r="F111" s="31" t="s">
        <v>1717</v>
      </c>
    </row>
    <row r="112" spans="1:6" ht="15" customHeight="1">
      <c r="A112" s="23"/>
      <c r="B112" s="23"/>
      <c r="C112" s="23"/>
      <c r="D112" s="23"/>
      <c r="E112" s="23"/>
      <c r="F112" s="23"/>
    </row>
    <row r="113" spans="1:6" ht="15" customHeight="1">
      <c r="A113" s="429" t="s">
        <v>1878</v>
      </c>
      <c r="B113" s="418"/>
      <c r="C113" s="418"/>
      <c r="D113" s="418"/>
      <c r="E113" s="418"/>
      <c r="F113" s="418"/>
    </row>
    <row r="114" spans="1:6" ht="15" customHeight="1">
      <c r="A114" s="29" t="s">
        <v>604</v>
      </c>
      <c r="B114" s="29" t="s">
        <v>1586</v>
      </c>
      <c r="C114" s="29" t="s">
        <v>243</v>
      </c>
      <c r="D114" s="29" t="s">
        <v>1711</v>
      </c>
      <c r="E114" s="29" t="s">
        <v>432</v>
      </c>
      <c r="F114" s="29" t="s">
        <v>1712</v>
      </c>
    </row>
    <row r="115" spans="1:6" ht="30" customHeight="1">
      <c r="A115" s="34" t="s">
        <v>1879</v>
      </c>
      <c r="B115" s="35" t="s">
        <v>1880</v>
      </c>
      <c r="C115" s="36" t="s">
        <v>1719</v>
      </c>
      <c r="D115" s="37" t="s">
        <v>1881</v>
      </c>
      <c r="E115" s="35"/>
      <c r="F115" s="35" t="s">
        <v>1717</v>
      </c>
    </row>
    <row r="116" spans="1:6" ht="15" customHeight="1">
      <c r="A116" s="23"/>
      <c r="B116" s="23"/>
      <c r="C116" s="23"/>
      <c r="D116" s="23"/>
      <c r="E116" s="23"/>
      <c r="F116" s="23"/>
    </row>
    <row r="117" spans="1:6" ht="15" customHeight="1">
      <c r="A117" s="429" t="s">
        <v>1882</v>
      </c>
      <c r="B117" s="418"/>
      <c r="C117" s="418"/>
      <c r="D117" s="418"/>
      <c r="E117" s="418"/>
      <c r="F117" s="418"/>
    </row>
    <row r="118" spans="1:6" ht="15" customHeight="1">
      <c r="A118" s="29" t="s">
        <v>604</v>
      </c>
      <c r="B118" s="29" t="s">
        <v>1586</v>
      </c>
      <c r="C118" s="29" t="s">
        <v>243</v>
      </c>
      <c r="D118" s="29" t="s">
        <v>1711</v>
      </c>
      <c r="E118" s="29" t="s">
        <v>432</v>
      </c>
      <c r="F118" s="29" t="s">
        <v>1712</v>
      </c>
    </row>
    <row r="119" spans="1:6" ht="30" customHeight="1">
      <c r="A119" s="34" t="s">
        <v>1883</v>
      </c>
      <c r="B119" s="35" t="s">
        <v>1884</v>
      </c>
      <c r="C119" s="36" t="s">
        <v>1719</v>
      </c>
      <c r="D119" s="37" t="s">
        <v>1885</v>
      </c>
      <c r="E119" s="35"/>
      <c r="F119" s="35" t="s">
        <v>1717</v>
      </c>
    </row>
    <row r="120" spans="1:6" ht="30" customHeight="1">
      <c r="A120" s="34" t="s">
        <v>1886</v>
      </c>
      <c r="B120" s="35" t="s">
        <v>1884</v>
      </c>
      <c r="C120" s="36" t="s">
        <v>1719</v>
      </c>
      <c r="D120" s="37" t="s">
        <v>1887</v>
      </c>
      <c r="E120" s="35"/>
      <c r="F120" s="35" t="s">
        <v>1717</v>
      </c>
    </row>
    <row r="121" spans="1:6" ht="30" customHeight="1">
      <c r="A121" s="34" t="s">
        <v>1888</v>
      </c>
      <c r="B121" s="35" t="s">
        <v>1884</v>
      </c>
      <c r="C121" s="36" t="s">
        <v>1719</v>
      </c>
      <c r="D121" s="37" t="s">
        <v>1889</v>
      </c>
      <c r="E121" s="35"/>
      <c r="F121" s="35" t="s">
        <v>1717</v>
      </c>
    </row>
    <row r="122" spans="1:6" ht="15" customHeight="1">
      <c r="A122" s="23"/>
      <c r="B122" s="23"/>
      <c r="C122" s="23"/>
      <c r="D122" s="23"/>
      <c r="E122" s="23"/>
      <c r="F122" s="23"/>
    </row>
    <row r="123" spans="1:6" ht="15" customHeight="1">
      <c r="A123" s="23"/>
      <c r="B123" s="23"/>
      <c r="C123" s="23"/>
      <c r="D123" s="23"/>
      <c r="E123" s="23"/>
      <c r="F123" s="23"/>
    </row>
    <row r="124" spans="1:6" ht="15" customHeight="1">
      <c r="A124" s="433" t="s">
        <v>1890</v>
      </c>
      <c r="B124" s="418"/>
      <c r="C124" s="418"/>
      <c r="D124" s="418"/>
      <c r="E124" s="418"/>
      <c r="F124" s="418"/>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9" width="28" style="39" customWidth="1"/>
    <col min="10" max="16384" width="28" style="39"/>
  </cols>
  <sheetData>
    <row r="1" spans="1:2" ht="24" customHeight="1">
      <c r="A1" s="436" t="s">
        <v>1891</v>
      </c>
      <c r="B1" s="418"/>
    </row>
    <row r="2" spans="1:2" ht="28.5" customHeight="1">
      <c r="A2" s="434" t="s">
        <v>1892</v>
      </c>
      <c r="B2" s="418"/>
    </row>
    <row r="3" spans="1:2" ht="15" customHeight="1">
      <c r="A3" s="435" t="s">
        <v>1893</v>
      </c>
      <c r="B3" s="418"/>
    </row>
    <row r="4" spans="1:2" ht="15" customHeight="1">
      <c r="A4" s="40" t="s">
        <v>1894</v>
      </c>
      <c r="B4" s="41" t="s">
        <v>1895</v>
      </c>
    </row>
    <row r="5" spans="1:2" ht="15" customHeight="1">
      <c r="A5" s="371" t="s">
        <v>243</v>
      </c>
      <c r="B5" s="372" t="s">
        <v>1896</v>
      </c>
    </row>
    <row r="6" spans="1:2" ht="23.25" customHeight="1">
      <c r="A6" s="40" t="s">
        <v>243</v>
      </c>
      <c r="B6" s="41" t="s">
        <v>1897</v>
      </c>
    </row>
    <row r="7" spans="1:2" ht="28.5" customHeight="1">
      <c r="A7" s="435" t="s">
        <v>1898</v>
      </c>
      <c r="B7" s="418"/>
    </row>
    <row r="8" spans="1:2" ht="28.5" customHeight="1">
      <c r="A8" s="42" t="s">
        <v>1779</v>
      </c>
      <c r="B8" s="43" t="s">
        <v>1899</v>
      </c>
    </row>
    <row r="9" spans="1:2" ht="30" customHeight="1">
      <c r="A9" s="42" t="s">
        <v>1754</v>
      </c>
      <c r="B9" s="43" t="s">
        <v>1900</v>
      </c>
    </row>
    <row r="10" spans="1:2" ht="30" customHeight="1">
      <c r="A10" s="42" t="s">
        <v>1741</v>
      </c>
      <c r="B10" s="43" t="s">
        <v>1901</v>
      </c>
    </row>
    <row r="11" spans="1:2" ht="30" customHeight="1">
      <c r="A11" s="42" t="s">
        <v>1902</v>
      </c>
      <c r="B11" s="43" t="s">
        <v>1903</v>
      </c>
    </row>
    <row r="12" spans="1:2" ht="25.5" customHeight="1">
      <c r="A12" s="42" t="s">
        <v>1904</v>
      </c>
      <c r="B12" s="43" t="s">
        <v>1905</v>
      </c>
    </row>
    <row r="13" spans="1:2" ht="25.5" customHeight="1">
      <c r="A13" s="42" t="s">
        <v>1906</v>
      </c>
      <c r="B13" s="43" t="s">
        <v>1907</v>
      </c>
    </row>
    <row r="14" spans="1:2" ht="15" customHeight="1">
      <c r="A14" s="435" t="s">
        <v>1908</v>
      </c>
      <c r="B14" s="418"/>
    </row>
    <row r="15" spans="1:2" ht="15" customHeight="1">
      <c r="A15" s="40" t="s">
        <v>1909</v>
      </c>
      <c r="B15" s="41" t="s">
        <v>1910</v>
      </c>
    </row>
    <row r="16" spans="1:2" ht="15" customHeight="1">
      <c r="A16" s="40" t="s">
        <v>1911</v>
      </c>
      <c r="B16" s="41" t="s">
        <v>1912</v>
      </c>
    </row>
    <row r="17" spans="1:2" ht="15" customHeight="1">
      <c r="A17" s="40" t="s">
        <v>1913</v>
      </c>
      <c r="B17" s="41" t="s">
        <v>1914</v>
      </c>
    </row>
    <row r="18" spans="1:2" ht="15" customHeight="1">
      <c r="A18" s="40" t="s">
        <v>1915</v>
      </c>
      <c r="B18" s="41" t="s">
        <v>1916</v>
      </c>
    </row>
    <row r="19" spans="1:2" ht="15" customHeight="1">
      <c r="A19" s="40" t="s">
        <v>1917</v>
      </c>
      <c r="B19" s="41" t="s">
        <v>148</v>
      </c>
    </row>
    <row r="20" spans="1:2" ht="15" customHeight="1">
      <c r="A20" s="40" t="s">
        <v>1918</v>
      </c>
      <c r="B20" s="41" t="s">
        <v>1919</v>
      </c>
    </row>
    <row r="21" spans="1:2" ht="15" customHeight="1">
      <c r="A21" s="40" t="s">
        <v>1636</v>
      </c>
      <c r="B21" s="41" t="s">
        <v>1920</v>
      </c>
    </row>
    <row r="22" spans="1:2" ht="15" customHeight="1">
      <c r="A22" s="435" t="s">
        <v>1921</v>
      </c>
      <c r="B22" s="418"/>
    </row>
    <row r="23" spans="1:2" ht="25.5" customHeight="1">
      <c r="A23" s="44" t="s">
        <v>1922</v>
      </c>
      <c r="B23" s="45" t="s">
        <v>1923</v>
      </c>
    </row>
    <row r="24" spans="1:2" ht="15" customHeight="1">
      <c r="A24" s="40" t="s">
        <v>1924</v>
      </c>
      <c r="B24" s="41" t="s">
        <v>1925</v>
      </c>
    </row>
    <row r="25" spans="1:2" ht="15" customHeight="1">
      <c r="A25" s="435" t="s">
        <v>1926</v>
      </c>
      <c r="B25" s="418"/>
    </row>
    <row r="26" spans="1:2" ht="15" customHeight="1">
      <c r="A26" s="40" t="s">
        <v>288</v>
      </c>
      <c r="B26" s="41" t="s">
        <v>1927</v>
      </c>
    </row>
    <row r="27" spans="1:2" ht="15" customHeight="1">
      <c r="A27" s="40" t="s">
        <v>291</v>
      </c>
      <c r="B27" s="41" t="s">
        <v>1928</v>
      </c>
    </row>
    <row r="28" spans="1:2" ht="15" customHeight="1">
      <c r="A28" s="40" t="s">
        <v>294</v>
      </c>
      <c r="B28" s="41" t="s">
        <v>1929</v>
      </c>
    </row>
    <row r="29" spans="1:2" ht="15" customHeight="1">
      <c r="A29" s="40" t="s">
        <v>297</v>
      </c>
      <c r="B29" s="41" t="s">
        <v>1930</v>
      </c>
    </row>
    <row r="30" spans="1:2" ht="15" customHeight="1">
      <c r="A30" s="40" t="s">
        <v>1931</v>
      </c>
      <c r="B30" s="41" t="s">
        <v>1932</v>
      </c>
    </row>
    <row r="31" spans="1:2" ht="15" customHeight="1">
      <c r="A31" s="435" t="s">
        <v>1933</v>
      </c>
      <c r="B31" s="418"/>
    </row>
    <row r="32" spans="1:2" ht="15" customHeight="1">
      <c r="A32" s="40" t="s">
        <v>2</v>
      </c>
      <c r="B32" s="41" t="s">
        <v>1934</v>
      </c>
    </row>
    <row r="33" spans="1:2" ht="15" customHeight="1">
      <c r="A33" s="40" t="s">
        <v>4</v>
      </c>
      <c r="B33" s="41" t="s">
        <v>1935</v>
      </c>
    </row>
    <row r="34" spans="1:2" ht="25.5" customHeight="1">
      <c r="A34" s="40" t="s">
        <v>6</v>
      </c>
      <c r="B34" s="41" t="s">
        <v>1936</v>
      </c>
    </row>
    <row r="35" spans="1:2" ht="15" customHeight="1">
      <c r="A35" s="40" t="s">
        <v>1937</v>
      </c>
      <c r="B35" s="41" t="s">
        <v>1938</v>
      </c>
    </row>
    <row r="36" spans="1:2" ht="15" customHeight="1">
      <c r="A36" s="40" t="s">
        <v>10</v>
      </c>
      <c r="B36" s="41" t="s">
        <v>1939</v>
      </c>
    </row>
    <row r="37" spans="1:2" ht="15" customHeight="1">
      <c r="A37" s="435" t="s">
        <v>1940</v>
      </c>
      <c r="B37" s="418"/>
    </row>
    <row r="38" spans="1:2" ht="25.5" customHeight="1">
      <c r="A38" s="40" t="s">
        <v>1941</v>
      </c>
      <c r="B38" s="41" t="s">
        <v>1942</v>
      </c>
    </row>
    <row r="39" spans="1:2" ht="25.5" customHeight="1">
      <c r="A39" s="40" t="s">
        <v>1943</v>
      </c>
      <c r="B39" s="41" t="s">
        <v>1944</v>
      </c>
    </row>
    <row r="40" spans="1:2" ht="15" customHeight="1">
      <c r="A40" s="40" t="s">
        <v>1945</v>
      </c>
      <c r="B40" s="41" t="s">
        <v>1946</v>
      </c>
    </row>
    <row r="41" spans="1:2" ht="25.5" customHeight="1">
      <c r="A41" s="40" t="s">
        <v>1947</v>
      </c>
      <c r="B41" s="41" t="s">
        <v>1948</v>
      </c>
    </row>
    <row r="42" spans="1:2" ht="15" customHeight="1">
      <c r="A42" s="40" t="s">
        <v>1949</v>
      </c>
      <c r="B42" s="41" t="s">
        <v>1950</v>
      </c>
    </row>
    <row r="43" spans="1:2" ht="45.75" customHeight="1">
      <c r="A43" s="46" t="s">
        <v>1951</v>
      </c>
      <c r="B43" s="11" t="s">
        <v>1952</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3" width="9" style="47" customWidth="1"/>
    <col min="14" max="16384" width="9" style="47"/>
  </cols>
  <sheetData>
    <row r="1" spans="1:6" ht="36" customHeight="1">
      <c r="A1" s="439" t="s">
        <v>1953</v>
      </c>
      <c r="B1" s="438"/>
      <c r="C1" s="438"/>
      <c r="D1" s="438"/>
      <c r="E1" s="438"/>
      <c r="F1" s="438"/>
    </row>
    <row r="2" spans="1:6" ht="15" customHeight="1">
      <c r="A2" s="48"/>
      <c r="B2" s="48"/>
      <c r="C2" s="48"/>
      <c r="D2" s="48"/>
      <c r="E2" s="48"/>
      <c r="F2" s="48"/>
    </row>
    <row r="3" spans="1:6" ht="27.75" customHeight="1">
      <c r="A3" s="437" t="s">
        <v>1954</v>
      </c>
      <c r="B3" s="438"/>
      <c r="C3" s="438"/>
      <c r="D3" s="438"/>
      <c r="E3" s="438"/>
      <c r="F3" s="438"/>
    </row>
    <row r="4" spans="1:6" ht="21.75" customHeight="1">
      <c r="A4" s="49" t="s">
        <v>1955</v>
      </c>
      <c r="B4" s="49" t="s">
        <v>1956</v>
      </c>
      <c r="C4" s="49" t="s">
        <v>1957</v>
      </c>
      <c r="D4" s="49" t="s">
        <v>1958</v>
      </c>
      <c r="E4" s="49" t="s">
        <v>1959</v>
      </c>
      <c r="F4" s="49" t="s">
        <v>243</v>
      </c>
    </row>
    <row r="5" spans="1:6" ht="21.75" customHeight="1">
      <c r="A5" s="50" t="s">
        <v>1960</v>
      </c>
      <c r="B5" s="51">
        <f>COUNTA(Requirements!A2:A108)</f>
        <v>35</v>
      </c>
      <c r="C5" s="52">
        <f>COUNTIF(Requirements!C2:C108,"✅ DEPLOYED*")</f>
        <v>35</v>
      </c>
      <c r="D5" s="51">
        <f>B5-C5</f>
        <v>0</v>
      </c>
      <c r="E5" s="53">
        <f>IF(B5=0,0,C5/B5)</f>
        <v>1</v>
      </c>
      <c r="F5" s="54" t="str">
        <f>IF(D5=0,"✅ ALL DEPLOYED",D5&amp;" OPEN")</f>
        <v>✅ ALL DEPLOYED</v>
      </c>
    </row>
    <row r="6" spans="1:6" ht="21.75" customHeight="1">
      <c r="A6" s="55" t="s">
        <v>1961</v>
      </c>
      <c r="B6" s="56">
        <f>COUNTA('3 Action Items'!A2:A100)</f>
        <v>27</v>
      </c>
      <c r="C6" s="57">
        <f>COUNTIF('3 Action Items'!F2:F100,"*✅*")</f>
        <v>27</v>
      </c>
      <c r="D6" s="56">
        <f>B6-C6</f>
        <v>0</v>
      </c>
      <c r="E6" s="58">
        <f>IF(B6=0,0,C6/B6)</f>
        <v>1</v>
      </c>
      <c r="F6" s="59" t="str">
        <f>IF(D6=0,"✅ ALL DONE",D6&amp;" OPEN")</f>
        <v>✅ ALL DONE</v>
      </c>
    </row>
    <row r="7" spans="1:6" ht="21.75" customHeight="1">
      <c r="A7" s="50" t="s">
        <v>1962</v>
      </c>
      <c r="B7" s="51">
        <f>COUNTA(Backlog!A2:A109)</f>
        <v>39</v>
      </c>
      <c r="C7" s="52">
        <f>COUNTIF(Backlog!C2:C109,"✅*")</f>
        <v>39</v>
      </c>
      <c r="D7" s="51">
        <f>B7-C7</f>
        <v>0</v>
      </c>
      <c r="E7" s="53">
        <f>C7/B7</f>
        <v>1</v>
      </c>
      <c r="F7" s="60" t="str">
        <f>IF(D7=0,"✅ ALL DEPLOYED",D7&amp;" OPEN")</f>
        <v>✅ ALL DEPLOYED</v>
      </c>
    </row>
    <row r="8" spans="1:6" ht="21.75" customHeight="1">
      <c r="A8" s="61" t="s">
        <v>1963</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1964</v>
      </c>
      <c r="B10" s="48">
        <v>35</v>
      </c>
      <c r="C10" s="48">
        <v>35</v>
      </c>
      <c r="D10" s="48">
        <v>0</v>
      </c>
      <c r="E10" s="48">
        <v>1</v>
      </c>
      <c r="F10" s="48" t="s">
        <v>1965</v>
      </c>
    </row>
    <row r="11" spans="1:6" ht="27.75" customHeight="1">
      <c r="A11" s="437" t="s">
        <v>1966</v>
      </c>
      <c r="B11" s="438"/>
      <c r="C11" s="438"/>
      <c r="D11" s="438"/>
      <c r="E11" s="438"/>
      <c r="F11" s="438"/>
    </row>
    <row r="12" spans="1:6" ht="21.75" customHeight="1">
      <c r="A12" s="49" t="s">
        <v>243</v>
      </c>
      <c r="B12" s="49" t="s">
        <v>1967</v>
      </c>
      <c r="C12" s="49" t="s">
        <v>1968</v>
      </c>
      <c r="D12" s="66"/>
      <c r="E12" s="49" t="s">
        <v>1969</v>
      </c>
      <c r="F12" s="49">
        <f>COUNTA('Test Results'!D2:D510)</f>
        <v>314</v>
      </c>
    </row>
    <row r="13" spans="1:6" ht="21.75" customHeight="1">
      <c r="A13" s="67" t="s">
        <v>1970</v>
      </c>
      <c r="B13" s="54">
        <f>COUNTIF('Test Results'!D2:D510,"✅*")</f>
        <v>189</v>
      </c>
      <c r="C13" s="68">
        <f>IF(F12=0,0,B13/F12)</f>
        <v>0.60191082802547768</v>
      </c>
      <c r="D13" s="69"/>
      <c r="E13" s="69"/>
      <c r="F13" s="69"/>
    </row>
    <row r="14" spans="1:6" ht="21.75" customHeight="1">
      <c r="A14" s="70" t="s">
        <v>1971</v>
      </c>
      <c r="B14" s="71">
        <f>COUNTIF('Test Results'!D2:D510,"❌*")</f>
        <v>14</v>
      </c>
      <c r="C14" s="72">
        <f>IF(F12=0,0,B14/F12)</f>
        <v>4.4585987261146494E-2</v>
      </c>
      <c r="D14" s="69"/>
      <c r="E14" s="69"/>
      <c r="F14" s="69"/>
    </row>
    <row r="15" spans="1:6" ht="21.75" customHeight="1">
      <c r="A15" s="73" t="s">
        <v>1972</v>
      </c>
      <c r="B15" s="74">
        <f>COUNTIF('Test Results'!D2:D510,"⏱️*")</f>
        <v>25</v>
      </c>
      <c r="C15" s="68">
        <f>IF(F12=0,0,B15/F12)</f>
        <v>7.9617834394904455E-2</v>
      </c>
      <c r="D15" s="69"/>
      <c r="E15" s="69"/>
      <c r="F15" s="69"/>
    </row>
    <row r="16" spans="1:6" ht="21.75" customHeight="1">
      <c r="A16" s="75" t="s">
        <v>1973</v>
      </c>
      <c r="B16" s="65">
        <f>COUNTIF('Test Results'!D2:D510,"⚠️*")</f>
        <v>32</v>
      </c>
      <c r="C16" s="72">
        <f>IF(F12=0,0,B16/F12)</f>
        <v>0.10191082802547771</v>
      </c>
      <c r="D16" s="69"/>
      <c r="E16" s="69"/>
      <c r="F16" s="69"/>
    </row>
    <row r="17" spans="1:6" ht="21.75" customHeight="1">
      <c r="A17" s="76" t="s">
        <v>1974</v>
      </c>
      <c r="B17" s="77">
        <f>F12-B13-B14-B15-B16</f>
        <v>54</v>
      </c>
      <c r="C17" s="68">
        <f>IF(F12=0,0,B17/F12)</f>
        <v>0.17197452229299362</v>
      </c>
      <c r="D17" s="69"/>
      <c r="E17" s="69"/>
      <c r="F17" s="69"/>
    </row>
    <row r="18" spans="1:6" ht="21.75" customHeight="1">
      <c r="A18" s="61" t="s">
        <v>1975</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40" t="s">
        <v>1976</v>
      </c>
      <c r="B20" s="438"/>
      <c r="C20" s="438"/>
      <c r="D20" s="438"/>
      <c r="E20" s="438"/>
      <c r="F20" s="438"/>
    </row>
    <row r="21" spans="1:6" ht="15" customHeight="1">
      <c r="A21" s="79" t="s">
        <v>285</v>
      </c>
      <c r="B21" s="79" t="s">
        <v>432</v>
      </c>
      <c r="C21" s="79" t="s">
        <v>392</v>
      </c>
      <c r="D21" s="79" t="s">
        <v>1977</v>
      </c>
      <c r="E21" s="79" t="s">
        <v>243</v>
      </c>
      <c r="F21" s="79" t="s">
        <v>1323</v>
      </c>
    </row>
    <row r="22" spans="1:6" ht="102.75" customHeight="1">
      <c r="A22" s="6">
        <v>1</v>
      </c>
      <c r="B22" s="6" t="s">
        <v>474</v>
      </c>
      <c r="C22" s="7" t="s">
        <v>1978</v>
      </c>
      <c r="D22" s="7" t="s">
        <v>1979</v>
      </c>
      <c r="E22" s="6" t="s">
        <v>1980</v>
      </c>
      <c r="F22" s="7" t="s">
        <v>1981</v>
      </c>
    </row>
    <row r="23" spans="1:6" ht="77.25" customHeight="1">
      <c r="A23" s="8">
        <v>2</v>
      </c>
      <c r="B23" s="8" t="s">
        <v>474</v>
      </c>
      <c r="C23" s="9" t="s">
        <v>1982</v>
      </c>
      <c r="D23" s="9" t="s">
        <v>1071</v>
      </c>
      <c r="E23" s="8" t="s">
        <v>1983</v>
      </c>
      <c r="F23" s="9" t="s">
        <v>1981</v>
      </c>
    </row>
    <row r="24" spans="1:6" ht="141" customHeight="1">
      <c r="A24" s="6">
        <v>3</v>
      </c>
      <c r="B24" s="6" t="s">
        <v>474</v>
      </c>
      <c r="C24" s="7" t="s">
        <v>1984</v>
      </c>
      <c r="D24" s="7" t="s">
        <v>1071</v>
      </c>
      <c r="E24" s="6" t="s">
        <v>1983</v>
      </c>
      <c r="F24" s="7" t="s">
        <v>1985</v>
      </c>
    </row>
    <row r="25" spans="1:6" ht="21.75" customHeight="1">
      <c r="A25" s="8">
        <v>4</v>
      </c>
      <c r="B25" s="8" t="s">
        <v>492</v>
      </c>
      <c r="C25" s="9" t="s">
        <v>1986</v>
      </c>
      <c r="D25" s="9" t="s">
        <v>1071</v>
      </c>
      <c r="E25" s="8" t="s">
        <v>1983</v>
      </c>
      <c r="F25" s="9" t="s">
        <v>1987</v>
      </c>
    </row>
    <row r="26" spans="1:6" ht="27.75" customHeight="1">
      <c r="A26" s="441" t="s">
        <v>1988</v>
      </c>
      <c r="B26" s="438"/>
      <c r="C26" s="438"/>
      <c r="D26" s="438"/>
      <c r="E26" s="438"/>
      <c r="F26" s="438"/>
    </row>
    <row r="27" spans="1:6" ht="21.75" customHeight="1">
      <c r="A27" s="80" t="s">
        <v>1989</v>
      </c>
      <c r="B27" s="79" t="s">
        <v>1255</v>
      </c>
      <c r="C27" s="79"/>
      <c r="D27" s="79" t="s">
        <v>242</v>
      </c>
      <c r="E27" s="79" t="s">
        <v>1990</v>
      </c>
      <c r="F27" s="79" t="s">
        <v>243</v>
      </c>
    </row>
    <row r="28" spans="1:6" ht="21.75" customHeight="1">
      <c r="A28" s="1" t="s">
        <v>1991</v>
      </c>
      <c r="B28" s="1" t="s">
        <v>1992</v>
      </c>
      <c r="C28" s="1"/>
      <c r="D28" s="1" t="s">
        <v>1646</v>
      </c>
      <c r="E28" s="1" t="s">
        <v>22</v>
      </c>
      <c r="F28" s="1" t="s">
        <v>1993</v>
      </c>
    </row>
    <row r="29" spans="1:6" ht="21.75" customHeight="1">
      <c r="A29" s="55" t="s">
        <v>1994</v>
      </c>
      <c r="B29" s="56" t="s">
        <v>1995</v>
      </c>
      <c r="C29" s="55"/>
      <c r="D29" s="55" t="s">
        <v>1996</v>
      </c>
      <c r="E29" s="55" t="s">
        <v>1997</v>
      </c>
      <c r="F29" s="59" t="s">
        <v>1993</v>
      </c>
    </row>
    <row r="30" spans="1:6" ht="21.75" customHeight="1">
      <c r="A30" s="50" t="s">
        <v>1998</v>
      </c>
      <c r="B30" s="51" t="s">
        <v>1999</v>
      </c>
      <c r="C30" s="50"/>
      <c r="D30" s="50" t="s">
        <v>2000</v>
      </c>
      <c r="E30" s="50" t="s">
        <v>2001</v>
      </c>
      <c r="F30" s="54" t="s">
        <v>1993</v>
      </c>
    </row>
    <row r="31" spans="1:6" ht="21.75" customHeight="1">
      <c r="A31" s="55" t="s">
        <v>2002</v>
      </c>
      <c r="B31" s="56" t="s">
        <v>2003</v>
      </c>
      <c r="C31" s="55"/>
      <c r="D31" s="55" t="s">
        <v>2004</v>
      </c>
      <c r="E31" s="55" t="s">
        <v>2005</v>
      </c>
      <c r="F31" s="59" t="s">
        <v>2006</v>
      </c>
    </row>
    <row r="32" spans="1:6" ht="21.75" customHeight="1">
      <c r="A32" s="50" t="s">
        <v>2007</v>
      </c>
      <c r="B32" s="51" t="s">
        <v>2008</v>
      </c>
      <c r="C32" s="50"/>
      <c r="D32" s="50" t="s">
        <v>2009</v>
      </c>
      <c r="E32" s="50" t="s">
        <v>2010</v>
      </c>
      <c r="F32" s="54" t="s">
        <v>2006</v>
      </c>
    </row>
    <row r="33" spans="1:6" ht="21.75" customHeight="1">
      <c r="A33" s="55" t="s">
        <v>2011</v>
      </c>
      <c r="B33" s="56" t="s">
        <v>2012</v>
      </c>
      <c r="C33" s="50"/>
      <c r="D33" s="55" t="s">
        <v>2013</v>
      </c>
      <c r="E33" s="55" t="s">
        <v>2014</v>
      </c>
      <c r="F33" s="59" t="s">
        <v>1993</v>
      </c>
    </row>
    <row r="34" spans="1:6" ht="21.75" customHeight="1">
      <c r="A34" s="48"/>
      <c r="B34" s="81">
        <v>46096.729487129633</v>
      </c>
      <c r="C34" s="48"/>
      <c r="D34" s="48"/>
      <c r="E34" s="48"/>
      <c r="F34" s="48"/>
    </row>
    <row r="35" spans="1:6" ht="21.75" customHeight="1">
      <c r="A35" s="82" t="s">
        <v>2015</v>
      </c>
      <c r="B35" s="83">
        <v>46097.020833333343</v>
      </c>
      <c r="C35" s="48"/>
      <c r="D35" s="48"/>
      <c r="E35" s="48"/>
      <c r="F35" s="48"/>
    </row>
    <row r="36" spans="1:6" ht="21.75" customHeight="1">
      <c r="A36" s="84"/>
      <c r="B36" s="48"/>
      <c r="C36" s="48"/>
      <c r="D36" s="48"/>
      <c r="E36" s="48"/>
      <c r="F36" s="48"/>
    </row>
    <row r="37" spans="1:6" ht="27.75" customHeight="1">
      <c r="A37" s="440" t="s">
        <v>2016</v>
      </c>
      <c r="B37" s="438"/>
      <c r="C37" s="438"/>
      <c r="D37" s="438"/>
      <c r="E37" s="438"/>
      <c r="F37" s="438"/>
    </row>
    <row r="38" spans="1:6" ht="21.75" customHeight="1">
      <c r="A38" s="79" t="s">
        <v>285</v>
      </c>
      <c r="B38" s="79" t="s">
        <v>918</v>
      </c>
      <c r="C38" s="79" t="s">
        <v>328</v>
      </c>
      <c r="D38" s="79" t="s">
        <v>2017</v>
      </c>
      <c r="E38" s="79" t="s">
        <v>1200</v>
      </c>
      <c r="F38" s="79" t="s">
        <v>2018</v>
      </c>
    </row>
    <row r="39" spans="1:6" ht="21.75" customHeight="1">
      <c r="A39" s="51">
        <v>1</v>
      </c>
      <c r="B39" s="50" t="s">
        <v>2019</v>
      </c>
      <c r="C39" s="50" t="s">
        <v>2020</v>
      </c>
      <c r="D39" s="67" t="s">
        <v>2021</v>
      </c>
      <c r="E39" s="50" t="s">
        <v>2022</v>
      </c>
      <c r="F39" s="50" t="s">
        <v>2023</v>
      </c>
    </row>
    <row r="40" spans="1:6" ht="21.75" customHeight="1">
      <c r="A40" s="56">
        <v>2</v>
      </c>
      <c r="B40" s="55" t="s">
        <v>2024</v>
      </c>
      <c r="C40" s="55" t="s">
        <v>2025</v>
      </c>
      <c r="D40" s="85" t="s">
        <v>2021</v>
      </c>
      <c r="E40" s="55" t="s">
        <v>2026</v>
      </c>
      <c r="F40" s="55" t="s">
        <v>2027</v>
      </c>
    </row>
    <row r="41" spans="1:6" ht="21.75" customHeight="1">
      <c r="A41" s="51">
        <v>3</v>
      </c>
      <c r="B41" s="50" t="s">
        <v>2028</v>
      </c>
      <c r="C41" s="50" t="s">
        <v>2029</v>
      </c>
      <c r="D41" s="67" t="s">
        <v>2021</v>
      </c>
      <c r="E41" s="50" t="s">
        <v>2030</v>
      </c>
      <c r="F41" s="50" t="s">
        <v>2031</v>
      </c>
    </row>
    <row r="42" spans="1:6" ht="21.75" customHeight="1">
      <c r="A42" s="56">
        <v>4</v>
      </c>
      <c r="B42" s="55" t="s">
        <v>2032</v>
      </c>
      <c r="C42" s="55" t="s">
        <v>2033</v>
      </c>
      <c r="D42" s="85" t="s">
        <v>2021</v>
      </c>
      <c r="E42" s="55" t="s">
        <v>2034</v>
      </c>
      <c r="F42" s="55" t="s">
        <v>2035</v>
      </c>
    </row>
    <row r="43" spans="1:6" ht="21.75" customHeight="1">
      <c r="A43" s="51">
        <v>5</v>
      </c>
      <c r="B43" s="50" t="s">
        <v>2036</v>
      </c>
      <c r="C43" s="50" t="s">
        <v>2037</v>
      </c>
      <c r="D43" s="67" t="s">
        <v>2038</v>
      </c>
      <c r="E43" s="50" t="s">
        <v>2039</v>
      </c>
      <c r="F43" s="50" t="s">
        <v>2040</v>
      </c>
    </row>
    <row r="44" spans="1:6" ht="21.75" customHeight="1">
      <c r="A44" s="56">
        <v>6</v>
      </c>
      <c r="B44" s="55" t="s">
        <v>2041</v>
      </c>
      <c r="C44" s="55" t="s">
        <v>2042</v>
      </c>
      <c r="D44" s="75" t="s">
        <v>2043</v>
      </c>
      <c r="E44" s="55" t="s">
        <v>2044</v>
      </c>
      <c r="F44" s="55" t="s">
        <v>2045</v>
      </c>
    </row>
    <row r="45" spans="1:6" ht="21.75" customHeight="1">
      <c r="A45" s="51">
        <v>7</v>
      </c>
      <c r="B45" s="50" t="s">
        <v>2046</v>
      </c>
      <c r="C45" s="50" t="s">
        <v>2047</v>
      </c>
      <c r="D45" s="67" t="s">
        <v>2021</v>
      </c>
      <c r="E45" s="50" t="s">
        <v>2048</v>
      </c>
      <c r="F45" s="50" t="s">
        <v>2049</v>
      </c>
    </row>
    <row r="46" spans="1:6" ht="21.75" customHeight="1">
      <c r="A46" s="56">
        <v>8</v>
      </c>
      <c r="B46" s="55" t="s">
        <v>2050</v>
      </c>
      <c r="C46" s="55" t="s">
        <v>2051</v>
      </c>
      <c r="D46" s="85" t="s">
        <v>2021</v>
      </c>
      <c r="E46" s="55" t="s">
        <v>2052</v>
      </c>
      <c r="F46" s="55" t="s">
        <v>2053</v>
      </c>
    </row>
    <row r="47" spans="1:6" ht="21.75" customHeight="1">
      <c r="A47" s="51">
        <v>9</v>
      </c>
      <c r="B47" s="50" t="s">
        <v>2054</v>
      </c>
      <c r="C47" s="50" t="s">
        <v>2055</v>
      </c>
      <c r="D47" s="67" t="s">
        <v>2021</v>
      </c>
      <c r="E47" s="50" t="s">
        <v>2056</v>
      </c>
      <c r="F47" s="50" t="s">
        <v>2057</v>
      </c>
    </row>
    <row r="48" spans="1:6" ht="21.75" customHeight="1">
      <c r="A48" s="48" t="s">
        <v>2015</v>
      </c>
      <c r="B48" s="83">
        <v>46094.782276863429</v>
      </c>
      <c r="C48" s="48"/>
      <c r="D48" s="48"/>
      <c r="E48" s="48"/>
      <c r="F48" s="48"/>
    </row>
    <row r="49" spans="1:6" ht="21.75" customHeight="1">
      <c r="A49" s="86"/>
      <c r="B49" s="87"/>
      <c r="C49" s="69"/>
      <c r="D49" s="69"/>
      <c r="E49" s="69"/>
      <c r="F49" s="69"/>
    </row>
    <row r="50" spans="1:6" ht="15" customHeight="1">
      <c r="A50" s="88" t="s">
        <v>2058</v>
      </c>
      <c r="B50" s="89"/>
      <c r="C50" s="89"/>
      <c r="D50" s="89"/>
      <c r="E50" s="89"/>
      <c r="F50" s="89"/>
    </row>
    <row r="51" spans="1:6" ht="15" customHeight="1">
      <c r="A51" s="90" t="s">
        <v>2059</v>
      </c>
      <c r="B51" s="90" t="s">
        <v>431</v>
      </c>
      <c r="C51" s="90" t="s">
        <v>243</v>
      </c>
      <c r="D51" s="90" t="s">
        <v>287</v>
      </c>
      <c r="E51" s="90" t="s">
        <v>2060</v>
      </c>
      <c r="F51" s="90" t="s">
        <v>522</v>
      </c>
    </row>
    <row r="52" spans="1:6" ht="94.5" customHeight="1">
      <c r="A52" s="69">
        <v>1</v>
      </c>
      <c r="B52" s="69" t="s">
        <v>2061</v>
      </c>
      <c r="C52" s="69" t="s">
        <v>2062</v>
      </c>
      <c r="D52" s="69" t="s">
        <v>2063</v>
      </c>
      <c r="E52" s="69"/>
      <c r="F52" s="69"/>
    </row>
    <row r="53" spans="1:6" ht="81" customHeight="1">
      <c r="A53" s="69">
        <v>1</v>
      </c>
      <c r="B53" s="69" t="s">
        <v>2064</v>
      </c>
      <c r="C53" s="69" t="s">
        <v>2062</v>
      </c>
      <c r="D53" s="91" t="s">
        <v>2065</v>
      </c>
      <c r="E53" s="69"/>
      <c r="F53" s="69"/>
    </row>
    <row r="54" spans="1:6" ht="81" customHeight="1">
      <c r="A54" s="69">
        <v>1</v>
      </c>
      <c r="B54" s="69" t="s">
        <v>2066</v>
      </c>
      <c r="C54" s="69" t="s">
        <v>2062</v>
      </c>
      <c r="D54" s="91" t="s">
        <v>2067</v>
      </c>
      <c r="E54" s="69"/>
      <c r="F54" s="69"/>
    </row>
    <row r="55" spans="1:6" ht="67.5" customHeight="1">
      <c r="A55" s="69">
        <v>2</v>
      </c>
      <c r="B55" s="69" t="s">
        <v>2068</v>
      </c>
      <c r="C55" s="69" t="s">
        <v>2062</v>
      </c>
      <c r="D55" s="69" t="s">
        <v>2069</v>
      </c>
      <c r="E55" s="69"/>
      <c r="F55" s="69"/>
    </row>
    <row r="56" spans="1:6" ht="40.5" customHeight="1">
      <c r="A56" s="69">
        <v>2</v>
      </c>
      <c r="B56" s="69" t="s">
        <v>2070</v>
      </c>
      <c r="C56" s="69" t="s">
        <v>2062</v>
      </c>
      <c r="D56" s="69" t="s">
        <v>2071</v>
      </c>
      <c r="E56" s="69" t="s">
        <v>598</v>
      </c>
      <c r="F56" s="69"/>
    </row>
    <row r="57" spans="1:6" ht="229.5" customHeight="1">
      <c r="A57" s="69">
        <v>2</v>
      </c>
      <c r="B57" s="69" t="s">
        <v>2072</v>
      </c>
      <c r="C57" s="69" t="s">
        <v>2062</v>
      </c>
      <c r="D57" s="69" t="s">
        <v>2073</v>
      </c>
      <c r="E57" s="69" t="s">
        <v>598</v>
      </c>
      <c r="F57" s="69" t="s">
        <v>2074</v>
      </c>
    </row>
    <row r="58" spans="1:6" ht="243" customHeight="1">
      <c r="A58" s="69">
        <v>2</v>
      </c>
      <c r="B58" s="69" t="s">
        <v>2075</v>
      </c>
      <c r="C58" s="69" t="s">
        <v>2062</v>
      </c>
      <c r="D58" s="69" t="s">
        <v>2076</v>
      </c>
      <c r="E58" s="69" t="s">
        <v>598</v>
      </c>
      <c r="F58" s="69" t="s">
        <v>2077</v>
      </c>
    </row>
    <row r="59" spans="1:6" ht="270" customHeight="1">
      <c r="A59" s="69">
        <v>2</v>
      </c>
      <c r="B59" s="69" t="s">
        <v>2078</v>
      </c>
      <c r="C59" s="69" t="s">
        <v>2062</v>
      </c>
      <c r="D59" s="69" t="s">
        <v>2079</v>
      </c>
      <c r="E59" s="69" t="s">
        <v>598</v>
      </c>
      <c r="F59" s="69" t="s">
        <v>2080</v>
      </c>
    </row>
    <row r="60" spans="1:6" ht="121.5" customHeight="1">
      <c r="A60" s="69">
        <v>2</v>
      </c>
      <c r="B60" s="69" t="s">
        <v>2081</v>
      </c>
      <c r="C60" s="69" t="s">
        <v>2062</v>
      </c>
      <c r="D60" s="69" t="s">
        <v>2082</v>
      </c>
      <c r="E60" s="69"/>
      <c r="F60" s="69"/>
    </row>
    <row r="61" spans="1:6" ht="135" customHeight="1">
      <c r="A61" s="69">
        <v>2</v>
      </c>
      <c r="B61" s="69" t="s">
        <v>2083</v>
      </c>
      <c r="C61" s="69" t="s">
        <v>2062</v>
      </c>
      <c r="D61" s="69" t="s">
        <v>2084</v>
      </c>
      <c r="E61" s="69" t="s">
        <v>598</v>
      </c>
      <c r="F61" s="69" t="s">
        <v>2085</v>
      </c>
    </row>
    <row r="62" spans="1:6" ht="108" customHeight="1">
      <c r="A62" s="69">
        <v>3</v>
      </c>
      <c r="B62" s="69" t="s">
        <v>2086</v>
      </c>
      <c r="C62" s="69" t="s">
        <v>2062</v>
      </c>
      <c r="D62" s="69" t="s">
        <v>2087</v>
      </c>
      <c r="E62" s="69" t="s">
        <v>598</v>
      </c>
      <c r="F62" s="69"/>
    </row>
    <row r="63" spans="1:6" ht="121.5" customHeight="1">
      <c r="A63" s="69">
        <v>3</v>
      </c>
      <c r="B63" s="69" t="s">
        <v>2088</v>
      </c>
      <c r="C63" s="69" t="s">
        <v>2062</v>
      </c>
      <c r="D63" s="69" t="s">
        <v>2089</v>
      </c>
      <c r="E63" s="69" t="s">
        <v>598</v>
      </c>
      <c r="F63" s="69"/>
    </row>
    <row r="64" spans="1:6" ht="15" customHeight="1">
      <c r="A64" s="69"/>
      <c r="B64" s="69"/>
      <c r="C64" s="69"/>
      <c r="D64" s="69"/>
      <c r="E64" s="69"/>
      <c r="F64" s="69"/>
    </row>
    <row r="65" spans="1:6" ht="94.5" customHeight="1">
      <c r="A65" s="92" t="s">
        <v>2090</v>
      </c>
      <c r="B65" s="93" t="s">
        <v>2091</v>
      </c>
      <c r="C65" s="69"/>
      <c r="D65" s="69"/>
      <c r="E65" s="69"/>
      <c r="F65" s="69"/>
    </row>
    <row r="66" spans="1:6" ht="135" customHeight="1">
      <c r="A66" s="90" t="s">
        <v>2092</v>
      </c>
      <c r="B66" s="69" t="s">
        <v>2093</v>
      </c>
      <c r="C66" s="69"/>
      <c r="D66" s="69"/>
      <c r="E66" s="69"/>
      <c r="F66" s="69"/>
    </row>
    <row r="67" spans="1:6" ht="40.5" customHeight="1">
      <c r="A67" s="94" t="s">
        <v>2094</v>
      </c>
      <c r="B67" s="69" t="s">
        <v>2095</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2096</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64"/>
  <sheetViews>
    <sheetView topLeftCell="A23" zoomScaleNormal="100" workbookViewId="0">
      <selection activeCell="B35" sqref="B35"/>
    </sheetView>
  </sheetViews>
  <sheetFormatPr defaultColWidth="9.140625" defaultRowHeight="15"/>
  <cols>
    <col min="1" max="2" width="65" style="47" customWidth="1"/>
    <col min="3" max="9" width="9.140625" style="47" customWidth="1"/>
    <col min="10" max="16384" width="9.140625" style="47"/>
  </cols>
  <sheetData>
    <row r="1" spans="1:2" s="96" customFormat="1" ht="13.5" customHeight="1">
      <c r="A1" s="95" t="s">
        <v>2097</v>
      </c>
      <c r="B1" s="95" t="s">
        <v>2098</v>
      </c>
    </row>
    <row r="2" spans="1:2" ht="15" customHeight="1">
      <c r="A2" s="97" t="s">
        <v>2099</v>
      </c>
      <c r="B2" s="98">
        <v>46093</v>
      </c>
    </row>
    <row r="3" spans="1:2" ht="15" customHeight="1">
      <c r="A3" s="99" t="s">
        <v>2100</v>
      </c>
      <c r="B3" s="100" t="s">
        <v>2101</v>
      </c>
    </row>
    <row r="4" spans="1:2" ht="15" customHeight="1">
      <c r="A4" s="97" t="s">
        <v>2102</v>
      </c>
      <c r="B4" s="101" t="s">
        <v>2103</v>
      </c>
    </row>
    <row r="5" spans="1:2" ht="27" customHeight="1">
      <c r="A5" s="102" t="s">
        <v>2104</v>
      </c>
      <c r="B5" s="100" t="s">
        <v>2105</v>
      </c>
    </row>
    <row r="6" spans="1:2" ht="15" customHeight="1">
      <c r="A6" s="103" t="s">
        <v>2106</v>
      </c>
      <c r="B6" s="101" t="s">
        <v>2107</v>
      </c>
    </row>
    <row r="7" spans="1:2" ht="15" customHeight="1">
      <c r="A7" s="102" t="s">
        <v>2108</v>
      </c>
      <c r="B7" s="100" t="s">
        <v>2109</v>
      </c>
    </row>
    <row r="8" spans="1:2" ht="27" customHeight="1">
      <c r="A8" s="103" t="s">
        <v>2110</v>
      </c>
      <c r="B8" s="101" t="s">
        <v>2111</v>
      </c>
    </row>
    <row r="9" spans="1:2" ht="15" customHeight="1">
      <c r="A9" s="102" t="s">
        <v>2112</v>
      </c>
      <c r="B9" s="100" t="s">
        <v>2113</v>
      </c>
    </row>
    <row r="10" spans="1:2" ht="15" customHeight="1">
      <c r="A10" s="97"/>
      <c r="B10" s="101" t="s">
        <v>2114</v>
      </c>
    </row>
    <row r="11" spans="1:2" ht="15" customHeight="1">
      <c r="A11" s="102" t="s">
        <v>2115</v>
      </c>
      <c r="B11" s="100" t="s">
        <v>2116</v>
      </c>
    </row>
    <row r="12" spans="1:2" ht="27" customHeight="1">
      <c r="A12" s="103" t="s">
        <v>2117</v>
      </c>
      <c r="B12" s="101" t="s">
        <v>2118</v>
      </c>
    </row>
    <row r="13" spans="1:2" ht="27" customHeight="1">
      <c r="A13" s="102" t="s">
        <v>2119</v>
      </c>
      <c r="B13" s="100" t="s">
        <v>2120</v>
      </c>
    </row>
    <row r="14" spans="1:2" ht="15" customHeight="1">
      <c r="A14" s="97" t="s">
        <v>2121</v>
      </c>
      <c r="B14" s="101" t="s">
        <v>2122</v>
      </c>
    </row>
    <row r="15" spans="1:2" ht="15" customHeight="1">
      <c r="A15" s="99" t="s">
        <v>2123</v>
      </c>
      <c r="B15" s="100" t="s">
        <v>2124</v>
      </c>
    </row>
    <row r="16" spans="1:2" ht="15" customHeight="1">
      <c r="A16" s="97" t="s">
        <v>2125</v>
      </c>
      <c r="B16" s="101" t="s">
        <v>2126</v>
      </c>
    </row>
    <row r="17" spans="1:2" ht="15" customHeight="1">
      <c r="A17" s="99" t="s">
        <v>2127</v>
      </c>
      <c r="B17" s="100" t="s">
        <v>2128</v>
      </c>
    </row>
    <row r="18" spans="1:2" ht="15" customHeight="1">
      <c r="A18" s="97" t="s">
        <v>2129</v>
      </c>
      <c r="B18" s="101" t="s">
        <v>2130</v>
      </c>
    </row>
    <row r="19" spans="1:2" ht="15" customHeight="1">
      <c r="A19" s="99" t="s">
        <v>2131</v>
      </c>
      <c r="B19" s="100" t="s">
        <v>2132</v>
      </c>
    </row>
    <row r="20" spans="1:2" ht="15" customHeight="1">
      <c r="A20" s="97" t="s">
        <v>2133</v>
      </c>
      <c r="B20" s="101" t="s">
        <v>2134</v>
      </c>
    </row>
    <row r="21" spans="1:2" ht="40.5" customHeight="1">
      <c r="A21" s="99"/>
      <c r="B21" s="100" t="s">
        <v>2135</v>
      </c>
    </row>
    <row r="22" spans="1:2" ht="27" customHeight="1">
      <c r="A22" s="97" t="s">
        <v>2136</v>
      </c>
      <c r="B22" s="101" t="s">
        <v>2137</v>
      </c>
    </row>
    <row r="23" spans="1:2" ht="15" customHeight="1">
      <c r="A23" s="99"/>
      <c r="B23" s="100" t="s">
        <v>2138</v>
      </c>
    </row>
    <row r="24" spans="1:2" ht="27" customHeight="1">
      <c r="A24" s="103" t="s">
        <v>2139</v>
      </c>
      <c r="B24" s="101" t="s">
        <v>2140</v>
      </c>
    </row>
    <row r="25" spans="1:2" ht="27" customHeight="1">
      <c r="A25" s="102" t="s">
        <v>2139</v>
      </c>
      <c r="B25" s="100" t="s">
        <v>2141</v>
      </c>
    </row>
    <row r="26" spans="1:2" ht="27" customHeight="1">
      <c r="A26" s="103" t="s">
        <v>2139</v>
      </c>
      <c r="B26" s="101" t="s">
        <v>2142</v>
      </c>
    </row>
    <row r="27" spans="1:2" ht="27" customHeight="1">
      <c r="A27" s="102" t="s">
        <v>2139</v>
      </c>
      <c r="B27" s="100" t="s">
        <v>2143</v>
      </c>
    </row>
    <row r="28" spans="1:2" ht="27" customHeight="1">
      <c r="A28" s="103" t="s">
        <v>2139</v>
      </c>
      <c r="B28" s="101" t="s">
        <v>2144</v>
      </c>
    </row>
    <row r="29" spans="1:2" ht="27" customHeight="1">
      <c r="A29" s="102" t="s">
        <v>2139</v>
      </c>
      <c r="B29" s="100" t="s">
        <v>2145</v>
      </c>
    </row>
    <row r="30" spans="1:2" ht="27" customHeight="1">
      <c r="A30" s="103" t="s">
        <v>2139</v>
      </c>
      <c r="B30" s="101" t="s">
        <v>2146</v>
      </c>
    </row>
    <row r="31" spans="1:2" ht="27" customHeight="1">
      <c r="A31" s="102" t="s">
        <v>2139</v>
      </c>
      <c r="B31" s="100" t="s">
        <v>2147</v>
      </c>
    </row>
    <row r="32" spans="1:2" ht="27" customHeight="1">
      <c r="A32" s="103" t="s">
        <v>2139</v>
      </c>
      <c r="B32" s="101" t="s">
        <v>2148</v>
      </c>
    </row>
    <row r="33" spans="1:2" ht="27" customHeight="1">
      <c r="A33" s="102" t="s">
        <v>2139</v>
      </c>
      <c r="B33" s="100" t="s">
        <v>2149</v>
      </c>
    </row>
    <row r="34" spans="1:2" ht="40.5" customHeight="1">
      <c r="A34" s="103" t="s">
        <v>2139</v>
      </c>
      <c r="B34" s="101" t="s">
        <v>2150</v>
      </c>
    </row>
    <row r="35" spans="1:2" ht="15" customHeight="1">
      <c r="A35" s="99"/>
      <c r="B35" s="100" t="s">
        <v>2151</v>
      </c>
    </row>
    <row r="36" spans="1:2" ht="15" customHeight="1">
      <c r="A36" s="46" t="s">
        <v>2152</v>
      </c>
      <c r="B36" s="11" t="s">
        <v>2153</v>
      </c>
    </row>
    <row r="37" spans="1:2" ht="25.5" customHeight="1">
      <c r="A37" s="102" t="s">
        <v>2154</v>
      </c>
      <c r="B37" s="100" t="s">
        <v>2155</v>
      </c>
    </row>
    <row r="38" spans="1:2" ht="25.5" customHeight="1">
      <c r="A38" s="103" t="s">
        <v>2156</v>
      </c>
      <c r="B38" s="101" t="s">
        <v>2157</v>
      </c>
    </row>
    <row r="39" spans="1:2" ht="25.5" customHeight="1">
      <c r="A39" s="102" t="s">
        <v>2158</v>
      </c>
      <c r="B39" s="100" t="s">
        <v>2159</v>
      </c>
    </row>
    <row r="40" spans="1:2" ht="15" customHeight="1">
      <c r="A40" s="104" t="s">
        <v>2160</v>
      </c>
      <c r="B40" s="101" t="s">
        <v>2161</v>
      </c>
    </row>
    <row r="41" spans="1:2" ht="30" customHeight="1">
      <c r="A41" s="105" t="s">
        <v>2162</v>
      </c>
      <c r="B41" s="106" t="s">
        <v>2163</v>
      </c>
    </row>
    <row r="42" spans="1:2" ht="30" customHeight="1">
      <c r="A42" s="105" t="s">
        <v>2164</v>
      </c>
      <c r="B42" s="106" t="s">
        <v>2165</v>
      </c>
    </row>
    <row r="43" spans="1:2" ht="28.5" customHeight="1">
      <c r="A43" s="105" t="s">
        <v>2166</v>
      </c>
      <c r="B43" s="106" t="s">
        <v>2167</v>
      </c>
    </row>
    <row r="44" spans="1:2" ht="30" customHeight="1">
      <c r="A44" s="105" t="s">
        <v>2168</v>
      </c>
      <c r="B44" s="106" t="s">
        <v>2169</v>
      </c>
    </row>
    <row r="45" spans="1:2" ht="30" customHeight="1">
      <c r="A45" s="105" t="s">
        <v>2170</v>
      </c>
      <c r="B45" s="106" t="s">
        <v>2171</v>
      </c>
    </row>
    <row r="46" spans="1:2" ht="15" customHeight="1">
      <c r="A46" s="23"/>
      <c r="B46" s="23"/>
    </row>
    <row r="47" spans="1:2" ht="15" customHeight="1">
      <c r="A47" s="107" t="s">
        <v>2172</v>
      </c>
      <c r="B47" s="23"/>
    </row>
    <row r="48" spans="1:2" ht="15" customHeight="1">
      <c r="A48" s="108" t="s">
        <v>2173</v>
      </c>
      <c r="B48" s="23"/>
    </row>
    <row r="49" spans="1:2" ht="15" customHeight="1">
      <c r="A49" s="108" t="s">
        <v>2174</v>
      </c>
      <c r="B49" s="23"/>
    </row>
    <row r="50" spans="1:2" ht="15" customHeight="1">
      <c r="A50" s="108" t="s">
        <v>2175</v>
      </c>
      <c r="B50" s="23"/>
    </row>
    <row r="51" spans="1:2" ht="15" customHeight="1">
      <c r="A51" s="108" t="s">
        <v>2176</v>
      </c>
      <c r="B51" s="23"/>
    </row>
    <row r="52" spans="1:2" ht="15" customHeight="1">
      <c r="A52" s="108" t="s">
        <v>2177</v>
      </c>
      <c r="B52" s="23"/>
    </row>
    <row r="53" spans="1:2" ht="15" customHeight="1">
      <c r="A53" s="109" t="s">
        <v>2178</v>
      </c>
      <c r="B53" s="23"/>
    </row>
    <row r="55" spans="1:2" ht="25.5" customHeight="1">
      <c r="A55" s="110" t="s">
        <v>2179</v>
      </c>
      <c r="B55" s="110" t="s">
        <v>2180</v>
      </c>
    </row>
    <row r="56" spans="1:2">
      <c r="A56" s="5" t="s">
        <v>286</v>
      </c>
      <c r="B56" s="5" t="s">
        <v>670</v>
      </c>
    </row>
    <row r="57" spans="1:2" ht="38.25" customHeight="1">
      <c r="A57" s="10" t="s">
        <v>2181</v>
      </c>
      <c r="B57" s="11" t="s">
        <v>2182</v>
      </c>
    </row>
    <row r="58" spans="1:2" ht="38.25" customHeight="1">
      <c r="A58" s="10" t="s">
        <v>2183</v>
      </c>
      <c r="B58" s="11" t="s">
        <v>2184</v>
      </c>
    </row>
    <row r="59" spans="1:2" ht="38.25" customHeight="1">
      <c r="A59" s="9" t="s">
        <v>2185</v>
      </c>
      <c r="B59" s="9" t="s">
        <v>2186</v>
      </c>
    </row>
    <row r="60" spans="1:2" ht="25.5" customHeight="1">
      <c r="A60" s="9" t="s">
        <v>2187</v>
      </c>
      <c r="B60" s="9" t="s">
        <v>2188</v>
      </c>
    </row>
    <row r="61" spans="1:2" ht="25.5" customHeight="1">
      <c r="A61" s="13" t="s">
        <v>2189</v>
      </c>
      <c r="B61" s="13" t="s">
        <v>2190</v>
      </c>
    </row>
    <row r="62" spans="1:2" ht="25.5" customHeight="1">
      <c r="A62" s="13" t="s">
        <v>2191</v>
      </c>
      <c r="B62" s="13" t="s">
        <v>2192</v>
      </c>
    </row>
    <row r="64" spans="1:2" ht="89.25" customHeight="1">
      <c r="A64" s="46" t="s">
        <v>2193</v>
      </c>
      <c r="B64" s="11" t="s">
        <v>2194</v>
      </c>
    </row>
  </sheetData>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2195</v>
      </c>
      <c r="B1" s="112"/>
      <c r="C1" s="113"/>
      <c r="D1" s="113"/>
      <c r="E1" s="113"/>
      <c r="F1" s="113"/>
      <c r="G1" s="113"/>
      <c r="H1" s="113"/>
      <c r="I1" s="113"/>
      <c r="J1" s="113"/>
      <c r="K1" s="113"/>
      <c r="L1" s="113"/>
      <c r="M1" s="113"/>
      <c r="N1" s="113"/>
    </row>
    <row r="2" spans="1:14" ht="15" customHeight="1">
      <c r="A2" s="114" t="s">
        <v>243</v>
      </c>
      <c r="B2" s="115" t="s">
        <v>2196</v>
      </c>
      <c r="C2" s="116"/>
      <c r="D2" s="116"/>
      <c r="E2" s="116"/>
      <c r="F2" s="116"/>
      <c r="G2" s="116"/>
      <c r="H2" s="116"/>
      <c r="I2" s="116"/>
      <c r="J2" s="116"/>
      <c r="K2" s="116"/>
      <c r="L2" s="116"/>
      <c r="M2" s="116"/>
      <c r="N2" s="116"/>
    </row>
    <row r="3" spans="1:14" ht="15" customHeight="1">
      <c r="A3" s="117" t="s">
        <v>2197</v>
      </c>
      <c r="B3" s="118">
        <v>100</v>
      </c>
      <c r="C3" s="116"/>
      <c r="D3" s="116"/>
      <c r="E3" s="116"/>
      <c r="F3" s="116"/>
      <c r="G3" s="116"/>
      <c r="H3" s="116"/>
      <c r="I3" s="116"/>
      <c r="J3" s="116"/>
      <c r="K3" s="116"/>
      <c r="L3" s="116"/>
      <c r="M3" s="116"/>
      <c r="N3" s="116"/>
    </row>
    <row r="4" spans="1:14" ht="15" customHeight="1">
      <c r="A4" s="117" t="s">
        <v>2198</v>
      </c>
      <c r="B4" s="119" t="s">
        <v>2199</v>
      </c>
      <c r="C4" s="116"/>
      <c r="D4" s="116"/>
      <c r="E4" s="116"/>
      <c r="F4" s="116"/>
      <c r="G4" s="116"/>
      <c r="H4" s="116"/>
      <c r="I4" s="116"/>
      <c r="J4" s="116"/>
      <c r="K4" s="116"/>
      <c r="L4" s="116"/>
      <c r="M4" s="116"/>
      <c r="N4" s="116"/>
    </row>
    <row r="5" spans="1:14" ht="15" customHeight="1">
      <c r="A5" s="117" t="s">
        <v>2200</v>
      </c>
      <c r="B5" s="119" t="s">
        <v>2201</v>
      </c>
      <c r="C5" s="116"/>
      <c r="D5" s="116"/>
      <c r="E5" s="116"/>
      <c r="F5" s="116"/>
      <c r="G5" s="116"/>
      <c r="H5" s="116"/>
      <c r="I5" s="116"/>
      <c r="J5" s="116"/>
      <c r="K5" s="116"/>
      <c r="L5" s="116"/>
      <c r="M5" s="116"/>
      <c r="N5" s="116"/>
    </row>
    <row r="6" spans="1:14" ht="15" customHeight="1">
      <c r="A6" s="117" t="s">
        <v>2202</v>
      </c>
      <c r="B6" s="119" t="s">
        <v>2203</v>
      </c>
      <c r="C6" s="116"/>
      <c r="D6" s="116"/>
      <c r="E6" s="116"/>
      <c r="F6" s="116"/>
      <c r="G6" s="116"/>
      <c r="H6" s="116"/>
      <c r="I6" s="116"/>
      <c r="J6" s="116"/>
      <c r="K6" s="116"/>
      <c r="L6" s="116"/>
      <c r="M6" s="116"/>
      <c r="N6" s="116"/>
    </row>
    <row r="7" spans="1:14" ht="15" customHeight="1">
      <c r="A7" s="117" t="s">
        <v>2204</v>
      </c>
      <c r="B7" s="119" t="s">
        <v>2205</v>
      </c>
      <c r="C7" s="116"/>
      <c r="D7" s="116"/>
      <c r="E7" s="116"/>
      <c r="F7" s="116"/>
      <c r="G7" s="116"/>
      <c r="H7" s="116"/>
      <c r="I7" s="116"/>
      <c r="J7" s="116"/>
      <c r="K7" s="116"/>
      <c r="L7" s="116"/>
      <c r="M7" s="116"/>
      <c r="N7" s="116"/>
    </row>
    <row r="8" spans="1:14" ht="15" customHeight="1">
      <c r="A8" s="117" t="s">
        <v>2206</v>
      </c>
      <c r="B8" s="119" t="s">
        <v>2207</v>
      </c>
      <c r="C8" s="116"/>
      <c r="D8" s="116"/>
      <c r="E8" s="116"/>
      <c r="F8" s="116"/>
      <c r="G8" s="116"/>
      <c r="H8" s="116"/>
      <c r="I8" s="116"/>
      <c r="J8" s="116"/>
      <c r="K8" s="116"/>
      <c r="L8" s="116"/>
      <c r="M8" s="116"/>
      <c r="N8" s="116"/>
    </row>
    <row r="9" spans="1:14" ht="15" customHeight="1">
      <c r="A9" s="117" t="s">
        <v>2208</v>
      </c>
      <c r="B9" s="119" t="s">
        <v>2209</v>
      </c>
      <c r="C9" s="116"/>
      <c r="D9" s="116"/>
      <c r="E9" s="116"/>
      <c r="F9" s="116"/>
      <c r="G9" s="116"/>
      <c r="H9" s="116"/>
      <c r="I9" s="116"/>
      <c r="J9" s="116"/>
      <c r="K9" s="116"/>
      <c r="L9" s="116"/>
      <c r="M9" s="116"/>
      <c r="N9" s="116"/>
    </row>
    <row r="10" spans="1:14" ht="15" customHeight="1">
      <c r="A10" s="117" t="s">
        <v>2210</v>
      </c>
      <c r="B10" s="119" t="s">
        <v>2211</v>
      </c>
      <c r="C10" s="116"/>
      <c r="D10" s="116"/>
      <c r="E10" s="116"/>
      <c r="F10" s="116"/>
      <c r="G10" s="116"/>
      <c r="H10" s="116"/>
      <c r="I10" s="116"/>
      <c r="J10" s="116"/>
      <c r="K10" s="116"/>
      <c r="L10" s="116"/>
      <c r="M10" s="116"/>
      <c r="N10" s="116"/>
    </row>
    <row r="11" spans="1:14" ht="15" customHeight="1">
      <c r="A11" s="117" t="s">
        <v>2212</v>
      </c>
      <c r="B11" s="119" t="s">
        <v>2213</v>
      </c>
      <c r="C11" s="116"/>
      <c r="D11" s="116"/>
      <c r="E11" s="116"/>
      <c r="F11" s="116"/>
      <c r="G11" s="116"/>
      <c r="H11" s="116"/>
      <c r="I11" s="116"/>
      <c r="J11" s="116"/>
      <c r="K11" s="116"/>
      <c r="L11" s="116"/>
      <c r="M11" s="116"/>
      <c r="N11" s="116"/>
    </row>
    <row r="12" spans="1:14" ht="15" customHeight="1">
      <c r="A12" s="120" t="s">
        <v>2214</v>
      </c>
      <c r="B12" s="121" t="s">
        <v>2215</v>
      </c>
      <c r="C12" s="116"/>
      <c r="D12" s="116"/>
      <c r="E12" s="116"/>
      <c r="F12" s="116"/>
      <c r="G12" s="116"/>
      <c r="H12" s="116"/>
      <c r="I12" s="116"/>
      <c r="J12" s="116"/>
      <c r="K12" s="116"/>
      <c r="L12" s="116"/>
      <c r="M12" s="116"/>
      <c r="N12" s="116"/>
    </row>
    <row r="13" spans="1:14" ht="26.25" customHeight="1">
      <c r="A13" s="122" t="s">
        <v>2216</v>
      </c>
      <c r="B13" s="69"/>
      <c r="C13" s="116"/>
      <c r="D13" s="116"/>
      <c r="E13" s="116"/>
      <c r="F13" s="116"/>
      <c r="G13" s="116"/>
      <c r="H13" s="116"/>
      <c r="I13" s="116"/>
      <c r="J13" s="116"/>
      <c r="K13" s="116"/>
      <c r="L13" s="116"/>
      <c r="M13" s="116"/>
      <c r="N13" s="116"/>
    </row>
    <row r="14" spans="1:14" ht="15.75" customHeight="1">
      <c r="A14" s="123" t="s">
        <v>2217</v>
      </c>
      <c r="B14" s="112"/>
      <c r="C14" s="116"/>
      <c r="D14" s="116"/>
      <c r="E14" s="116"/>
      <c r="F14" s="116"/>
      <c r="G14" s="116"/>
      <c r="H14" s="116"/>
      <c r="I14" s="116"/>
      <c r="J14" s="116"/>
      <c r="K14" s="116"/>
      <c r="L14" s="116"/>
      <c r="M14" s="116"/>
      <c r="N14" s="116"/>
    </row>
    <row r="15" spans="1:14" ht="25.5" customHeight="1">
      <c r="A15" s="124" t="s">
        <v>2218</v>
      </c>
      <c r="B15" s="125" t="s">
        <v>2219</v>
      </c>
      <c r="C15" s="116"/>
      <c r="D15" s="116"/>
      <c r="E15" s="116"/>
      <c r="F15" s="116"/>
      <c r="G15" s="116"/>
      <c r="H15" s="116"/>
      <c r="I15" s="116"/>
      <c r="J15" s="116"/>
      <c r="K15" s="116"/>
      <c r="L15" s="116"/>
      <c r="M15" s="116"/>
      <c r="N15" s="116"/>
    </row>
    <row r="16" spans="1:14" ht="38.25" customHeight="1">
      <c r="A16" s="126" t="s">
        <v>2220</v>
      </c>
      <c r="B16" s="127" t="s">
        <v>2221</v>
      </c>
      <c r="C16" s="116"/>
      <c r="D16" s="116"/>
      <c r="E16" s="116"/>
      <c r="F16" s="116"/>
      <c r="G16" s="116"/>
      <c r="H16" s="116"/>
      <c r="I16" s="116"/>
      <c r="J16" s="116"/>
      <c r="K16" s="116"/>
      <c r="L16" s="116"/>
      <c r="M16" s="116"/>
      <c r="N16" s="116"/>
    </row>
    <row r="17" spans="1:14" ht="27" customHeight="1">
      <c r="A17" s="109" t="s">
        <v>2222</v>
      </c>
      <c r="B17" s="127" t="s">
        <v>2223</v>
      </c>
      <c r="C17" s="116"/>
      <c r="D17" s="116"/>
      <c r="E17" s="116"/>
      <c r="F17" s="116"/>
      <c r="G17" s="116"/>
      <c r="H17" s="116"/>
      <c r="I17" s="116"/>
      <c r="J17" s="116"/>
      <c r="K17" s="116"/>
      <c r="L17" s="116"/>
      <c r="M17" s="116"/>
      <c r="N17" s="116"/>
    </row>
    <row r="18" spans="1:14" ht="38.25" customHeight="1">
      <c r="A18" s="109" t="s">
        <v>2224</v>
      </c>
      <c r="B18" s="127" t="s">
        <v>2225</v>
      </c>
      <c r="C18" s="116"/>
      <c r="D18" s="116"/>
      <c r="E18" s="116"/>
      <c r="F18" s="116"/>
      <c r="G18" s="116"/>
      <c r="H18" s="116"/>
      <c r="I18" s="116"/>
      <c r="J18" s="116"/>
      <c r="K18" s="116"/>
      <c r="L18" s="116"/>
      <c r="M18" s="116"/>
      <c r="N18" s="116"/>
    </row>
    <row r="19" spans="1:14" ht="38.25" customHeight="1">
      <c r="A19" s="108" t="s">
        <v>2226</v>
      </c>
      <c r="B19" s="127" t="s">
        <v>2227</v>
      </c>
      <c r="C19" s="116"/>
      <c r="D19" s="116"/>
      <c r="E19" s="116"/>
      <c r="F19" s="116"/>
      <c r="G19" s="116"/>
      <c r="H19" s="116"/>
      <c r="I19" s="116"/>
      <c r="J19" s="116"/>
      <c r="K19" s="116"/>
      <c r="L19" s="116"/>
      <c r="M19" s="116"/>
      <c r="N19" s="116"/>
    </row>
    <row r="20" spans="1:14" ht="15" customHeight="1">
      <c r="A20" s="128" t="s">
        <v>2228</v>
      </c>
      <c r="B20" s="127" t="s">
        <v>2229</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2230</v>
      </c>
      <c r="B22" s="112"/>
      <c r="C22" s="116"/>
      <c r="D22" s="116"/>
      <c r="E22" s="116"/>
      <c r="F22" s="116"/>
      <c r="G22" s="116"/>
      <c r="H22" s="116"/>
      <c r="I22" s="116"/>
      <c r="J22" s="116"/>
      <c r="K22" s="116"/>
      <c r="L22" s="116"/>
      <c r="M22" s="116"/>
      <c r="N22" s="116"/>
    </row>
    <row r="23" spans="1:14" ht="15" customHeight="1">
      <c r="A23" s="128" t="s">
        <v>2</v>
      </c>
      <c r="B23" s="127" t="s">
        <v>2231</v>
      </c>
      <c r="C23" s="116"/>
      <c r="D23" s="116"/>
      <c r="E23" s="116"/>
      <c r="F23" s="116"/>
      <c r="G23" s="116"/>
      <c r="H23" s="116"/>
      <c r="I23" s="116"/>
      <c r="J23" s="116"/>
      <c r="K23" s="116"/>
      <c r="L23" s="116"/>
      <c r="M23" s="116"/>
      <c r="N23" s="116"/>
    </row>
    <row r="24" spans="1:14" ht="15" customHeight="1">
      <c r="A24" s="128" t="s">
        <v>4</v>
      </c>
      <c r="B24" s="127" t="s">
        <v>2232</v>
      </c>
      <c r="C24" s="116"/>
      <c r="D24" s="116"/>
      <c r="E24" s="116"/>
      <c r="F24" s="116"/>
      <c r="G24" s="116"/>
      <c r="H24" s="116"/>
      <c r="I24" s="116"/>
      <c r="J24" s="116"/>
      <c r="K24" s="116"/>
      <c r="L24" s="116"/>
      <c r="M24" s="116"/>
      <c r="N24" s="116"/>
    </row>
    <row r="25" spans="1:14" ht="23.25" customHeight="1">
      <c r="A25" s="128" t="s">
        <v>6</v>
      </c>
      <c r="B25" s="127" t="s">
        <v>2233</v>
      </c>
      <c r="C25" s="116"/>
      <c r="D25" s="116"/>
      <c r="E25" s="116"/>
      <c r="F25" s="116"/>
      <c r="G25" s="116"/>
      <c r="H25" s="116"/>
      <c r="I25" s="116"/>
      <c r="J25" s="116"/>
      <c r="K25" s="116"/>
      <c r="L25" s="116"/>
      <c r="M25" s="116"/>
      <c r="N25" s="116"/>
    </row>
    <row r="26" spans="1:14" ht="15" customHeight="1">
      <c r="A26" s="128" t="s">
        <v>1937</v>
      </c>
      <c r="B26" s="127" t="s">
        <v>2234</v>
      </c>
      <c r="C26" s="116"/>
      <c r="D26" s="116"/>
      <c r="E26" s="116"/>
      <c r="F26" s="116"/>
      <c r="G26" s="116"/>
      <c r="H26" s="116"/>
      <c r="I26" s="116"/>
      <c r="J26" s="116"/>
      <c r="K26" s="116"/>
      <c r="L26" s="116"/>
      <c r="M26" s="116"/>
      <c r="N26" s="116"/>
    </row>
    <row r="27" spans="1:14" ht="15" customHeight="1">
      <c r="A27" s="128" t="s">
        <v>10</v>
      </c>
      <c r="B27" s="127" t="s">
        <v>2235</v>
      </c>
      <c r="C27" s="116"/>
      <c r="D27" s="116"/>
      <c r="E27" s="116"/>
      <c r="F27" s="116"/>
      <c r="G27" s="116"/>
      <c r="H27" s="116"/>
      <c r="I27" s="116"/>
      <c r="J27" s="116"/>
      <c r="K27" s="116"/>
      <c r="L27" s="116"/>
      <c r="M27" s="116"/>
      <c r="N27" s="116"/>
    </row>
    <row r="28" spans="1:14" ht="15" customHeight="1">
      <c r="A28" s="128" t="s">
        <v>12</v>
      </c>
      <c r="B28" s="127" t="s">
        <v>2236</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2237</v>
      </c>
      <c r="B30" s="130"/>
    </row>
    <row r="31" spans="1:14" ht="15" customHeight="1">
      <c r="A31" s="130" t="s">
        <v>2238</v>
      </c>
      <c r="B31" s="130" t="s">
        <v>2239</v>
      </c>
    </row>
    <row r="32" spans="1:14" ht="15" customHeight="1">
      <c r="A32" s="130" t="s">
        <v>2240</v>
      </c>
      <c r="B32" s="130" t="s">
        <v>2241</v>
      </c>
    </row>
    <row r="33" spans="1:14" ht="25.5" customHeight="1">
      <c r="A33" s="130" t="s">
        <v>2242</v>
      </c>
      <c r="B33" s="130" t="s">
        <v>2243</v>
      </c>
    </row>
    <row r="34" spans="1:14" ht="15" customHeight="1">
      <c r="A34" s="130" t="s">
        <v>2244</v>
      </c>
      <c r="B34" s="130" t="s">
        <v>2245</v>
      </c>
    </row>
    <row r="35" spans="1:14" ht="15" customHeight="1">
      <c r="A35" s="130" t="s">
        <v>2246</v>
      </c>
      <c r="B35" s="130" t="s">
        <v>2247</v>
      </c>
    </row>
    <row r="36" spans="1:14" ht="15" customHeight="1"/>
    <row r="37" spans="1:14" ht="23.25" customHeight="1">
      <c r="A37" s="131" t="s">
        <v>2248</v>
      </c>
      <c r="B37" s="132"/>
      <c r="C37" s="116"/>
      <c r="D37" s="116"/>
      <c r="E37" s="116"/>
      <c r="F37" s="116"/>
      <c r="G37" s="116"/>
      <c r="H37" s="116"/>
      <c r="I37" s="116"/>
      <c r="J37" s="116"/>
      <c r="K37" s="116"/>
      <c r="L37" s="116"/>
      <c r="M37" s="116"/>
      <c r="N37" s="116"/>
    </row>
    <row r="38" spans="1:14" ht="15" customHeight="1">
      <c r="A38" s="128" t="s">
        <v>2249</v>
      </c>
      <c r="B38" s="127" t="s">
        <v>2250</v>
      </c>
      <c r="C38" s="116"/>
      <c r="D38" s="116"/>
      <c r="E38" s="116"/>
      <c r="F38" s="116"/>
      <c r="G38" s="116"/>
      <c r="H38" s="116"/>
      <c r="I38" s="116"/>
      <c r="J38" s="116"/>
      <c r="K38" s="116"/>
      <c r="L38" s="116"/>
      <c r="M38" s="116"/>
      <c r="N38" s="116"/>
    </row>
    <row r="39" spans="1:14" ht="15" customHeight="1">
      <c r="A39" s="128" t="s">
        <v>2251</v>
      </c>
      <c r="B39" s="127" t="s">
        <v>2252</v>
      </c>
      <c r="C39" s="116"/>
      <c r="D39" s="116"/>
      <c r="E39" s="116"/>
      <c r="F39" s="116"/>
      <c r="G39" s="116"/>
      <c r="H39" s="116"/>
      <c r="I39" s="116"/>
      <c r="J39" s="116"/>
      <c r="K39" s="116"/>
      <c r="L39" s="116"/>
      <c r="M39" s="116"/>
      <c r="N39" s="116"/>
    </row>
    <row r="40" spans="1:14" ht="31.5" customHeight="1">
      <c r="A40" s="128" t="s">
        <v>2253</v>
      </c>
      <c r="B40" s="127" t="s">
        <v>2254</v>
      </c>
      <c r="C40" s="116"/>
      <c r="D40" s="116"/>
      <c r="E40" s="116"/>
      <c r="F40" s="116"/>
      <c r="G40" s="116"/>
      <c r="H40" s="116"/>
      <c r="I40" s="116"/>
      <c r="J40" s="116"/>
      <c r="K40" s="116"/>
      <c r="L40" s="116"/>
      <c r="M40" s="116"/>
      <c r="N40" s="116"/>
    </row>
    <row r="41" spans="1:14" ht="23.25" customHeight="1">
      <c r="A41" s="128" t="s">
        <v>2255</v>
      </c>
      <c r="B41" s="127" t="s">
        <v>2256</v>
      </c>
      <c r="C41" s="116"/>
      <c r="D41" s="116"/>
      <c r="E41" s="116"/>
      <c r="F41" s="116"/>
      <c r="G41" s="116"/>
      <c r="H41" s="116"/>
      <c r="I41" s="116"/>
      <c r="J41" s="116"/>
      <c r="K41" s="116"/>
      <c r="L41" s="116"/>
      <c r="M41" s="116"/>
      <c r="N41" s="116"/>
    </row>
    <row r="42" spans="1:14" ht="15" customHeight="1">
      <c r="A42" s="128" t="s">
        <v>2257</v>
      </c>
      <c r="B42" s="127" t="s">
        <v>2258</v>
      </c>
      <c r="C42" s="116"/>
      <c r="D42" s="116"/>
      <c r="E42" s="116"/>
      <c r="F42" s="116"/>
      <c r="G42" s="116"/>
      <c r="H42" s="116"/>
      <c r="I42" s="116"/>
      <c r="J42" s="116"/>
      <c r="K42" s="116"/>
      <c r="L42" s="116"/>
      <c r="M42" s="116"/>
      <c r="N42" s="116"/>
    </row>
    <row r="43" spans="1:14" ht="25.5" customHeight="1">
      <c r="A43" s="128" t="s">
        <v>2259</v>
      </c>
      <c r="B43" s="127" t="s">
        <v>2260</v>
      </c>
      <c r="C43" s="116"/>
      <c r="D43" s="116"/>
      <c r="E43" s="116"/>
      <c r="F43" s="116"/>
      <c r="G43" s="116"/>
      <c r="H43" s="116"/>
      <c r="I43" s="116"/>
      <c r="J43" s="116"/>
      <c r="K43" s="116"/>
      <c r="L43" s="116"/>
      <c r="M43" s="116"/>
      <c r="N43" s="116"/>
    </row>
    <row r="44" spans="1:14" ht="27" customHeight="1">
      <c r="A44" s="128" t="s">
        <v>2261</v>
      </c>
      <c r="B44" s="127" t="s">
        <v>2262</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2263</v>
      </c>
      <c r="B47" s="69"/>
      <c r="C47" s="116"/>
      <c r="D47" s="116"/>
      <c r="E47" s="116"/>
      <c r="F47" s="116"/>
      <c r="G47" s="116"/>
      <c r="H47" s="116"/>
      <c r="I47" s="116"/>
      <c r="J47" s="116"/>
      <c r="K47" s="116"/>
      <c r="L47" s="116"/>
      <c r="M47" s="116"/>
      <c r="N47" s="116"/>
    </row>
    <row r="48" spans="1:14" ht="23.25" customHeight="1">
      <c r="A48" s="133" t="s">
        <v>2264</v>
      </c>
      <c r="B48" s="134" t="s">
        <v>2265</v>
      </c>
      <c r="C48" s="116"/>
      <c r="D48" s="116"/>
      <c r="E48" s="116"/>
      <c r="F48" s="116"/>
      <c r="G48" s="116"/>
      <c r="H48" s="116"/>
      <c r="I48" s="116"/>
      <c r="J48" s="116"/>
      <c r="K48" s="116"/>
      <c r="L48" s="116"/>
      <c r="M48" s="116"/>
      <c r="N48" s="116"/>
    </row>
    <row r="49" spans="1:14" ht="23.25" customHeight="1">
      <c r="A49" s="117" t="s">
        <v>2264</v>
      </c>
      <c r="B49" s="119" t="s">
        <v>2266</v>
      </c>
      <c r="C49" s="116"/>
      <c r="D49" s="116"/>
      <c r="E49" s="116"/>
      <c r="F49" s="116"/>
      <c r="G49" s="116"/>
      <c r="H49" s="116"/>
      <c r="I49" s="116"/>
      <c r="J49" s="116"/>
      <c r="K49" s="116"/>
      <c r="L49" s="116"/>
      <c r="M49" s="116"/>
      <c r="N49" s="116"/>
    </row>
    <row r="50" spans="1:14" ht="15" customHeight="1">
      <c r="A50" s="117" t="s">
        <v>2267</v>
      </c>
      <c r="B50" s="119" t="s">
        <v>2268</v>
      </c>
      <c r="C50" s="116"/>
      <c r="D50" s="116"/>
      <c r="E50" s="116"/>
      <c r="F50" s="116"/>
      <c r="G50" s="116"/>
      <c r="H50" s="116"/>
      <c r="I50" s="116"/>
      <c r="J50" s="116"/>
      <c r="K50" s="116"/>
      <c r="L50" s="116"/>
      <c r="M50" s="116"/>
      <c r="N50" s="116"/>
    </row>
    <row r="51" spans="1:14" ht="23.25" customHeight="1">
      <c r="A51" s="117" t="s">
        <v>2269</v>
      </c>
      <c r="B51" s="119" t="s">
        <v>2270</v>
      </c>
      <c r="C51" s="116"/>
      <c r="D51" s="116"/>
      <c r="E51" s="116"/>
      <c r="F51" s="116"/>
      <c r="G51" s="116"/>
      <c r="H51" s="116"/>
      <c r="I51" s="116"/>
      <c r="J51" s="116"/>
      <c r="K51" s="116"/>
      <c r="L51" s="116"/>
      <c r="M51" s="116"/>
      <c r="N51" s="116"/>
    </row>
    <row r="52" spans="1:14" ht="15" customHeight="1">
      <c r="A52" s="117" t="s">
        <v>2271</v>
      </c>
      <c r="B52" s="119" t="s">
        <v>2272</v>
      </c>
      <c r="C52" s="116"/>
      <c r="D52" s="116"/>
      <c r="E52" s="116"/>
      <c r="F52" s="116"/>
      <c r="G52" s="116"/>
      <c r="H52" s="116"/>
      <c r="I52" s="116"/>
      <c r="J52" s="116"/>
      <c r="K52" s="116"/>
      <c r="L52" s="116"/>
      <c r="M52" s="116"/>
      <c r="N52" s="116"/>
    </row>
    <row r="53" spans="1:14" ht="15" customHeight="1">
      <c r="A53" s="117" t="s">
        <v>2273</v>
      </c>
      <c r="B53" s="119" t="s">
        <v>2274</v>
      </c>
      <c r="C53" s="116"/>
      <c r="D53" s="116"/>
      <c r="E53" s="116"/>
      <c r="F53" s="116"/>
      <c r="G53" s="116"/>
      <c r="H53" s="116"/>
      <c r="I53" s="116"/>
      <c r="J53" s="116"/>
      <c r="K53" s="116"/>
      <c r="L53" s="116"/>
      <c r="M53" s="116"/>
      <c r="N53" s="116"/>
    </row>
    <row r="54" spans="1:14" ht="15" customHeight="1">
      <c r="A54" s="117" t="s">
        <v>2275</v>
      </c>
      <c r="B54" s="119" t="s">
        <v>2276</v>
      </c>
      <c r="C54" s="116"/>
      <c r="D54" s="116"/>
      <c r="E54" s="116"/>
      <c r="F54" s="116"/>
      <c r="G54" s="116"/>
      <c r="H54" s="116"/>
      <c r="I54" s="116"/>
      <c r="J54" s="116"/>
      <c r="K54" s="116"/>
      <c r="L54" s="116"/>
      <c r="M54" s="116"/>
      <c r="N54" s="116"/>
    </row>
    <row r="55" spans="1:14" ht="23.25" customHeight="1">
      <c r="A55" s="117" t="s">
        <v>2277</v>
      </c>
      <c r="B55" s="119" t="s">
        <v>2278</v>
      </c>
      <c r="C55" s="116"/>
      <c r="D55" s="116"/>
      <c r="E55" s="116"/>
      <c r="F55" s="116"/>
      <c r="G55" s="116"/>
      <c r="H55" s="116"/>
      <c r="I55" s="116"/>
      <c r="J55" s="116"/>
      <c r="K55" s="116"/>
      <c r="L55" s="116"/>
      <c r="M55" s="116"/>
      <c r="N55" s="116"/>
    </row>
    <row r="56" spans="1:14" ht="23.25" customHeight="1">
      <c r="A56" s="117" t="s">
        <v>2279</v>
      </c>
      <c r="B56" s="119" t="s">
        <v>2280</v>
      </c>
      <c r="C56" s="116"/>
      <c r="D56" s="116"/>
      <c r="E56" s="116"/>
      <c r="F56" s="116"/>
      <c r="G56" s="116"/>
      <c r="H56" s="116"/>
      <c r="I56" s="116"/>
      <c r="J56" s="116"/>
      <c r="K56" s="116"/>
      <c r="L56" s="116"/>
      <c r="M56" s="116"/>
      <c r="N56" s="116"/>
    </row>
    <row r="57" spans="1:14" ht="15" customHeight="1">
      <c r="A57" s="120" t="s">
        <v>2281</v>
      </c>
      <c r="B57" s="121" t="s">
        <v>2282</v>
      </c>
      <c r="C57" s="116"/>
      <c r="D57" s="116"/>
      <c r="E57" s="116"/>
      <c r="F57" s="116"/>
      <c r="G57" s="116"/>
      <c r="H57" s="116"/>
      <c r="I57" s="116"/>
      <c r="J57" s="116"/>
      <c r="K57" s="116"/>
      <c r="L57" s="116"/>
      <c r="M57" s="116"/>
      <c r="N57" s="116"/>
    </row>
    <row r="59" spans="1:14" ht="15" customHeight="1">
      <c r="A59" s="17" t="s">
        <v>2283</v>
      </c>
      <c r="B59" s="135"/>
    </row>
    <row r="60" spans="1:14" ht="15" customHeight="1">
      <c r="A60" s="6" t="s">
        <v>2284</v>
      </c>
      <c r="B60" s="7" t="s">
        <v>2285</v>
      </c>
    </row>
    <row r="61" spans="1:14" ht="15" customHeight="1">
      <c r="A61" s="8" t="s">
        <v>2286</v>
      </c>
      <c r="B61" s="9" t="s">
        <v>2287</v>
      </c>
    </row>
    <row r="62" spans="1:14" ht="15" customHeight="1">
      <c r="A62" s="6" t="s">
        <v>2288</v>
      </c>
      <c r="B62" s="7" t="s">
        <v>2289</v>
      </c>
    </row>
    <row r="63" spans="1:14" ht="15" customHeight="1">
      <c r="A63" s="8" t="s">
        <v>2290</v>
      </c>
      <c r="B63" s="9" t="s">
        <v>2291</v>
      </c>
    </row>
    <row r="64" spans="1:14" ht="15" customHeight="1">
      <c r="A64" s="6" t="s">
        <v>2292</v>
      </c>
      <c r="B64" s="7" t="s">
        <v>2293</v>
      </c>
    </row>
    <row r="65" spans="1:2" ht="15" customHeight="1">
      <c r="A65" s="8" t="s">
        <v>2294</v>
      </c>
      <c r="B65" s="9" t="s">
        <v>2295</v>
      </c>
    </row>
    <row r="66" spans="1:2" ht="15" customHeight="1">
      <c r="A66" s="17" t="s">
        <v>2296</v>
      </c>
      <c r="B66" s="135"/>
    </row>
    <row r="67" spans="1:2" ht="15" customHeight="1">
      <c r="A67" s="6" t="s">
        <v>2297</v>
      </c>
      <c r="B67" s="7" t="s">
        <v>2298</v>
      </c>
    </row>
    <row r="68" spans="1:2" ht="15" customHeight="1">
      <c r="A68" s="8" t="s">
        <v>2299</v>
      </c>
      <c r="B68" s="9" t="s">
        <v>2300</v>
      </c>
    </row>
    <row r="69" spans="1:2" ht="15" customHeight="1">
      <c r="A69" s="6" t="s">
        <v>2301</v>
      </c>
      <c r="B69" s="7" t="s">
        <v>2302</v>
      </c>
    </row>
    <row r="70" spans="1:2" ht="15" customHeight="1">
      <c r="A70" s="8" t="s">
        <v>2303</v>
      </c>
      <c r="B70" s="9" t="s">
        <v>2304</v>
      </c>
    </row>
    <row r="71" spans="1:2" ht="15" customHeight="1">
      <c r="A71" s="6" t="s">
        <v>2305</v>
      </c>
      <c r="B71" s="7" t="s">
        <v>2306</v>
      </c>
    </row>
    <row r="72" spans="1:2" ht="15" customHeight="1">
      <c r="A72" s="8" t="s">
        <v>2307</v>
      </c>
      <c r="B72" s="9" t="s">
        <v>2308</v>
      </c>
    </row>
    <row r="73" spans="1:2" ht="15" customHeight="1">
      <c r="A73" s="6" t="s">
        <v>2309</v>
      </c>
      <c r="B73" s="7" t="s">
        <v>2310</v>
      </c>
    </row>
    <row r="74" spans="1:2" ht="15" customHeight="1">
      <c r="A74" s="8" t="s">
        <v>2311</v>
      </c>
      <c r="B74" s="9" t="s">
        <v>2312</v>
      </c>
    </row>
    <row r="75" spans="1:2" ht="15" customHeight="1">
      <c r="A75" s="6" t="s">
        <v>2313</v>
      </c>
      <c r="B75" s="7" t="s">
        <v>2314</v>
      </c>
    </row>
  </sheetData>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2315</v>
      </c>
    </row>
    <row r="2" spans="1:1" ht="23.25" customHeight="1">
      <c r="A2" s="86" t="s">
        <v>2316</v>
      </c>
    </row>
    <row r="3" spans="1:1" ht="19.5" customHeight="1">
      <c r="A3" s="69"/>
    </row>
    <row r="4" spans="1:1" ht="19.5" customHeight="1">
      <c r="A4" s="138" t="s">
        <v>2317</v>
      </c>
    </row>
    <row r="5" spans="1:1" ht="19.5" customHeight="1">
      <c r="A5" s="69"/>
    </row>
    <row r="6" spans="1:1" ht="19.5" customHeight="1">
      <c r="A6" s="139" t="s">
        <v>2318</v>
      </c>
    </row>
    <row r="7" spans="1:1" ht="19.5" customHeight="1">
      <c r="A7" s="69" t="s">
        <v>2151</v>
      </c>
    </row>
    <row r="8" spans="1:1" ht="19.5" customHeight="1">
      <c r="A8" s="140" t="s">
        <v>2319</v>
      </c>
    </row>
    <row r="9" spans="1:1" ht="19.5" customHeight="1">
      <c r="A9" s="69" t="s">
        <v>2320</v>
      </c>
    </row>
    <row r="10" spans="1:1" ht="19.5" customHeight="1">
      <c r="A10" s="69" t="s">
        <v>2321</v>
      </c>
    </row>
    <row r="11" spans="1:1" ht="19.5" customHeight="1">
      <c r="A11" s="69" t="s">
        <v>2322</v>
      </c>
    </row>
    <row r="12" spans="1:1" ht="19.5" customHeight="1">
      <c r="A12" s="69" t="s">
        <v>2151</v>
      </c>
    </row>
    <row r="13" spans="1:1" ht="19.5" customHeight="1">
      <c r="A13" s="140" t="s">
        <v>2323</v>
      </c>
    </row>
    <row r="14" spans="1:1" ht="19.5" customHeight="1">
      <c r="A14" s="69" t="s">
        <v>2324</v>
      </c>
    </row>
    <row r="15" spans="1:1" ht="19.5" customHeight="1">
      <c r="A15" s="69" t="s">
        <v>2325</v>
      </c>
    </row>
    <row r="16" spans="1:1" ht="19.5" customHeight="1">
      <c r="A16" s="69" t="s">
        <v>2326</v>
      </c>
    </row>
    <row r="17" spans="1:1" ht="19.5" customHeight="1">
      <c r="A17" s="69" t="s">
        <v>2327</v>
      </c>
    </row>
    <row r="18" spans="1:1" ht="19.5" customHeight="1">
      <c r="A18" s="69" t="s">
        <v>2151</v>
      </c>
    </row>
    <row r="19" spans="1:1" ht="19.5" customHeight="1">
      <c r="A19" s="140" t="s">
        <v>2328</v>
      </c>
    </row>
    <row r="20" spans="1:1" ht="19.5" customHeight="1">
      <c r="A20" s="69" t="s">
        <v>2329</v>
      </c>
    </row>
    <row r="21" spans="1:1" ht="19.5" customHeight="1">
      <c r="A21" s="69" t="s">
        <v>2330</v>
      </c>
    </row>
    <row r="22" spans="1:1" ht="19.5" customHeight="1">
      <c r="A22" s="69" t="s">
        <v>2331</v>
      </c>
    </row>
    <row r="23" spans="1:1" ht="19.5" customHeight="1">
      <c r="A23" s="69" t="s">
        <v>2332</v>
      </c>
    </row>
    <row r="24" spans="1:1" ht="19.5" customHeight="1">
      <c r="A24" s="69" t="s">
        <v>2151</v>
      </c>
    </row>
    <row r="25" spans="1:1" ht="19.5" customHeight="1">
      <c r="A25" s="140" t="s">
        <v>2333</v>
      </c>
    </row>
    <row r="26" spans="1:1" ht="19.5" customHeight="1">
      <c r="A26" s="69" t="s">
        <v>2334</v>
      </c>
    </row>
    <row r="27" spans="1:1" ht="19.5" customHeight="1">
      <c r="A27" s="69" t="s">
        <v>2335</v>
      </c>
    </row>
    <row r="28" spans="1:1" ht="19.5" customHeight="1">
      <c r="A28" s="69" t="s">
        <v>2151</v>
      </c>
    </row>
    <row r="29" spans="1:1" ht="19.5" customHeight="1">
      <c r="A29" s="140" t="s">
        <v>2336</v>
      </c>
    </row>
    <row r="30" spans="1:1" ht="19.5" customHeight="1">
      <c r="A30" s="69" t="s">
        <v>2337</v>
      </c>
    </row>
    <row r="31" spans="1:1" ht="19.5" customHeight="1">
      <c r="A31" s="69" t="s">
        <v>2338</v>
      </c>
    </row>
    <row r="32" spans="1:1" ht="19.5" customHeight="1">
      <c r="A32" s="69" t="s">
        <v>2339</v>
      </c>
    </row>
    <row r="33" spans="1:1" ht="19.5" customHeight="1">
      <c r="A33" s="69" t="s">
        <v>2151</v>
      </c>
    </row>
    <row r="34" spans="1:1" ht="19.5" customHeight="1">
      <c r="A34" s="139" t="s">
        <v>2340</v>
      </c>
    </row>
    <row r="35" spans="1:1" ht="19.5" customHeight="1">
      <c r="A35" s="69" t="s">
        <v>2151</v>
      </c>
    </row>
    <row r="36" spans="1:1" ht="19.5" customHeight="1">
      <c r="A36" s="140" t="s">
        <v>2341</v>
      </c>
    </row>
    <row r="37" spans="1:1" ht="19.5" customHeight="1">
      <c r="A37" s="69" t="s">
        <v>2342</v>
      </c>
    </row>
    <row r="38" spans="1:1" ht="19.5" customHeight="1">
      <c r="A38" s="69" t="s">
        <v>2343</v>
      </c>
    </row>
    <row r="39" spans="1:1" ht="19.5" customHeight="1">
      <c r="A39" s="69" t="s">
        <v>2344</v>
      </c>
    </row>
    <row r="40" spans="1:1" ht="19.5" customHeight="1">
      <c r="A40" s="69" t="s">
        <v>2151</v>
      </c>
    </row>
    <row r="41" spans="1:1" ht="19.5" customHeight="1">
      <c r="A41" s="140" t="s">
        <v>2345</v>
      </c>
    </row>
    <row r="42" spans="1:1" ht="19.5" customHeight="1">
      <c r="A42" s="69" t="s">
        <v>2346</v>
      </c>
    </row>
    <row r="43" spans="1:1" ht="19.5" customHeight="1">
      <c r="A43" s="69" t="s">
        <v>2347</v>
      </c>
    </row>
    <row r="44" spans="1:1" ht="19.5" customHeight="1">
      <c r="A44" s="69" t="s">
        <v>2151</v>
      </c>
    </row>
    <row r="45" spans="1:1" ht="19.5" customHeight="1">
      <c r="A45" s="140" t="s">
        <v>2348</v>
      </c>
    </row>
    <row r="46" spans="1:1" ht="19.5" customHeight="1">
      <c r="A46" s="69" t="s">
        <v>2349</v>
      </c>
    </row>
    <row r="47" spans="1:1" ht="19.5" customHeight="1">
      <c r="A47" s="69" t="s">
        <v>2350</v>
      </c>
    </row>
    <row r="48" spans="1:1" ht="15" customHeight="1">
      <c r="A48" s="69" t="s">
        <v>2351</v>
      </c>
    </row>
    <row r="49" spans="1:1" ht="23.25" customHeight="1">
      <c r="A49" s="69" t="s">
        <v>2352</v>
      </c>
    </row>
    <row r="50" spans="1:1" ht="15" customHeight="1">
      <c r="A50" s="69" t="s">
        <v>2353</v>
      </c>
    </row>
    <row r="51" spans="1:1" ht="15" customHeight="1">
      <c r="A51" s="69" t="s">
        <v>2151</v>
      </c>
    </row>
    <row r="52" spans="1:1" ht="26.25" customHeight="1">
      <c r="A52" s="139" t="s">
        <v>2354</v>
      </c>
    </row>
    <row r="53" spans="1:1" ht="15" customHeight="1">
      <c r="A53" s="69" t="s">
        <v>2151</v>
      </c>
    </row>
    <row r="54" spans="1:1" ht="15" customHeight="1">
      <c r="A54" s="138" t="s">
        <v>2355</v>
      </c>
    </row>
    <row r="55" spans="1:1" ht="15" customHeight="1">
      <c r="A55" s="69" t="s">
        <v>2151</v>
      </c>
    </row>
    <row r="56" spans="1:1" ht="15" customHeight="1">
      <c r="A56" s="139" t="s">
        <v>2356</v>
      </c>
    </row>
    <row r="57" spans="1:1" ht="15" customHeight="1">
      <c r="A57" s="69" t="s">
        <v>2357</v>
      </c>
    </row>
    <row r="58" spans="1:1" ht="15" customHeight="1">
      <c r="A58" s="69" t="s">
        <v>2358</v>
      </c>
    </row>
    <row r="59" spans="1:1" ht="15" customHeight="1">
      <c r="A59" s="69" t="s">
        <v>2359</v>
      </c>
    </row>
    <row r="60" spans="1:1" ht="23.25" customHeight="1">
      <c r="A60" s="69" t="s">
        <v>2360</v>
      </c>
    </row>
    <row r="61" spans="1:1" ht="15" customHeight="1">
      <c r="A61" s="69" t="s">
        <v>2361</v>
      </c>
    </row>
    <row r="62" spans="1:1" ht="23.25" customHeight="1">
      <c r="A62" s="69" t="s">
        <v>2362</v>
      </c>
    </row>
    <row r="63" spans="1:1" ht="15" customHeight="1">
      <c r="A63" s="69" t="s">
        <v>2363</v>
      </c>
    </row>
    <row r="64" spans="1:1" ht="26.25" customHeight="1">
      <c r="A64" s="138" t="s">
        <v>2364</v>
      </c>
    </row>
    <row r="65" spans="1:1" ht="26.25" customHeight="1">
      <c r="A65" s="141" t="s">
        <v>2365</v>
      </c>
    </row>
    <row r="66" spans="1:1" ht="23.25" customHeight="1">
      <c r="A66" s="142" t="s">
        <v>2360</v>
      </c>
    </row>
    <row r="67" spans="1:1" ht="23.25" customHeight="1">
      <c r="A67" s="142" t="s">
        <v>2366</v>
      </c>
    </row>
    <row r="68" spans="1:1" ht="23.25" customHeight="1">
      <c r="A68" s="142" t="s">
        <v>2367</v>
      </c>
    </row>
    <row r="69" spans="1:1" ht="23.25" customHeight="1">
      <c r="A69" s="142" t="s">
        <v>2368</v>
      </c>
    </row>
    <row r="70" spans="1:1" ht="23.25" customHeight="1">
      <c r="A70" s="142" t="s">
        <v>2369</v>
      </c>
    </row>
    <row r="71" spans="1:1" ht="23.25" customHeight="1">
      <c r="A71" s="142" t="s">
        <v>2370</v>
      </c>
    </row>
    <row r="72" spans="1:1" ht="15" customHeight="1">
      <c r="A72" s="69"/>
    </row>
    <row r="73" spans="1:1" ht="39" customHeight="1">
      <c r="A73" s="139" t="s">
        <v>2371</v>
      </c>
    </row>
    <row r="74" spans="1:1" ht="26.25" customHeight="1">
      <c r="A74" s="143" t="s">
        <v>2372</v>
      </c>
    </row>
  </sheetData>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2373</v>
      </c>
      <c r="B1" s="145" t="s">
        <v>392</v>
      </c>
      <c r="C1" s="145" t="s">
        <v>243</v>
      </c>
      <c r="D1" s="145" t="s">
        <v>244</v>
      </c>
      <c r="E1" s="145" t="s">
        <v>2374</v>
      </c>
      <c r="F1" s="146" t="s">
        <v>2375</v>
      </c>
    </row>
    <row r="2" spans="1:6" ht="39.75" customHeight="1">
      <c r="A2" s="147" t="s">
        <v>2376</v>
      </c>
      <c r="B2" s="148" t="s">
        <v>2377</v>
      </c>
      <c r="C2" s="149" t="s">
        <v>1327</v>
      </c>
      <c r="D2" s="148" t="s">
        <v>2378</v>
      </c>
      <c r="E2" s="150" t="s">
        <v>2379</v>
      </c>
      <c r="F2" s="151" t="s">
        <v>2380</v>
      </c>
    </row>
    <row r="3" spans="1:6" ht="39.75" customHeight="1">
      <c r="A3" s="152" t="s">
        <v>2381</v>
      </c>
      <c r="B3" s="153" t="s">
        <v>2382</v>
      </c>
      <c r="C3" s="154" t="s">
        <v>1327</v>
      </c>
      <c r="D3" s="153" t="s">
        <v>2383</v>
      </c>
      <c r="E3" s="155" t="s">
        <v>2379</v>
      </c>
      <c r="F3" s="156" t="s">
        <v>2380</v>
      </c>
    </row>
    <row r="4" spans="1:6" ht="39.75" customHeight="1">
      <c r="A4" s="147" t="s">
        <v>2384</v>
      </c>
      <c r="B4" s="148" t="s">
        <v>2385</v>
      </c>
      <c r="C4" s="149" t="s">
        <v>1327</v>
      </c>
      <c r="D4" s="148" t="s">
        <v>2386</v>
      </c>
      <c r="E4" s="150" t="s">
        <v>2379</v>
      </c>
      <c r="F4" s="151" t="s">
        <v>2380</v>
      </c>
    </row>
    <row r="5" spans="1:6" ht="39.75" customHeight="1">
      <c r="A5" s="152" t="s">
        <v>2387</v>
      </c>
      <c r="B5" s="153" t="s">
        <v>2388</v>
      </c>
      <c r="C5" s="154" t="s">
        <v>1327</v>
      </c>
      <c r="D5" s="153" t="s">
        <v>2389</v>
      </c>
      <c r="E5" s="155" t="s">
        <v>2379</v>
      </c>
      <c r="F5" s="156" t="s">
        <v>2380</v>
      </c>
    </row>
    <row r="6" spans="1:6" ht="39.75" customHeight="1">
      <c r="A6" s="147" t="s">
        <v>2390</v>
      </c>
      <c r="B6" s="148" t="s">
        <v>2391</v>
      </c>
      <c r="C6" s="149" t="s">
        <v>1327</v>
      </c>
      <c r="D6" s="148" t="s">
        <v>2392</v>
      </c>
      <c r="E6" s="150" t="s">
        <v>2393</v>
      </c>
      <c r="F6" s="151" t="s">
        <v>2394</v>
      </c>
    </row>
    <row r="7" spans="1:6" ht="39.75" customHeight="1">
      <c r="A7" s="152" t="s">
        <v>2395</v>
      </c>
      <c r="B7" s="153" t="s">
        <v>2396</v>
      </c>
      <c r="C7" s="154" t="s">
        <v>1327</v>
      </c>
      <c r="D7" s="153" t="s">
        <v>2397</v>
      </c>
      <c r="E7" s="155" t="s">
        <v>2393</v>
      </c>
      <c r="F7" s="156" t="s">
        <v>2394</v>
      </c>
    </row>
    <row r="8" spans="1:6" ht="39.75" customHeight="1">
      <c r="A8" s="147" t="s">
        <v>2398</v>
      </c>
      <c r="B8" s="148" t="s">
        <v>2399</v>
      </c>
      <c r="C8" s="149" t="s">
        <v>1327</v>
      </c>
      <c r="D8" s="148" t="s">
        <v>2400</v>
      </c>
      <c r="E8" s="150" t="s">
        <v>2393</v>
      </c>
      <c r="F8" s="151" t="s">
        <v>2394</v>
      </c>
    </row>
    <row r="9" spans="1:6" ht="39.75" customHeight="1">
      <c r="A9" s="152" t="s">
        <v>2401</v>
      </c>
      <c r="B9" s="153" t="s">
        <v>2402</v>
      </c>
      <c r="C9" s="154" t="s">
        <v>1327</v>
      </c>
      <c r="D9" s="153" t="s">
        <v>2403</v>
      </c>
      <c r="E9" s="155" t="s">
        <v>2393</v>
      </c>
      <c r="F9" s="156" t="s">
        <v>2394</v>
      </c>
    </row>
    <row r="10" spans="1:6" ht="39.75" customHeight="1">
      <c r="A10" s="147" t="s">
        <v>2404</v>
      </c>
      <c r="B10" s="148" t="s">
        <v>2405</v>
      </c>
      <c r="C10" s="149" t="s">
        <v>1327</v>
      </c>
      <c r="D10" s="148" t="s">
        <v>2406</v>
      </c>
      <c r="E10" s="150" t="s">
        <v>2393</v>
      </c>
      <c r="F10" s="151" t="s">
        <v>2394</v>
      </c>
    </row>
    <row r="11" spans="1:6" ht="39.75" customHeight="1">
      <c r="A11" s="152" t="s">
        <v>2407</v>
      </c>
      <c r="B11" s="153" t="s">
        <v>2408</v>
      </c>
      <c r="C11" s="154" t="s">
        <v>1327</v>
      </c>
      <c r="D11" s="153" t="s">
        <v>2409</v>
      </c>
      <c r="E11" s="155" t="s">
        <v>2393</v>
      </c>
      <c r="F11" s="156" t="s">
        <v>2394</v>
      </c>
    </row>
    <row r="12" spans="1:6" ht="39.75" customHeight="1">
      <c r="A12" s="147" t="s">
        <v>2410</v>
      </c>
      <c r="B12" s="148" t="s">
        <v>2411</v>
      </c>
      <c r="C12" s="149" t="s">
        <v>1327</v>
      </c>
      <c r="D12" s="148" t="s">
        <v>2412</v>
      </c>
      <c r="E12" s="150" t="s">
        <v>2413</v>
      </c>
      <c r="F12" s="151" t="s">
        <v>2414</v>
      </c>
    </row>
    <row r="13" spans="1:6" ht="39.75" customHeight="1">
      <c r="A13" s="152" t="s">
        <v>2415</v>
      </c>
      <c r="B13" s="153" t="s">
        <v>2416</v>
      </c>
      <c r="C13" s="154" t="s">
        <v>1327</v>
      </c>
      <c r="D13" s="153" t="s">
        <v>2417</v>
      </c>
      <c r="E13" s="155"/>
      <c r="F13" s="156" t="s">
        <v>2414</v>
      </c>
    </row>
    <row r="14" spans="1:6" ht="39.75" customHeight="1">
      <c r="A14" s="147" t="s">
        <v>2418</v>
      </c>
      <c r="B14" s="148" t="s">
        <v>2419</v>
      </c>
      <c r="C14" s="149" t="s">
        <v>1327</v>
      </c>
      <c r="D14" s="148" t="s">
        <v>2420</v>
      </c>
      <c r="E14" s="150" t="s">
        <v>2421</v>
      </c>
      <c r="F14" s="151" t="s">
        <v>2422</v>
      </c>
    </row>
    <row r="15" spans="1:6" ht="39.75" customHeight="1">
      <c r="A15" s="152" t="s">
        <v>2423</v>
      </c>
      <c r="B15" s="153" t="s">
        <v>2424</v>
      </c>
      <c r="C15" s="154" t="s">
        <v>1327</v>
      </c>
      <c r="D15" s="153" t="s">
        <v>2425</v>
      </c>
      <c r="E15" s="155" t="s">
        <v>2421</v>
      </c>
      <c r="F15" s="156" t="s">
        <v>2422</v>
      </c>
    </row>
    <row r="16" spans="1:6" ht="39.75" customHeight="1">
      <c r="A16" s="147" t="s">
        <v>2426</v>
      </c>
      <c r="B16" s="148" t="s">
        <v>2427</v>
      </c>
      <c r="C16" s="149" t="s">
        <v>1327</v>
      </c>
      <c r="D16" s="148" t="s">
        <v>2428</v>
      </c>
      <c r="E16" s="150" t="s">
        <v>2421</v>
      </c>
      <c r="F16" s="151" t="s">
        <v>2422</v>
      </c>
    </row>
    <row r="17" spans="1:6" ht="39.75" customHeight="1">
      <c r="A17" s="152" t="s">
        <v>2429</v>
      </c>
      <c r="B17" s="153" t="s">
        <v>2430</v>
      </c>
      <c r="C17" s="154" t="s">
        <v>1327</v>
      </c>
      <c r="D17" s="153" t="s">
        <v>2431</v>
      </c>
      <c r="E17" s="155" t="s">
        <v>2421</v>
      </c>
      <c r="F17" s="156" t="s">
        <v>2422</v>
      </c>
    </row>
    <row r="18" spans="1:6" ht="39.75" customHeight="1">
      <c r="A18" s="147" t="s">
        <v>2432</v>
      </c>
      <c r="B18" s="148" t="s">
        <v>2433</v>
      </c>
      <c r="C18" s="149" t="s">
        <v>1327</v>
      </c>
      <c r="D18" s="148" t="s">
        <v>2434</v>
      </c>
      <c r="E18" s="150" t="s">
        <v>2413</v>
      </c>
      <c r="F18" s="151" t="s">
        <v>2435</v>
      </c>
    </row>
    <row r="19" spans="1:6" ht="39.75" customHeight="1">
      <c r="A19" s="152" t="s">
        <v>2436</v>
      </c>
      <c r="B19" s="153" t="s">
        <v>2437</v>
      </c>
      <c r="C19" s="154" t="s">
        <v>1327</v>
      </c>
      <c r="D19" s="153" t="s">
        <v>2438</v>
      </c>
      <c r="E19" s="155" t="s">
        <v>2413</v>
      </c>
      <c r="F19" s="156" t="s">
        <v>2435</v>
      </c>
    </row>
    <row r="20" spans="1:6" ht="39.75" customHeight="1">
      <c r="A20" s="147" t="s">
        <v>2439</v>
      </c>
      <c r="B20" s="148" t="s">
        <v>2440</v>
      </c>
      <c r="C20" s="149" t="s">
        <v>1327</v>
      </c>
      <c r="D20" s="148" t="s">
        <v>2441</v>
      </c>
      <c r="E20" s="150" t="s">
        <v>2421</v>
      </c>
      <c r="F20" s="151" t="s">
        <v>2422</v>
      </c>
    </row>
    <row r="21" spans="1:6" ht="39.75" customHeight="1">
      <c r="A21" s="152" t="s">
        <v>2442</v>
      </c>
      <c r="B21" s="153" t="s">
        <v>2443</v>
      </c>
      <c r="C21" s="154" t="s">
        <v>1327</v>
      </c>
      <c r="D21" s="153" t="s">
        <v>2444</v>
      </c>
      <c r="E21" s="155" t="s">
        <v>2421</v>
      </c>
      <c r="F21" s="156" t="s">
        <v>2422</v>
      </c>
    </row>
    <row r="22" spans="1:6" ht="39.75" customHeight="1">
      <c r="A22" s="147" t="s">
        <v>2445</v>
      </c>
      <c r="B22" s="148" t="s">
        <v>2446</v>
      </c>
      <c r="C22" s="149" t="s">
        <v>1327</v>
      </c>
      <c r="D22" s="148" t="s">
        <v>2447</v>
      </c>
      <c r="E22" s="150" t="s">
        <v>2421</v>
      </c>
      <c r="F22" s="151" t="s">
        <v>2422</v>
      </c>
    </row>
    <row r="23" spans="1:6" ht="39.75" customHeight="1">
      <c r="A23" s="152" t="s">
        <v>2448</v>
      </c>
      <c r="B23" s="153" t="s">
        <v>2449</v>
      </c>
      <c r="C23" s="154" t="s">
        <v>1327</v>
      </c>
      <c r="D23" s="153" t="s">
        <v>2450</v>
      </c>
      <c r="E23" s="155" t="s">
        <v>2413</v>
      </c>
      <c r="F23" s="156" t="s">
        <v>2451</v>
      </c>
    </row>
    <row r="24" spans="1:6" ht="39.75" customHeight="1">
      <c r="A24" s="147" t="s">
        <v>2452</v>
      </c>
      <c r="B24" s="148" t="s">
        <v>2453</v>
      </c>
      <c r="C24" s="149" t="s">
        <v>1327</v>
      </c>
      <c r="D24" s="148" t="s">
        <v>2454</v>
      </c>
      <c r="E24" s="150" t="s">
        <v>2421</v>
      </c>
      <c r="F24" s="151" t="s">
        <v>2455</v>
      </c>
    </row>
    <row r="25" spans="1:6" ht="39.75" customHeight="1">
      <c r="A25" s="152" t="s">
        <v>2456</v>
      </c>
      <c r="B25" s="153" t="s">
        <v>2457</v>
      </c>
      <c r="C25" s="154" t="s">
        <v>1327</v>
      </c>
      <c r="D25" s="153" t="s">
        <v>2458</v>
      </c>
      <c r="E25" s="155" t="s">
        <v>2421</v>
      </c>
      <c r="F25" s="156" t="s">
        <v>2455</v>
      </c>
    </row>
    <row r="26" spans="1:6" ht="39.75" customHeight="1">
      <c r="A26" s="147" t="s">
        <v>2459</v>
      </c>
      <c r="B26" s="148" t="s">
        <v>2460</v>
      </c>
      <c r="C26" s="149" t="s">
        <v>1327</v>
      </c>
      <c r="D26" s="148" t="s">
        <v>2461</v>
      </c>
      <c r="E26" s="150" t="s">
        <v>2421</v>
      </c>
      <c r="F26" s="151" t="s">
        <v>2455</v>
      </c>
    </row>
    <row r="27" spans="1:6" ht="39.75" customHeight="1">
      <c r="A27" s="152" t="s">
        <v>2462</v>
      </c>
      <c r="B27" s="153" t="s">
        <v>2463</v>
      </c>
      <c r="C27" s="154" t="s">
        <v>1327</v>
      </c>
      <c r="D27" s="153" t="s">
        <v>2464</v>
      </c>
      <c r="E27" s="155" t="s">
        <v>2421</v>
      </c>
      <c r="F27" s="156" t="s">
        <v>2422</v>
      </c>
    </row>
    <row r="28" spans="1:6" ht="39.75" customHeight="1">
      <c r="A28" s="157" t="s">
        <v>2465</v>
      </c>
      <c r="B28" s="158" t="s">
        <v>2466</v>
      </c>
      <c r="C28" s="159" t="s">
        <v>1327</v>
      </c>
      <c r="D28" s="158" t="s">
        <v>2467</v>
      </c>
      <c r="E28" s="160" t="s">
        <v>2413</v>
      </c>
      <c r="F28" s="161" t="s">
        <v>2468</v>
      </c>
    </row>
    <row r="29" spans="1:6" ht="39.75" customHeight="1">
      <c r="A29" s="162" t="s">
        <v>2469</v>
      </c>
      <c r="B29" s="100" t="s">
        <v>2470</v>
      </c>
      <c r="C29" s="163" t="s">
        <v>2471</v>
      </c>
      <c r="D29" s="100" t="s">
        <v>2472</v>
      </c>
      <c r="E29" s="164"/>
      <c r="F29" s="100" t="s">
        <v>2473</v>
      </c>
    </row>
    <row r="30" spans="1:6" ht="39.75" customHeight="1">
      <c r="A30" s="162" t="s">
        <v>2474</v>
      </c>
      <c r="B30" s="100" t="s">
        <v>2475</v>
      </c>
      <c r="C30" s="163" t="s">
        <v>2476</v>
      </c>
      <c r="D30" s="100" t="s">
        <v>2477</v>
      </c>
      <c r="E30" s="164" t="s">
        <v>2478</v>
      </c>
      <c r="F30" s="100" t="s">
        <v>2479</v>
      </c>
    </row>
    <row r="31" spans="1:6" ht="39.75" customHeight="1">
      <c r="A31" s="162" t="s">
        <v>2480</v>
      </c>
      <c r="B31" s="100" t="s">
        <v>2481</v>
      </c>
      <c r="C31" s="163" t="s">
        <v>2482</v>
      </c>
      <c r="D31" s="100" t="s">
        <v>2483</v>
      </c>
      <c r="E31" s="164"/>
      <c r="F31" s="100" t="s">
        <v>2473</v>
      </c>
    </row>
    <row r="32" spans="1:6" ht="39.75" customHeight="1">
      <c r="A32" s="162" t="s">
        <v>2484</v>
      </c>
      <c r="B32" s="100" t="s">
        <v>2485</v>
      </c>
      <c r="C32" s="163" t="s">
        <v>2486</v>
      </c>
      <c r="D32" s="100" t="s">
        <v>2487</v>
      </c>
      <c r="E32" s="164" t="s">
        <v>2478</v>
      </c>
      <c r="F32" s="100" t="s">
        <v>2479</v>
      </c>
    </row>
    <row r="33" spans="1:6" ht="39.75" customHeight="1">
      <c r="A33" s="162" t="s">
        <v>2488</v>
      </c>
      <c r="B33" s="100" t="s">
        <v>2489</v>
      </c>
      <c r="C33" s="163" t="s">
        <v>2490</v>
      </c>
      <c r="D33" s="100" t="s">
        <v>2491</v>
      </c>
      <c r="E33" s="164" t="s">
        <v>2478</v>
      </c>
      <c r="F33" s="100" t="s">
        <v>2479</v>
      </c>
    </row>
    <row r="34" spans="1:6" ht="39.75" customHeight="1">
      <c r="A34" s="162" t="s">
        <v>2492</v>
      </c>
      <c r="B34" s="100" t="s">
        <v>2493</v>
      </c>
      <c r="C34" s="163" t="s">
        <v>2494</v>
      </c>
      <c r="D34" s="100" t="s">
        <v>2495</v>
      </c>
      <c r="E34" s="164" t="s">
        <v>2478</v>
      </c>
      <c r="F34" s="100" t="s">
        <v>2479</v>
      </c>
    </row>
    <row r="35" spans="1:6" ht="39.75" customHeight="1">
      <c r="A35" s="162" t="s">
        <v>2496</v>
      </c>
      <c r="B35" s="100" t="s">
        <v>2497</v>
      </c>
      <c r="C35" s="163" t="s">
        <v>2498</v>
      </c>
      <c r="D35" s="100" t="s">
        <v>2499</v>
      </c>
      <c r="E35" s="164" t="s">
        <v>2478</v>
      </c>
      <c r="F35" s="100" t="s">
        <v>2479</v>
      </c>
    </row>
    <row r="36" spans="1:6" ht="39.75" customHeight="1">
      <c r="A36" s="162" t="s">
        <v>2500</v>
      </c>
      <c r="B36" s="100" t="s">
        <v>2501</v>
      </c>
      <c r="C36" s="163" t="s">
        <v>2502</v>
      </c>
      <c r="D36" s="100" t="s">
        <v>2503</v>
      </c>
      <c r="E36" s="164" t="s">
        <v>2478</v>
      </c>
      <c r="F36" s="100" t="s">
        <v>2479</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2504</v>
      </c>
      <c r="B1" s="166" t="s">
        <v>2505</v>
      </c>
      <c r="C1" s="166" t="s">
        <v>919</v>
      </c>
      <c r="D1" s="166" t="s">
        <v>432</v>
      </c>
      <c r="E1" s="166" t="s">
        <v>2506</v>
      </c>
      <c r="F1" s="166" t="s">
        <v>243</v>
      </c>
      <c r="G1" s="166" t="s">
        <v>2507</v>
      </c>
    </row>
    <row r="2" spans="1:7" ht="54.75" customHeight="1">
      <c r="A2" s="162" t="s">
        <v>1837</v>
      </c>
      <c r="B2" s="100" t="s">
        <v>2508</v>
      </c>
      <c r="C2" s="100" t="s">
        <v>1717</v>
      </c>
      <c r="D2" s="100" t="s">
        <v>474</v>
      </c>
      <c r="E2" s="167" t="s">
        <v>341</v>
      </c>
      <c r="F2" s="163" t="s">
        <v>2021</v>
      </c>
      <c r="G2" s="100" t="s">
        <v>2509</v>
      </c>
    </row>
    <row r="3" spans="1:7" ht="54.75" customHeight="1">
      <c r="A3" s="168" t="s">
        <v>1837</v>
      </c>
      <c r="B3" s="101" t="s">
        <v>2510</v>
      </c>
      <c r="C3" s="101" t="s">
        <v>1717</v>
      </c>
      <c r="D3" s="101" t="s">
        <v>474</v>
      </c>
      <c r="E3" s="169" t="s">
        <v>341</v>
      </c>
      <c r="F3" s="170" t="s">
        <v>1327</v>
      </c>
      <c r="G3" s="101" t="s">
        <v>2511</v>
      </c>
    </row>
    <row r="4" spans="1:7" ht="54.75" customHeight="1">
      <c r="A4" s="162" t="s">
        <v>1839</v>
      </c>
      <c r="B4" s="100" t="s">
        <v>2512</v>
      </c>
      <c r="C4" s="100" t="s">
        <v>1717</v>
      </c>
      <c r="D4" s="100" t="s">
        <v>474</v>
      </c>
      <c r="E4" s="167" t="s">
        <v>341</v>
      </c>
      <c r="F4" s="163" t="s">
        <v>2513</v>
      </c>
      <c r="G4" s="100" t="s">
        <v>2514</v>
      </c>
    </row>
    <row r="5" spans="1:7" ht="54.75" customHeight="1">
      <c r="A5" s="168" t="s">
        <v>1841</v>
      </c>
      <c r="B5" s="101" t="s">
        <v>2515</v>
      </c>
      <c r="C5" s="101" t="s">
        <v>1717</v>
      </c>
      <c r="D5" s="101" t="s">
        <v>474</v>
      </c>
      <c r="E5" s="169" t="s">
        <v>341</v>
      </c>
      <c r="F5" s="170" t="s">
        <v>2516</v>
      </c>
      <c r="G5" s="101" t="s">
        <v>2517</v>
      </c>
    </row>
    <row r="6" spans="1:7" ht="54.75" customHeight="1">
      <c r="A6" s="162" t="s">
        <v>1843</v>
      </c>
      <c r="B6" s="100" t="s">
        <v>2518</v>
      </c>
      <c r="C6" s="100" t="s">
        <v>1717</v>
      </c>
      <c r="D6" s="100" t="s">
        <v>474</v>
      </c>
      <c r="E6" s="167" t="s">
        <v>341</v>
      </c>
      <c r="F6" s="163" t="s">
        <v>2516</v>
      </c>
      <c r="G6" s="100" t="s">
        <v>2519</v>
      </c>
    </row>
    <row r="7" spans="1:7" ht="54.75" customHeight="1">
      <c r="A7" s="168" t="s">
        <v>1845</v>
      </c>
      <c r="B7" s="101" t="s">
        <v>2520</v>
      </c>
      <c r="C7" s="101" t="s">
        <v>1717</v>
      </c>
      <c r="D7" s="101" t="s">
        <v>474</v>
      </c>
      <c r="E7" s="169" t="s">
        <v>341</v>
      </c>
      <c r="F7" s="170" t="s">
        <v>2516</v>
      </c>
      <c r="G7" s="101" t="s">
        <v>2521</v>
      </c>
    </row>
    <row r="8" spans="1:7" ht="54.75" customHeight="1">
      <c r="A8" s="162" t="s">
        <v>2522</v>
      </c>
      <c r="B8" s="100" t="s">
        <v>2523</v>
      </c>
      <c r="C8" s="100" t="s">
        <v>1717</v>
      </c>
      <c r="D8" s="100" t="s">
        <v>492</v>
      </c>
      <c r="E8" s="167" t="s">
        <v>341</v>
      </c>
      <c r="F8" s="163" t="s">
        <v>1327</v>
      </c>
      <c r="G8" s="100" t="s">
        <v>2524</v>
      </c>
    </row>
    <row r="9" spans="1:7" ht="54.75" customHeight="1">
      <c r="A9" s="168" t="s">
        <v>2525</v>
      </c>
      <c r="B9" s="101" t="s">
        <v>2526</v>
      </c>
      <c r="C9" s="101" t="s">
        <v>1717</v>
      </c>
      <c r="D9" s="101" t="s">
        <v>492</v>
      </c>
      <c r="E9" s="169" t="s">
        <v>341</v>
      </c>
      <c r="F9" s="170" t="s">
        <v>2062</v>
      </c>
      <c r="G9" s="101" t="s">
        <v>2527</v>
      </c>
    </row>
    <row r="10" spans="1:7" ht="54.75" customHeight="1">
      <c r="A10" s="162" t="s">
        <v>2528</v>
      </c>
      <c r="B10" s="100" t="s">
        <v>2529</v>
      </c>
      <c r="C10" s="100" t="s">
        <v>1717</v>
      </c>
      <c r="D10" s="100" t="s">
        <v>492</v>
      </c>
      <c r="E10" s="167" t="s">
        <v>341</v>
      </c>
      <c r="F10" s="163" t="s">
        <v>2062</v>
      </c>
      <c r="G10" s="100" t="s">
        <v>2530</v>
      </c>
    </row>
    <row r="11" spans="1:7" ht="54.75" customHeight="1">
      <c r="A11" s="168" t="s">
        <v>2531</v>
      </c>
      <c r="B11" s="101" t="s">
        <v>2532</v>
      </c>
      <c r="C11" s="101" t="s">
        <v>2533</v>
      </c>
      <c r="D11" s="101" t="s">
        <v>46</v>
      </c>
      <c r="E11" s="169" t="s">
        <v>341</v>
      </c>
      <c r="F11" s="170" t="s">
        <v>2062</v>
      </c>
      <c r="G11" s="101" t="s">
        <v>2534</v>
      </c>
    </row>
    <row r="12" spans="1:7" ht="54.75" customHeight="1">
      <c r="A12" s="162" t="s">
        <v>2535</v>
      </c>
      <c r="B12" s="100" t="s">
        <v>2536</v>
      </c>
      <c r="C12" s="100" t="s">
        <v>1717</v>
      </c>
      <c r="D12" s="100" t="s">
        <v>474</v>
      </c>
      <c r="E12" s="167" t="s">
        <v>341</v>
      </c>
      <c r="F12" s="163" t="s">
        <v>1327</v>
      </c>
      <c r="G12" s="100" t="s">
        <v>2537</v>
      </c>
    </row>
    <row r="13" spans="1:7" ht="54.75" customHeight="1">
      <c r="A13" s="168" t="s">
        <v>2538</v>
      </c>
      <c r="B13" s="101" t="s">
        <v>2539</v>
      </c>
      <c r="C13" s="101" t="s">
        <v>1717</v>
      </c>
      <c r="D13" s="101" t="s">
        <v>474</v>
      </c>
      <c r="E13" s="169" t="s">
        <v>341</v>
      </c>
      <c r="F13" s="170" t="s">
        <v>2516</v>
      </c>
      <c r="G13" s="101" t="s">
        <v>2540</v>
      </c>
    </row>
    <row r="14" spans="1:7" ht="54.75" customHeight="1">
      <c r="A14" s="162" t="s">
        <v>2541</v>
      </c>
      <c r="B14" s="100" t="s">
        <v>2542</v>
      </c>
      <c r="C14" s="100" t="s">
        <v>1717</v>
      </c>
      <c r="D14" s="100" t="s">
        <v>492</v>
      </c>
      <c r="E14" s="167" t="s">
        <v>341</v>
      </c>
      <c r="F14" s="163" t="s">
        <v>1327</v>
      </c>
      <c r="G14" s="100" t="s">
        <v>2543</v>
      </c>
    </row>
    <row r="15" spans="1:7" ht="54.75" customHeight="1">
      <c r="A15" s="168" t="s">
        <v>2544</v>
      </c>
      <c r="B15" s="101" t="s">
        <v>2545</v>
      </c>
      <c r="C15" s="101" t="s">
        <v>1717</v>
      </c>
      <c r="D15" s="101" t="s">
        <v>474</v>
      </c>
      <c r="E15" s="169" t="s">
        <v>341</v>
      </c>
      <c r="F15" s="170" t="s">
        <v>2516</v>
      </c>
      <c r="G15" s="101" t="s">
        <v>2546</v>
      </c>
    </row>
    <row r="16" spans="1:7" ht="54.75" customHeight="1">
      <c r="A16" s="162" t="s">
        <v>2547</v>
      </c>
      <c r="B16" s="100" t="s">
        <v>2548</v>
      </c>
      <c r="C16" s="100" t="s">
        <v>1717</v>
      </c>
      <c r="D16" s="100" t="s">
        <v>1482</v>
      </c>
      <c r="E16" s="167" t="s">
        <v>341</v>
      </c>
      <c r="F16" s="163" t="s">
        <v>1957</v>
      </c>
      <c r="G16" s="100" t="s">
        <v>2549</v>
      </c>
    </row>
    <row r="17" spans="1:7" ht="54.75" customHeight="1">
      <c r="A17" s="168" t="s">
        <v>2550</v>
      </c>
      <c r="B17" s="101" t="s">
        <v>2551</v>
      </c>
      <c r="C17" s="101" t="s">
        <v>598</v>
      </c>
      <c r="D17" s="101" t="s">
        <v>474</v>
      </c>
      <c r="E17" s="169" t="s">
        <v>341</v>
      </c>
      <c r="F17" s="170" t="s">
        <v>1957</v>
      </c>
      <c r="G17" s="101" t="s">
        <v>2552</v>
      </c>
    </row>
    <row r="18" spans="1:7" ht="54.75" customHeight="1">
      <c r="A18" s="162" t="s">
        <v>2553</v>
      </c>
      <c r="B18" s="100" t="s">
        <v>2554</v>
      </c>
      <c r="C18" s="100" t="s">
        <v>1717</v>
      </c>
      <c r="D18" s="100" t="s">
        <v>474</v>
      </c>
      <c r="E18" s="167" t="s">
        <v>341</v>
      </c>
      <c r="F18" s="163" t="s">
        <v>1957</v>
      </c>
      <c r="G18" s="100" t="s">
        <v>2555</v>
      </c>
    </row>
    <row r="19" spans="1:7" ht="54.75" customHeight="1">
      <c r="A19" s="168" t="s">
        <v>2556</v>
      </c>
      <c r="B19" s="101" t="s">
        <v>2557</v>
      </c>
      <c r="C19" s="101" t="s">
        <v>2533</v>
      </c>
      <c r="D19" s="101" t="s">
        <v>474</v>
      </c>
      <c r="E19" s="169" t="s">
        <v>341</v>
      </c>
      <c r="F19" s="170" t="s">
        <v>1957</v>
      </c>
      <c r="G19" s="101" t="s">
        <v>2558</v>
      </c>
    </row>
    <row r="20" spans="1:7" ht="54.75" customHeight="1">
      <c r="A20" s="162" t="s">
        <v>2559</v>
      </c>
      <c r="B20" s="100" t="s">
        <v>2560</v>
      </c>
      <c r="C20" s="100" t="s">
        <v>1717</v>
      </c>
      <c r="D20" s="100" t="s">
        <v>474</v>
      </c>
      <c r="E20" s="167" t="s">
        <v>341</v>
      </c>
      <c r="F20" s="163" t="s">
        <v>1327</v>
      </c>
      <c r="G20" s="100" t="s">
        <v>2561</v>
      </c>
    </row>
    <row r="21" spans="1:7" ht="54.75" customHeight="1">
      <c r="A21" s="168" t="s">
        <v>2562</v>
      </c>
      <c r="B21" s="101" t="s">
        <v>2563</v>
      </c>
      <c r="C21" s="101" t="s">
        <v>1717</v>
      </c>
      <c r="D21" s="101" t="s">
        <v>474</v>
      </c>
      <c r="E21" s="169" t="s">
        <v>341</v>
      </c>
      <c r="F21" s="170" t="s">
        <v>1327</v>
      </c>
      <c r="G21" s="101" t="s">
        <v>2564</v>
      </c>
    </row>
    <row r="22" spans="1:7" ht="54.75" customHeight="1">
      <c r="A22" s="162" t="s">
        <v>2565</v>
      </c>
      <c r="B22" s="100" t="s">
        <v>2566</v>
      </c>
      <c r="C22" s="100" t="s">
        <v>598</v>
      </c>
      <c r="D22" s="100" t="s">
        <v>474</v>
      </c>
      <c r="E22" s="167" t="s">
        <v>341</v>
      </c>
      <c r="F22" s="163" t="s">
        <v>1957</v>
      </c>
      <c r="G22" s="100" t="s">
        <v>2567</v>
      </c>
    </row>
    <row r="23" spans="1:7" ht="54.75" customHeight="1">
      <c r="A23" s="168" t="s">
        <v>2568</v>
      </c>
      <c r="B23" s="101" t="s">
        <v>2569</v>
      </c>
      <c r="C23" s="101" t="s">
        <v>1717</v>
      </c>
      <c r="D23" s="101" t="s">
        <v>474</v>
      </c>
      <c r="E23" s="169" t="s">
        <v>341</v>
      </c>
      <c r="F23" s="170" t="s">
        <v>1327</v>
      </c>
      <c r="G23" s="101" t="s">
        <v>2570</v>
      </c>
    </row>
    <row r="24" spans="1:7" ht="54.75" customHeight="1">
      <c r="A24" s="162" t="s">
        <v>2571</v>
      </c>
      <c r="B24" s="100" t="s">
        <v>2572</v>
      </c>
      <c r="C24" s="100" t="s">
        <v>1717</v>
      </c>
      <c r="D24" s="100" t="s">
        <v>474</v>
      </c>
      <c r="E24" s="167" t="s">
        <v>341</v>
      </c>
      <c r="F24" s="163" t="s">
        <v>1327</v>
      </c>
      <c r="G24" s="100" t="s">
        <v>2573</v>
      </c>
    </row>
    <row r="25" spans="1:7" ht="54.75" customHeight="1">
      <c r="A25" s="168" t="s">
        <v>2574</v>
      </c>
      <c r="B25" s="101" t="s">
        <v>2575</v>
      </c>
      <c r="C25" s="101" t="s">
        <v>1717</v>
      </c>
      <c r="D25" s="101" t="s">
        <v>474</v>
      </c>
      <c r="E25" s="169" t="s">
        <v>341</v>
      </c>
      <c r="F25" s="170" t="s">
        <v>1327</v>
      </c>
      <c r="G25" s="101" t="s">
        <v>2576</v>
      </c>
    </row>
    <row r="26" spans="1:7" ht="54.75" customHeight="1">
      <c r="A26" s="162" t="s">
        <v>2577</v>
      </c>
      <c r="B26" s="100" t="s">
        <v>2578</v>
      </c>
      <c r="C26" s="100" t="s">
        <v>1717</v>
      </c>
      <c r="D26" s="100" t="s">
        <v>474</v>
      </c>
      <c r="E26" s="167" t="s">
        <v>341</v>
      </c>
      <c r="F26" s="163" t="s">
        <v>1327</v>
      </c>
      <c r="G26" s="100" t="s">
        <v>2579</v>
      </c>
    </row>
    <row r="27" spans="1:7" ht="54.75" customHeight="1">
      <c r="A27" s="168" t="s">
        <v>2580</v>
      </c>
      <c r="B27" s="101" t="s">
        <v>2581</v>
      </c>
      <c r="C27" s="101" t="s">
        <v>1717</v>
      </c>
      <c r="D27" s="101" t="s">
        <v>492</v>
      </c>
      <c r="E27" s="169" t="s">
        <v>341</v>
      </c>
      <c r="F27" s="170" t="s">
        <v>1327</v>
      </c>
      <c r="G27" s="101" t="s">
        <v>2582</v>
      </c>
    </row>
    <row r="28" spans="1:7" ht="54.75" customHeight="1">
      <c r="A28" s="162" t="s">
        <v>2583</v>
      </c>
      <c r="B28" s="100" t="s">
        <v>2584</v>
      </c>
      <c r="C28" s="100" t="s">
        <v>1717</v>
      </c>
      <c r="D28" s="100" t="s">
        <v>492</v>
      </c>
      <c r="E28" s="167" t="s">
        <v>341</v>
      </c>
      <c r="F28" s="163" t="s">
        <v>1327</v>
      </c>
      <c r="G28" s="100" t="s">
        <v>2585</v>
      </c>
    </row>
  </sheetData>
  <pageMargins left="0.7" right="0.7" top="0.75" bottom="0.75" header="0.511811023622047" footer="0.511811023622047"/>
  <pageSetup paperSize="9" orientation="portrait" horizontalDpi="300" verticalDpi="300"/>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3" width="9.140625" style="47" customWidth="1"/>
    <col min="14" max="16384" width="9.140625" style="47"/>
  </cols>
  <sheetData>
    <row r="1" spans="1:6" ht="27.75" customHeight="1">
      <c r="A1" s="144" t="s">
        <v>2586</v>
      </c>
      <c r="B1" s="145" t="s">
        <v>392</v>
      </c>
      <c r="C1" s="145" t="s">
        <v>243</v>
      </c>
      <c r="D1" s="145" t="s">
        <v>432</v>
      </c>
      <c r="E1" s="146" t="s">
        <v>2587</v>
      </c>
      <c r="F1" s="23"/>
    </row>
    <row r="2" spans="1:6" ht="45" customHeight="1">
      <c r="A2" s="147" t="s">
        <v>2588</v>
      </c>
      <c r="B2" s="148" t="s">
        <v>2589</v>
      </c>
      <c r="C2" s="149" t="s">
        <v>1327</v>
      </c>
      <c r="D2" s="149" t="s">
        <v>341</v>
      </c>
      <c r="E2" s="151" t="s">
        <v>2590</v>
      </c>
      <c r="F2" s="23"/>
    </row>
    <row r="3" spans="1:6" ht="45" customHeight="1">
      <c r="A3" s="152" t="s">
        <v>2591</v>
      </c>
      <c r="B3" s="153" t="s">
        <v>2592</v>
      </c>
      <c r="C3" s="154" t="s">
        <v>2062</v>
      </c>
      <c r="D3" s="154" t="s">
        <v>341</v>
      </c>
      <c r="E3" s="156" t="s">
        <v>2593</v>
      </c>
      <c r="F3" s="23"/>
    </row>
    <row r="4" spans="1:6" ht="45" customHeight="1">
      <c r="A4" s="147" t="s">
        <v>2594</v>
      </c>
      <c r="B4" s="148" t="s">
        <v>2595</v>
      </c>
      <c r="C4" s="149" t="s">
        <v>1327</v>
      </c>
      <c r="D4" s="149" t="s">
        <v>341</v>
      </c>
      <c r="E4" s="151" t="s">
        <v>2596</v>
      </c>
      <c r="F4" s="23"/>
    </row>
    <row r="5" spans="1:6" ht="45" customHeight="1">
      <c r="A5" s="152" t="s">
        <v>2597</v>
      </c>
      <c r="B5" s="153" t="s">
        <v>2598</v>
      </c>
      <c r="C5" s="154" t="s">
        <v>1327</v>
      </c>
      <c r="D5" s="154" t="s">
        <v>341</v>
      </c>
      <c r="E5" s="156" t="s">
        <v>2599</v>
      </c>
      <c r="F5" s="23"/>
    </row>
    <row r="6" spans="1:6" ht="45" customHeight="1">
      <c r="A6" s="147" t="s">
        <v>2600</v>
      </c>
      <c r="B6" s="148" t="s">
        <v>2601</v>
      </c>
      <c r="C6" s="149" t="s">
        <v>1327</v>
      </c>
      <c r="D6" s="149" t="s">
        <v>341</v>
      </c>
      <c r="E6" s="151" t="s">
        <v>2602</v>
      </c>
      <c r="F6" s="23"/>
    </row>
    <row r="7" spans="1:6" ht="45" customHeight="1">
      <c r="A7" s="152" t="s">
        <v>2603</v>
      </c>
      <c r="B7" s="153" t="s">
        <v>2604</v>
      </c>
      <c r="C7" s="154" t="s">
        <v>2062</v>
      </c>
      <c r="D7" s="154" t="s">
        <v>341</v>
      </c>
      <c r="E7" s="156" t="s">
        <v>2605</v>
      </c>
      <c r="F7" s="23"/>
    </row>
    <row r="8" spans="1:6" ht="45" customHeight="1">
      <c r="A8" s="147" t="s">
        <v>2606</v>
      </c>
      <c r="B8" s="148" t="s">
        <v>2607</v>
      </c>
      <c r="C8" s="149" t="s">
        <v>1327</v>
      </c>
      <c r="D8" s="149" t="s">
        <v>341</v>
      </c>
      <c r="E8" s="151" t="s">
        <v>2608</v>
      </c>
      <c r="F8" s="23"/>
    </row>
    <row r="9" spans="1:6" ht="45" customHeight="1">
      <c r="A9" s="152" t="s">
        <v>2609</v>
      </c>
      <c r="B9" s="153" t="s">
        <v>2610</v>
      </c>
      <c r="C9" s="154" t="s">
        <v>1327</v>
      </c>
      <c r="D9" s="154" t="s">
        <v>341</v>
      </c>
      <c r="E9" s="156" t="s">
        <v>2611</v>
      </c>
      <c r="F9" s="23"/>
    </row>
    <row r="10" spans="1:6" ht="45" customHeight="1">
      <c r="A10" s="147" t="s">
        <v>2612</v>
      </c>
      <c r="B10" s="148" t="s">
        <v>2523</v>
      </c>
      <c r="C10" s="149" t="s">
        <v>1327</v>
      </c>
      <c r="D10" s="149" t="s">
        <v>341</v>
      </c>
      <c r="E10" s="151" t="s">
        <v>2613</v>
      </c>
      <c r="F10" s="23"/>
    </row>
    <row r="11" spans="1:6" ht="45" customHeight="1">
      <c r="A11" s="152" t="s">
        <v>2614</v>
      </c>
      <c r="B11" s="153" t="s">
        <v>2615</v>
      </c>
      <c r="C11" s="154" t="s">
        <v>1327</v>
      </c>
      <c r="D11" s="154" t="s">
        <v>341</v>
      </c>
      <c r="E11" s="156" t="s">
        <v>2616</v>
      </c>
      <c r="F11" s="23"/>
    </row>
    <row r="12" spans="1:6" ht="45" customHeight="1">
      <c r="A12" s="147" t="s">
        <v>2617</v>
      </c>
      <c r="B12" s="148" t="s">
        <v>2618</v>
      </c>
      <c r="C12" s="149" t="s">
        <v>1327</v>
      </c>
      <c r="D12" s="149" t="s">
        <v>341</v>
      </c>
      <c r="E12" s="151" t="s">
        <v>2619</v>
      </c>
      <c r="F12" s="23"/>
    </row>
    <row r="13" spans="1:6" ht="45" customHeight="1">
      <c r="A13" s="152" t="s">
        <v>2620</v>
      </c>
      <c r="B13" s="153" t="s">
        <v>1491</v>
      </c>
      <c r="C13" s="154" t="s">
        <v>1327</v>
      </c>
      <c r="D13" s="154" t="s">
        <v>341</v>
      </c>
      <c r="E13" s="156" t="s">
        <v>2621</v>
      </c>
      <c r="F13" s="23"/>
    </row>
    <row r="14" spans="1:6" ht="45" customHeight="1">
      <c r="A14" s="147" t="s">
        <v>2622</v>
      </c>
      <c r="B14" s="148" t="s">
        <v>2623</v>
      </c>
      <c r="C14" s="149" t="s">
        <v>2038</v>
      </c>
      <c r="D14" s="149" t="s">
        <v>341</v>
      </c>
      <c r="E14" s="151" t="s">
        <v>2624</v>
      </c>
      <c r="F14" s="23"/>
    </row>
    <row r="15" spans="1:6" ht="45" customHeight="1">
      <c r="A15" s="152" t="s">
        <v>2625</v>
      </c>
      <c r="B15" s="153" t="s">
        <v>2626</v>
      </c>
      <c r="C15" s="154" t="s">
        <v>1327</v>
      </c>
      <c r="D15" s="154" t="s">
        <v>341</v>
      </c>
      <c r="E15" s="156" t="s">
        <v>2627</v>
      </c>
      <c r="F15" s="23"/>
    </row>
    <row r="16" spans="1:6" ht="45" customHeight="1">
      <c r="A16" s="147" t="s">
        <v>2628</v>
      </c>
      <c r="B16" s="148" t="s">
        <v>2629</v>
      </c>
      <c r="C16" s="149" t="s">
        <v>1327</v>
      </c>
      <c r="D16" s="149" t="s">
        <v>341</v>
      </c>
      <c r="E16" s="151" t="s">
        <v>2630</v>
      </c>
      <c r="F16" s="23"/>
    </row>
    <row r="17" spans="1:6" ht="45" customHeight="1">
      <c r="A17" s="152" t="s">
        <v>2631</v>
      </c>
      <c r="B17" s="153" t="s">
        <v>2632</v>
      </c>
      <c r="C17" s="154" t="s">
        <v>1327</v>
      </c>
      <c r="D17" s="154" t="s">
        <v>341</v>
      </c>
      <c r="E17" s="156" t="s">
        <v>2633</v>
      </c>
      <c r="F17" s="23"/>
    </row>
    <row r="18" spans="1:6" ht="45" customHeight="1">
      <c r="A18" s="147" t="s">
        <v>2634</v>
      </c>
      <c r="B18" s="148" t="s">
        <v>2635</v>
      </c>
      <c r="C18" s="149" t="s">
        <v>1327</v>
      </c>
      <c r="D18" s="149" t="s">
        <v>341</v>
      </c>
      <c r="E18" s="151" t="s">
        <v>2636</v>
      </c>
      <c r="F18" s="23"/>
    </row>
    <row r="19" spans="1:6" ht="45" customHeight="1">
      <c r="A19" s="152" t="s">
        <v>2637</v>
      </c>
      <c r="B19" s="153" t="s">
        <v>2638</v>
      </c>
      <c r="C19" s="154" t="s">
        <v>1327</v>
      </c>
      <c r="D19" s="154" t="s">
        <v>341</v>
      </c>
      <c r="E19" s="156" t="s">
        <v>2639</v>
      </c>
      <c r="F19" s="23"/>
    </row>
    <row r="20" spans="1:6" ht="45" customHeight="1">
      <c r="A20" s="147" t="s">
        <v>2640</v>
      </c>
      <c r="B20" s="148" t="s">
        <v>2641</v>
      </c>
      <c r="C20" s="149" t="s">
        <v>1327</v>
      </c>
      <c r="D20" s="149" t="s">
        <v>341</v>
      </c>
      <c r="E20" s="151" t="s">
        <v>2642</v>
      </c>
      <c r="F20" s="23"/>
    </row>
    <row r="21" spans="1:6" ht="45" customHeight="1">
      <c r="A21" s="152" t="s">
        <v>2643</v>
      </c>
      <c r="B21" s="153" t="s">
        <v>2644</v>
      </c>
      <c r="C21" s="154" t="s">
        <v>1327</v>
      </c>
      <c r="D21" s="154" t="s">
        <v>341</v>
      </c>
      <c r="E21" s="156" t="s">
        <v>2645</v>
      </c>
      <c r="F21" s="23"/>
    </row>
    <row r="22" spans="1:6" ht="45" customHeight="1">
      <c r="A22" s="147" t="s">
        <v>2646</v>
      </c>
      <c r="B22" s="148" t="s">
        <v>2647</v>
      </c>
      <c r="C22" s="149" t="s">
        <v>1327</v>
      </c>
      <c r="D22" s="149" t="s">
        <v>341</v>
      </c>
      <c r="E22" s="151" t="s">
        <v>2648</v>
      </c>
      <c r="F22" s="23"/>
    </row>
    <row r="23" spans="1:6" ht="45" customHeight="1">
      <c r="A23" s="152" t="s">
        <v>2649</v>
      </c>
      <c r="B23" s="153" t="s">
        <v>2650</v>
      </c>
      <c r="C23" s="154" t="s">
        <v>1327</v>
      </c>
      <c r="D23" s="154" t="s">
        <v>341</v>
      </c>
      <c r="E23" s="156" t="s">
        <v>2651</v>
      </c>
      <c r="F23" s="23"/>
    </row>
    <row r="24" spans="1:6" ht="45" customHeight="1">
      <c r="A24" s="147" t="s">
        <v>2652</v>
      </c>
      <c r="B24" s="148" t="s">
        <v>2653</v>
      </c>
      <c r="C24" s="149" t="s">
        <v>1327</v>
      </c>
      <c r="D24" s="149" t="s">
        <v>341</v>
      </c>
      <c r="E24" s="151" t="s">
        <v>2654</v>
      </c>
      <c r="F24" s="23"/>
    </row>
    <row r="25" spans="1:6" ht="45" customHeight="1">
      <c r="A25" s="152" t="s">
        <v>2655</v>
      </c>
      <c r="B25" s="153" t="s">
        <v>2656</v>
      </c>
      <c r="C25" s="154" t="s">
        <v>1327</v>
      </c>
      <c r="D25" s="154" t="s">
        <v>341</v>
      </c>
      <c r="E25" s="156" t="s">
        <v>2657</v>
      </c>
      <c r="F25" s="23"/>
    </row>
    <row r="26" spans="1:6" ht="45" customHeight="1">
      <c r="A26" s="147" t="s">
        <v>2658</v>
      </c>
      <c r="B26" s="148" t="s">
        <v>2659</v>
      </c>
      <c r="C26" s="149" t="s">
        <v>1327</v>
      </c>
      <c r="D26" s="149" t="s">
        <v>341</v>
      </c>
      <c r="E26" s="151" t="s">
        <v>2660</v>
      </c>
      <c r="F26" s="23"/>
    </row>
    <row r="27" spans="1:6" ht="45" customHeight="1">
      <c r="A27" s="152" t="s">
        <v>2661</v>
      </c>
      <c r="B27" s="153" t="s">
        <v>2662</v>
      </c>
      <c r="C27" s="154" t="s">
        <v>1327</v>
      </c>
      <c r="D27" s="154" t="s">
        <v>341</v>
      </c>
      <c r="E27" s="156" t="s">
        <v>2663</v>
      </c>
      <c r="F27" s="23"/>
    </row>
    <row r="28" spans="1:6" ht="45" customHeight="1">
      <c r="A28" s="157" t="s">
        <v>2664</v>
      </c>
      <c r="B28" s="158" t="s">
        <v>2665</v>
      </c>
      <c r="C28" s="159" t="s">
        <v>1327</v>
      </c>
      <c r="D28" s="159" t="s">
        <v>341</v>
      </c>
      <c r="E28" s="161" t="s">
        <v>2666</v>
      </c>
      <c r="F28" s="23"/>
    </row>
    <row r="29" spans="1:6" ht="45" customHeight="1">
      <c r="A29" s="168" t="s">
        <v>2667</v>
      </c>
      <c r="B29" s="101" t="s">
        <v>2668</v>
      </c>
      <c r="C29" s="170" t="s">
        <v>1327</v>
      </c>
      <c r="D29" s="170" t="s">
        <v>341</v>
      </c>
      <c r="E29" s="101" t="s">
        <v>2669</v>
      </c>
      <c r="F29" s="23"/>
    </row>
    <row r="30" spans="1:6" ht="45" customHeight="1">
      <c r="A30" s="162" t="s">
        <v>2670</v>
      </c>
      <c r="B30" s="100" t="s">
        <v>2671</v>
      </c>
      <c r="C30" s="163" t="s">
        <v>2062</v>
      </c>
      <c r="D30" s="163" t="s">
        <v>341</v>
      </c>
      <c r="E30" s="100" t="s">
        <v>2672</v>
      </c>
      <c r="F30" s="23"/>
    </row>
    <row r="31" spans="1:6" ht="26.25" customHeight="1">
      <c r="A31" s="171" t="s">
        <v>2673</v>
      </c>
      <c r="B31" s="172" t="s">
        <v>2674</v>
      </c>
      <c r="C31" s="171" t="s">
        <v>2675</v>
      </c>
      <c r="D31" s="172" t="s">
        <v>341</v>
      </c>
      <c r="E31" s="172" t="s">
        <v>2676</v>
      </c>
      <c r="F31" s="23"/>
    </row>
    <row r="32" spans="1:6" ht="64.5" customHeight="1">
      <c r="A32" s="171" t="s">
        <v>2677</v>
      </c>
      <c r="B32" s="172" t="s">
        <v>2678</v>
      </c>
      <c r="C32" s="171" t="s">
        <v>1327</v>
      </c>
      <c r="D32" s="172" t="s">
        <v>341</v>
      </c>
      <c r="E32" s="172" t="s">
        <v>2679</v>
      </c>
      <c r="F32" s="23"/>
    </row>
    <row r="33" spans="1:6" ht="39" customHeight="1">
      <c r="A33" s="171" t="s">
        <v>2680</v>
      </c>
      <c r="B33" s="172" t="s">
        <v>2681</v>
      </c>
      <c r="C33" s="171" t="s">
        <v>2682</v>
      </c>
      <c r="D33" s="172" t="s">
        <v>2683</v>
      </c>
      <c r="E33" s="172" t="s">
        <v>2684</v>
      </c>
      <c r="F33" s="23"/>
    </row>
    <row r="34" spans="1:6" ht="26.25" customHeight="1">
      <c r="A34" s="171" t="s">
        <v>2685</v>
      </c>
      <c r="B34" s="172" t="s">
        <v>2686</v>
      </c>
      <c r="C34" s="171" t="s">
        <v>2675</v>
      </c>
      <c r="D34" s="172" t="s">
        <v>2687</v>
      </c>
      <c r="E34" s="172" t="s">
        <v>2688</v>
      </c>
      <c r="F34" s="23"/>
    </row>
    <row r="35" spans="1:6" ht="26.25" customHeight="1">
      <c r="A35" s="171" t="s">
        <v>2689</v>
      </c>
      <c r="B35" s="172" t="s">
        <v>2690</v>
      </c>
      <c r="C35" s="171" t="s">
        <v>2682</v>
      </c>
      <c r="D35" s="172" t="s">
        <v>2691</v>
      </c>
      <c r="E35" s="172" t="s">
        <v>2692</v>
      </c>
      <c r="F35" s="23"/>
    </row>
    <row r="36" spans="1:6" ht="39" customHeight="1">
      <c r="A36" s="171" t="s">
        <v>2693</v>
      </c>
      <c r="B36" s="172" t="s">
        <v>2694</v>
      </c>
      <c r="C36" s="171" t="s">
        <v>2675</v>
      </c>
      <c r="D36" s="172" t="s">
        <v>2695</v>
      </c>
      <c r="E36" s="172" t="s">
        <v>2696</v>
      </c>
      <c r="F36" s="23"/>
    </row>
    <row r="37" spans="1:6" ht="39" customHeight="1">
      <c r="A37" s="171" t="s">
        <v>2697</v>
      </c>
      <c r="B37" s="172" t="s">
        <v>2698</v>
      </c>
      <c r="C37" s="171" t="s">
        <v>2675</v>
      </c>
      <c r="D37" s="172" t="s">
        <v>2699</v>
      </c>
      <c r="E37" s="172" t="s">
        <v>2700</v>
      </c>
      <c r="F37" s="23"/>
    </row>
    <row r="38" spans="1:6" ht="39" customHeight="1">
      <c r="A38" s="171" t="s">
        <v>2701</v>
      </c>
      <c r="B38" s="172" t="s">
        <v>2702</v>
      </c>
      <c r="C38" s="171" t="s">
        <v>2675</v>
      </c>
      <c r="D38" s="172" t="s">
        <v>2703</v>
      </c>
      <c r="E38" s="172" t="s">
        <v>2704</v>
      </c>
      <c r="F38" s="23"/>
    </row>
    <row r="39" spans="1:6" ht="26.25" customHeight="1">
      <c r="A39" s="171" t="s">
        <v>2705</v>
      </c>
      <c r="B39" s="172" t="s">
        <v>2706</v>
      </c>
      <c r="C39" s="171" t="s">
        <v>2675</v>
      </c>
      <c r="D39" s="172" t="s">
        <v>2707</v>
      </c>
      <c r="E39" s="172" t="s">
        <v>2708</v>
      </c>
      <c r="F39" s="23"/>
    </row>
    <row r="40" spans="1:6" ht="39" customHeight="1">
      <c r="A40" s="171" t="s">
        <v>2709</v>
      </c>
      <c r="B40" s="172" t="s">
        <v>2710</v>
      </c>
      <c r="C40" s="171" t="s">
        <v>2675</v>
      </c>
      <c r="D40" s="172" t="s">
        <v>2711</v>
      </c>
      <c r="E40" s="172" t="s">
        <v>2712</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2151</v>
      </c>
    </row>
  </sheetData>
  <pageMargins left="0.7" right="0.7" top="0.75" bottom="0.75" header="0.511811023622047" footer="0.511811023622047"/>
  <pageSetup paperSize="9" orientation="portrait" horizontalDpi="300" verticalDpi="300"/>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54"/>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1894</v>
      </c>
      <c r="B1" s="174" t="s">
        <v>2713</v>
      </c>
      <c r="C1" s="174" t="s">
        <v>243</v>
      </c>
      <c r="D1" s="174" t="s">
        <v>2714</v>
      </c>
      <c r="E1" s="174" t="s">
        <v>2715</v>
      </c>
      <c r="F1" s="175" t="s">
        <v>2716</v>
      </c>
      <c r="G1" s="176" t="s">
        <v>2717</v>
      </c>
    </row>
    <row r="2" spans="1:7" ht="60" customHeight="1">
      <c r="A2" s="147" t="s">
        <v>2380</v>
      </c>
      <c r="B2" s="148" t="s">
        <v>2379</v>
      </c>
      <c r="C2" s="177" t="s">
        <v>2718</v>
      </c>
      <c r="D2" s="148" t="s">
        <v>2719</v>
      </c>
      <c r="E2" s="148" t="s">
        <v>2720</v>
      </c>
      <c r="F2" s="151" t="s">
        <v>2721</v>
      </c>
      <c r="G2" s="100" t="s">
        <v>2722</v>
      </c>
    </row>
    <row r="3" spans="1:7" ht="60" customHeight="1">
      <c r="A3" s="152" t="s">
        <v>2394</v>
      </c>
      <c r="B3" s="178">
        <v>46088</v>
      </c>
      <c r="C3" s="179" t="s">
        <v>2723</v>
      </c>
      <c r="D3" s="153" t="s">
        <v>2724</v>
      </c>
      <c r="E3" s="153" t="s">
        <v>2725</v>
      </c>
      <c r="F3" s="156" t="s">
        <v>2726</v>
      </c>
      <c r="G3" s="101" t="s">
        <v>2727</v>
      </c>
    </row>
    <row r="4" spans="1:7" ht="60" customHeight="1">
      <c r="A4" s="147" t="s">
        <v>2728</v>
      </c>
      <c r="B4" s="180">
        <v>46089</v>
      </c>
      <c r="C4" s="149" t="s">
        <v>2729</v>
      </c>
      <c r="D4" s="148" t="s">
        <v>2730</v>
      </c>
      <c r="E4" s="148" t="s">
        <v>2731</v>
      </c>
      <c r="F4" s="151" t="s">
        <v>2732</v>
      </c>
      <c r="G4" s="100" t="s">
        <v>2733</v>
      </c>
    </row>
    <row r="5" spans="1:7" ht="60" customHeight="1">
      <c r="A5" s="152" t="s">
        <v>2435</v>
      </c>
      <c r="B5" s="178">
        <v>46089</v>
      </c>
      <c r="C5" s="154" t="s">
        <v>2729</v>
      </c>
      <c r="D5" s="153" t="s">
        <v>2734</v>
      </c>
      <c r="E5" s="153" t="s">
        <v>2735</v>
      </c>
      <c r="F5" s="156" t="s">
        <v>2736</v>
      </c>
      <c r="G5" s="101" t="s">
        <v>2737</v>
      </c>
    </row>
    <row r="6" spans="1:7" ht="60" customHeight="1">
      <c r="A6" s="147" t="s">
        <v>2738</v>
      </c>
      <c r="B6" s="180">
        <v>46089</v>
      </c>
      <c r="C6" s="149" t="s">
        <v>2729</v>
      </c>
      <c r="D6" s="148" t="s">
        <v>2739</v>
      </c>
      <c r="E6" s="148" t="s">
        <v>2740</v>
      </c>
      <c r="F6" s="151" t="s">
        <v>2741</v>
      </c>
      <c r="G6" s="100" t="s">
        <v>2742</v>
      </c>
    </row>
    <row r="7" spans="1:7" ht="60" customHeight="1">
      <c r="A7" s="152" t="s">
        <v>2743</v>
      </c>
      <c r="B7" s="178">
        <v>46089</v>
      </c>
      <c r="C7" s="154" t="s">
        <v>2729</v>
      </c>
      <c r="D7" s="153" t="s">
        <v>2744</v>
      </c>
      <c r="E7" s="153" t="s">
        <v>2745</v>
      </c>
      <c r="F7" s="156" t="s">
        <v>2746</v>
      </c>
      <c r="G7" s="101" t="s">
        <v>2747</v>
      </c>
    </row>
    <row r="8" spans="1:7" ht="60" customHeight="1">
      <c r="A8" s="147" t="s">
        <v>2748</v>
      </c>
      <c r="B8" s="181">
        <v>46089</v>
      </c>
      <c r="C8" s="149" t="s">
        <v>2729</v>
      </c>
      <c r="D8" s="148" t="s">
        <v>2749</v>
      </c>
      <c r="E8" s="148" t="s">
        <v>2750</v>
      </c>
      <c r="F8" s="151" t="s">
        <v>2751</v>
      </c>
      <c r="G8" s="100" t="s">
        <v>2752</v>
      </c>
    </row>
    <row r="9" spans="1:7" ht="60" customHeight="1">
      <c r="A9" s="152" t="s">
        <v>2753</v>
      </c>
      <c r="B9" s="178">
        <v>46089</v>
      </c>
      <c r="C9" s="154" t="s">
        <v>2729</v>
      </c>
      <c r="D9" s="153" t="s">
        <v>2754</v>
      </c>
      <c r="E9" s="153" t="s">
        <v>2755</v>
      </c>
      <c r="F9" s="156" t="s">
        <v>2756</v>
      </c>
      <c r="G9" s="101" t="s">
        <v>2757</v>
      </c>
    </row>
    <row r="10" spans="1:7" ht="60" customHeight="1">
      <c r="A10" s="147" t="s">
        <v>2758</v>
      </c>
      <c r="B10" s="180">
        <v>46089</v>
      </c>
      <c r="C10" s="149" t="s">
        <v>2729</v>
      </c>
      <c r="D10" s="148" t="s">
        <v>2759</v>
      </c>
      <c r="E10" s="148" t="s">
        <v>2760</v>
      </c>
      <c r="F10" s="151" t="s">
        <v>2761</v>
      </c>
      <c r="G10" s="100" t="s">
        <v>2762</v>
      </c>
    </row>
    <row r="11" spans="1:7" ht="60" customHeight="1">
      <c r="A11" s="152" t="s">
        <v>2763</v>
      </c>
      <c r="B11" s="178">
        <f ca="1">TODAY()</f>
        <v>46097</v>
      </c>
      <c r="C11" s="154" t="s">
        <v>2729</v>
      </c>
      <c r="D11" s="153" t="s">
        <v>2764</v>
      </c>
      <c r="E11" s="153" t="s">
        <v>2765</v>
      </c>
      <c r="F11" s="156" t="s">
        <v>2766</v>
      </c>
      <c r="G11" s="101" t="s">
        <v>2767</v>
      </c>
    </row>
    <row r="12" spans="1:7" ht="60" customHeight="1">
      <c r="A12" s="147" t="s">
        <v>2768</v>
      </c>
      <c r="B12" s="180">
        <v>46089</v>
      </c>
      <c r="C12" s="149" t="s">
        <v>2729</v>
      </c>
      <c r="D12" s="148" t="s">
        <v>2769</v>
      </c>
      <c r="E12" s="148" t="s">
        <v>2770</v>
      </c>
      <c r="F12" s="151" t="s">
        <v>2771</v>
      </c>
      <c r="G12" s="100" t="s">
        <v>2772</v>
      </c>
    </row>
    <row r="13" spans="1:7" ht="60" customHeight="1">
      <c r="A13" s="152" t="s">
        <v>2773</v>
      </c>
      <c r="B13" s="178">
        <v>46089</v>
      </c>
      <c r="C13" s="154" t="s">
        <v>2729</v>
      </c>
      <c r="D13" s="153" t="s">
        <v>2774</v>
      </c>
      <c r="E13" s="153" t="s">
        <v>2775</v>
      </c>
      <c r="F13" s="156" t="s">
        <v>2776</v>
      </c>
      <c r="G13" s="101" t="s">
        <v>2777</v>
      </c>
    </row>
    <row r="14" spans="1:7" ht="60" customHeight="1">
      <c r="A14" s="147" t="s">
        <v>2414</v>
      </c>
      <c r="B14" s="180">
        <v>46089</v>
      </c>
      <c r="C14" s="149" t="s">
        <v>2729</v>
      </c>
      <c r="D14" s="148" t="s">
        <v>2778</v>
      </c>
      <c r="E14" s="148" t="s">
        <v>2779</v>
      </c>
      <c r="F14" s="151" t="s">
        <v>2780</v>
      </c>
      <c r="G14" s="100" t="s">
        <v>2781</v>
      </c>
    </row>
    <row r="15" spans="1:7" ht="60" customHeight="1">
      <c r="A15" s="152" t="s">
        <v>2782</v>
      </c>
      <c r="B15" s="178">
        <v>46089</v>
      </c>
      <c r="C15" s="154" t="s">
        <v>2729</v>
      </c>
      <c r="D15" s="153" t="s">
        <v>2783</v>
      </c>
      <c r="E15" s="153" t="s">
        <v>2784</v>
      </c>
      <c r="F15" s="156" t="s">
        <v>2785</v>
      </c>
      <c r="G15" s="101" t="s">
        <v>2786</v>
      </c>
    </row>
    <row r="16" spans="1:7" ht="60" customHeight="1">
      <c r="A16" s="147" t="s">
        <v>2787</v>
      </c>
      <c r="B16" s="181">
        <v>46090</v>
      </c>
      <c r="C16" s="149" t="s">
        <v>2729</v>
      </c>
      <c r="D16" s="148" t="s">
        <v>2788</v>
      </c>
      <c r="E16" s="148" t="s">
        <v>761</v>
      </c>
      <c r="F16" s="151" t="s">
        <v>2789</v>
      </c>
      <c r="G16" s="100" t="s">
        <v>2790</v>
      </c>
    </row>
    <row r="17" spans="1:7" ht="60" customHeight="1">
      <c r="A17" s="152" t="s">
        <v>2455</v>
      </c>
      <c r="B17" s="182">
        <v>46090</v>
      </c>
      <c r="C17" s="154" t="s">
        <v>2729</v>
      </c>
      <c r="D17" s="153" t="s">
        <v>2791</v>
      </c>
      <c r="E17" s="153" t="s">
        <v>2792</v>
      </c>
      <c r="F17" s="156" t="s">
        <v>2793</v>
      </c>
      <c r="G17" s="101"/>
    </row>
    <row r="18" spans="1:7" ht="60" customHeight="1">
      <c r="A18" s="147" t="s">
        <v>2422</v>
      </c>
      <c r="B18" s="181">
        <v>46090</v>
      </c>
      <c r="C18" s="149" t="s">
        <v>2729</v>
      </c>
      <c r="D18" s="148" t="s">
        <v>2794</v>
      </c>
      <c r="E18" s="148" t="s">
        <v>2795</v>
      </c>
      <c r="F18" s="151" t="s">
        <v>2796</v>
      </c>
      <c r="G18" s="100"/>
    </row>
    <row r="19" spans="1:7" ht="60.75" customHeight="1">
      <c r="A19" s="183" t="s">
        <v>2797</v>
      </c>
      <c r="B19" s="184">
        <v>46095</v>
      </c>
      <c r="C19" s="185" t="s">
        <v>2798</v>
      </c>
      <c r="D19" s="186" t="s">
        <v>2799</v>
      </c>
      <c r="E19" s="186" t="s">
        <v>2800</v>
      </c>
      <c r="F19" s="187" t="s">
        <v>2801</v>
      </c>
      <c r="G19" s="188" t="s">
        <v>2802</v>
      </c>
    </row>
    <row r="20" spans="1:7" ht="60" customHeight="1">
      <c r="A20" s="147" t="s">
        <v>2803</v>
      </c>
      <c r="B20" s="181">
        <v>46089</v>
      </c>
      <c r="C20" s="149" t="s">
        <v>2729</v>
      </c>
      <c r="D20" s="148" t="s">
        <v>2804</v>
      </c>
      <c r="E20" s="148" t="s">
        <v>2805</v>
      </c>
      <c r="F20" s="151" t="s">
        <v>2806</v>
      </c>
      <c r="G20" s="100"/>
    </row>
    <row r="21" spans="1:7" ht="60" customHeight="1">
      <c r="A21" s="152" t="s">
        <v>2807</v>
      </c>
      <c r="B21" s="182">
        <v>46090</v>
      </c>
      <c r="C21" s="154" t="s">
        <v>2729</v>
      </c>
      <c r="D21" s="153" t="s">
        <v>2808</v>
      </c>
      <c r="E21" s="153" t="s">
        <v>2809</v>
      </c>
      <c r="F21" s="156" t="s">
        <v>2810</v>
      </c>
      <c r="G21" s="101"/>
    </row>
    <row r="22" spans="1:7" ht="60" customHeight="1">
      <c r="A22" s="147" t="s">
        <v>2811</v>
      </c>
      <c r="B22" s="189">
        <f ca="1">TODAY()</f>
        <v>46097</v>
      </c>
      <c r="C22" s="149" t="s">
        <v>2729</v>
      </c>
      <c r="D22" s="148" t="s">
        <v>2812</v>
      </c>
      <c r="E22" s="148" t="s">
        <v>2813</v>
      </c>
      <c r="F22" s="151" t="s">
        <v>2814</v>
      </c>
      <c r="G22" s="100" t="s">
        <v>2815</v>
      </c>
    </row>
    <row r="23" spans="1:7" ht="60" customHeight="1">
      <c r="A23" s="152" t="s">
        <v>2816</v>
      </c>
      <c r="B23" s="182">
        <v>46091</v>
      </c>
      <c r="C23" s="190" t="s">
        <v>2817</v>
      </c>
      <c r="D23" s="153" t="s">
        <v>2818</v>
      </c>
      <c r="E23" s="153" t="s">
        <v>2819</v>
      </c>
      <c r="F23" s="156" t="s">
        <v>2820</v>
      </c>
      <c r="G23" s="101" t="s">
        <v>2821</v>
      </c>
    </row>
    <row r="24" spans="1:7" ht="60" customHeight="1">
      <c r="A24" s="147" t="s">
        <v>2822</v>
      </c>
      <c r="B24" s="181">
        <v>46091</v>
      </c>
      <c r="C24" s="191" t="s">
        <v>2817</v>
      </c>
      <c r="D24" s="148" t="s">
        <v>2823</v>
      </c>
      <c r="E24" s="148" t="s">
        <v>2824</v>
      </c>
      <c r="F24" s="151" t="s">
        <v>2825</v>
      </c>
      <c r="G24" s="100" t="s">
        <v>2826</v>
      </c>
    </row>
    <row r="25" spans="1:7" ht="60" customHeight="1">
      <c r="A25" s="152" t="s">
        <v>2827</v>
      </c>
      <c r="B25" s="178">
        <v>46092</v>
      </c>
      <c r="C25" s="154" t="s">
        <v>2729</v>
      </c>
      <c r="D25" s="153" t="s">
        <v>2828</v>
      </c>
      <c r="E25" s="153" t="s">
        <v>2829</v>
      </c>
      <c r="F25" s="156" t="s">
        <v>2830</v>
      </c>
      <c r="G25" s="101" t="s">
        <v>2831</v>
      </c>
    </row>
    <row r="26" spans="1:7" ht="60" customHeight="1">
      <c r="A26" s="147" t="s">
        <v>2832</v>
      </c>
      <c r="B26" s="180">
        <v>46092</v>
      </c>
      <c r="C26" s="149" t="s">
        <v>2729</v>
      </c>
      <c r="D26" s="148" t="s">
        <v>2833</v>
      </c>
      <c r="E26" s="148" t="s">
        <v>2834</v>
      </c>
      <c r="F26" s="151" t="s">
        <v>2835</v>
      </c>
      <c r="G26" s="100" t="s">
        <v>2729</v>
      </c>
    </row>
    <row r="27" spans="1:7" ht="60" customHeight="1">
      <c r="A27" s="152" t="s">
        <v>2836</v>
      </c>
      <c r="B27" s="178">
        <v>46092</v>
      </c>
      <c r="C27" s="154" t="s">
        <v>2729</v>
      </c>
      <c r="D27" s="153" t="s">
        <v>2837</v>
      </c>
      <c r="E27" s="153" t="s">
        <v>2838</v>
      </c>
      <c r="F27" s="156" t="s">
        <v>2839</v>
      </c>
      <c r="G27" s="101" t="s">
        <v>2840</v>
      </c>
    </row>
    <row r="28" spans="1:7" ht="60" customHeight="1">
      <c r="A28" s="147" t="s">
        <v>2841</v>
      </c>
      <c r="B28" s="180">
        <v>46092</v>
      </c>
      <c r="C28" s="191" t="s">
        <v>2817</v>
      </c>
      <c r="D28" s="148" t="s">
        <v>2842</v>
      </c>
      <c r="E28" s="148" t="s">
        <v>2843</v>
      </c>
      <c r="F28" s="151" t="s">
        <v>2844</v>
      </c>
      <c r="G28" s="100" t="s">
        <v>2845</v>
      </c>
    </row>
    <row r="29" spans="1:7" ht="68.25" customHeight="1">
      <c r="A29" s="192" t="s">
        <v>2846</v>
      </c>
      <c r="B29" s="193">
        <v>46096</v>
      </c>
      <c r="C29" s="192" t="s">
        <v>2729</v>
      </c>
      <c r="D29" s="130" t="s">
        <v>2847</v>
      </c>
      <c r="E29" s="130" t="s">
        <v>2848</v>
      </c>
      <c r="F29" s="130" t="s">
        <v>2849</v>
      </c>
      <c r="G29" s="130" t="s">
        <v>2850</v>
      </c>
    </row>
    <row r="30" spans="1:7" ht="15" customHeight="1">
      <c r="A30" s="6" t="s">
        <v>2851</v>
      </c>
      <c r="B30" s="194">
        <v>46096</v>
      </c>
      <c r="C30" s="6" t="s">
        <v>2729</v>
      </c>
      <c r="D30" s="7" t="s">
        <v>2852</v>
      </c>
      <c r="E30" s="195" t="s">
        <v>2853</v>
      </c>
      <c r="F30" s="195" t="s">
        <v>2854</v>
      </c>
      <c r="G30" s="130" t="s">
        <v>2855</v>
      </c>
    </row>
    <row r="31" spans="1:7" ht="15" customHeight="1">
      <c r="A31" s="196" t="s">
        <v>2856</v>
      </c>
      <c r="B31" s="197" t="s">
        <v>709</v>
      </c>
      <c r="C31" s="197" t="s">
        <v>2857</v>
      </c>
      <c r="D31" s="198" t="s">
        <v>2858</v>
      </c>
      <c r="E31" s="198" t="s">
        <v>2859</v>
      </c>
      <c r="F31" s="199" t="s">
        <v>2860</v>
      </c>
      <c r="G31" s="69" t="s">
        <v>2861</v>
      </c>
    </row>
    <row r="32" spans="1:7" ht="60" customHeight="1">
      <c r="A32" s="157" t="s">
        <v>2862</v>
      </c>
      <c r="B32" s="200">
        <v>46092</v>
      </c>
      <c r="C32" s="159" t="s">
        <v>2729</v>
      </c>
      <c r="D32" s="158" t="s">
        <v>2863</v>
      </c>
      <c r="E32" s="158" t="s">
        <v>2864</v>
      </c>
      <c r="F32" s="161" t="s">
        <v>2865</v>
      </c>
      <c r="G32" s="100"/>
    </row>
    <row r="33" spans="1:7" ht="60" customHeight="1">
      <c r="A33" s="168" t="s">
        <v>2866</v>
      </c>
      <c r="B33" s="201">
        <v>46092</v>
      </c>
      <c r="C33" s="170" t="s">
        <v>2729</v>
      </c>
      <c r="D33" s="101" t="s">
        <v>2867</v>
      </c>
      <c r="E33" s="101" t="s">
        <v>761</v>
      </c>
      <c r="F33" s="101" t="s">
        <v>2868</v>
      </c>
      <c r="G33" s="101" t="s">
        <v>2869</v>
      </c>
    </row>
    <row r="34" spans="1:7" ht="60" customHeight="1">
      <c r="A34" s="162" t="s">
        <v>2870</v>
      </c>
      <c r="B34" s="202">
        <v>46093</v>
      </c>
      <c r="C34" s="163" t="s">
        <v>2729</v>
      </c>
      <c r="D34" s="100" t="s">
        <v>2871</v>
      </c>
      <c r="E34" s="100" t="s">
        <v>2872</v>
      </c>
      <c r="F34" s="100" t="s">
        <v>2873</v>
      </c>
      <c r="G34" s="100" t="s">
        <v>2874</v>
      </c>
    </row>
    <row r="35" spans="1:7" ht="60" customHeight="1">
      <c r="A35" s="168" t="s">
        <v>2875</v>
      </c>
      <c r="B35" s="101">
        <v>46093</v>
      </c>
      <c r="C35" s="170" t="s">
        <v>2729</v>
      </c>
      <c r="D35" s="101" t="s">
        <v>2876</v>
      </c>
      <c r="E35" s="101" t="s">
        <v>2877</v>
      </c>
      <c r="F35" s="101" t="s">
        <v>2878</v>
      </c>
      <c r="G35" s="101" t="s">
        <v>2879</v>
      </c>
    </row>
    <row r="36" spans="1:7" ht="60" customHeight="1">
      <c r="A36" s="162" t="s">
        <v>2880</v>
      </c>
      <c r="B36" s="100">
        <v>46093</v>
      </c>
      <c r="C36" s="163" t="s">
        <v>2729</v>
      </c>
      <c r="D36" s="100" t="s">
        <v>2881</v>
      </c>
      <c r="E36" s="100" t="s">
        <v>2882</v>
      </c>
      <c r="F36" s="100" t="s">
        <v>2883</v>
      </c>
      <c r="G36" s="100" t="s">
        <v>2884</v>
      </c>
    </row>
    <row r="37" spans="1:7" ht="60" customHeight="1">
      <c r="A37" s="168" t="s">
        <v>2885</v>
      </c>
      <c r="B37" s="101">
        <v>46093</v>
      </c>
      <c r="C37" s="170" t="s">
        <v>2729</v>
      </c>
      <c r="D37" s="101" t="s">
        <v>2886</v>
      </c>
      <c r="E37" s="101" t="s">
        <v>2887</v>
      </c>
      <c r="F37" s="101" t="s">
        <v>2888</v>
      </c>
      <c r="G37" s="101" t="s">
        <v>2889</v>
      </c>
    </row>
    <row r="38" spans="1:7" ht="60" customHeight="1">
      <c r="A38" s="162" t="s">
        <v>2890</v>
      </c>
      <c r="B38" s="202">
        <v>46093</v>
      </c>
      <c r="C38" s="203" t="s">
        <v>2817</v>
      </c>
      <c r="D38" s="100" t="s">
        <v>2891</v>
      </c>
      <c r="E38" s="100" t="s">
        <v>2892</v>
      </c>
      <c r="F38" s="100" t="s">
        <v>2893</v>
      </c>
      <c r="G38" s="100" t="s">
        <v>2894</v>
      </c>
    </row>
    <row r="39" spans="1:7" ht="15" customHeight="1">
      <c r="A39" s="396" t="s">
        <v>2895</v>
      </c>
      <c r="B39" s="396" t="s">
        <v>709</v>
      </c>
      <c r="C39" s="396" t="s">
        <v>2798</v>
      </c>
      <c r="D39" s="396" t="s">
        <v>2896</v>
      </c>
      <c r="E39" s="396" t="s">
        <v>2897</v>
      </c>
      <c r="F39" s="396" t="s">
        <v>2898</v>
      </c>
      <c r="G39" s="396" t="s">
        <v>2899</v>
      </c>
    </row>
    <row r="40" spans="1:7" ht="63.75" customHeight="1">
      <c r="A40" s="397" t="s">
        <v>2900</v>
      </c>
      <c r="B40" s="398" t="s">
        <v>709</v>
      </c>
      <c r="C40" s="397" t="s">
        <v>866</v>
      </c>
      <c r="D40" s="398" t="s">
        <v>2901</v>
      </c>
      <c r="E40" s="398" t="s">
        <v>2902</v>
      </c>
      <c r="F40" s="398" t="s">
        <v>2903</v>
      </c>
      <c r="G40" s="398" t="s">
        <v>2904</v>
      </c>
    </row>
    <row r="41" spans="1:7" ht="89.25" customHeight="1">
      <c r="A41" s="168" t="s">
        <v>2905</v>
      </c>
      <c r="B41" s="101" t="s">
        <v>2906</v>
      </c>
      <c r="C41" s="170" t="s">
        <v>2729</v>
      </c>
      <c r="D41" s="101" t="s">
        <v>2907</v>
      </c>
      <c r="E41" s="101" t="s">
        <v>2908</v>
      </c>
      <c r="F41" s="101" t="s">
        <v>2909</v>
      </c>
      <c r="G41" s="101" t="s">
        <v>2910</v>
      </c>
    </row>
    <row r="42" spans="1:7" ht="213.75" customHeight="1">
      <c r="A42" s="204" t="s">
        <v>2911</v>
      </c>
      <c r="B42" s="205" t="s">
        <v>2906</v>
      </c>
      <c r="C42" s="206" t="s">
        <v>2729</v>
      </c>
      <c r="D42" s="205" t="s">
        <v>2912</v>
      </c>
      <c r="E42" s="205" t="s">
        <v>2913</v>
      </c>
      <c r="F42" s="205" t="s">
        <v>2914</v>
      </c>
      <c r="G42" s="205" t="s">
        <v>2915</v>
      </c>
    </row>
    <row r="43" spans="1:7" ht="90" customHeight="1">
      <c r="A43" s="23" t="s">
        <v>2916</v>
      </c>
      <c r="B43" s="207">
        <v>46094</v>
      </c>
      <c r="C43" s="23" t="s">
        <v>2729</v>
      </c>
      <c r="D43" s="47" t="s">
        <v>2917</v>
      </c>
      <c r="E43" s="47" t="s">
        <v>2918</v>
      </c>
      <c r="F43" s="23" t="s">
        <v>2919</v>
      </c>
      <c r="G43" s="47" t="s">
        <v>2920</v>
      </c>
    </row>
    <row r="44" spans="1:7" ht="165" customHeight="1">
      <c r="A44" s="23" t="s">
        <v>2473</v>
      </c>
      <c r="B44" s="47">
        <v>46098</v>
      </c>
      <c r="C44" s="23" t="s">
        <v>2729</v>
      </c>
      <c r="D44" s="47" t="s">
        <v>2921</v>
      </c>
      <c r="E44" s="47" t="s">
        <v>2922</v>
      </c>
      <c r="F44" s="47" t="s">
        <v>2923</v>
      </c>
      <c r="G44" s="47" t="s">
        <v>2924</v>
      </c>
    </row>
    <row r="45" spans="1:7" ht="41.25" customHeight="1">
      <c r="A45" s="23" t="s">
        <v>2925</v>
      </c>
      <c r="B45" s="23" t="s">
        <v>2906</v>
      </c>
      <c r="C45" s="23" t="s">
        <v>2729</v>
      </c>
      <c r="D45" s="23" t="s">
        <v>2926</v>
      </c>
      <c r="E45" s="23" t="s">
        <v>2927</v>
      </c>
      <c r="F45" s="23" t="s">
        <v>2928</v>
      </c>
      <c r="G45" s="23" t="s">
        <v>2929</v>
      </c>
    </row>
    <row r="46" spans="1:7" ht="68.25" customHeight="1">
      <c r="A46" s="23" t="s">
        <v>2479</v>
      </c>
      <c r="B46" s="23" t="s">
        <v>2906</v>
      </c>
      <c r="C46" s="23" t="s">
        <v>2729</v>
      </c>
      <c r="D46" s="23" t="s">
        <v>2930</v>
      </c>
      <c r="E46" s="23" t="s">
        <v>2931</v>
      </c>
      <c r="F46" s="23" t="s">
        <v>2932</v>
      </c>
      <c r="G46" s="23" t="s">
        <v>2933</v>
      </c>
    </row>
    <row r="47" spans="1:7" ht="68.25" customHeight="1">
      <c r="A47" s="23" t="s">
        <v>2934</v>
      </c>
      <c r="B47" s="23" t="s">
        <v>2935</v>
      </c>
      <c r="C47" s="23" t="s">
        <v>2798</v>
      </c>
      <c r="D47" s="23" t="s">
        <v>2936</v>
      </c>
      <c r="E47" s="23" t="s">
        <v>2937</v>
      </c>
      <c r="F47" s="23" t="s">
        <v>2938</v>
      </c>
      <c r="G47" s="23" t="s">
        <v>2939</v>
      </c>
    </row>
    <row r="48" spans="1:7" ht="81.75" customHeight="1">
      <c r="A48" s="23" t="s">
        <v>2940</v>
      </c>
      <c r="B48" s="23" t="s">
        <v>2935</v>
      </c>
      <c r="C48" s="23" t="s">
        <v>2941</v>
      </c>
      <c r="D48" s="23" t="s">
        <v>2942</v>
      </c>
      <c r="E48" s="23" t="s">
        <v>2943</v>
      </c>
      <c r="F48" s="23" t="s">
        <v>2944</v>
      </c>
      <c r="G48" s="23" t="s">
        <v>2945</v>
      </c>
    </row>
    <row r="49" spans="1:8" ht="81.75" customHeight="1">
      <c r="A49" s="23" t="s">
        <v>2940</v>
      </c>
      <c r="B49" s="208">
        <v>46095</v>
      </c>
      <c r="C49" s="23" t="s">
        <v>2941</v>
      </c>
      <c r="D49" s="23" t="s">
        <v>2942</v>
      </c>
      <c r="E49" s="23" t="s">
        <v>2946</v>
      </c>
      <c r="F49" s="23" t="s">
        <v>2944</v>
      </c>
      <c r="G49" s="23" t="s">
        <v>2945</v>
      </c>
    </row>
    <row r="50" spans="1:8" ht="81.75" customHeight="1">
      <c r="A50" s="23" t="s">
        <v>2947</v>
      </c>
      <c r="B50" s="208">
        <v>46095</v>
      </c>
      <c r="C50" s="23" t="s">
        <v>2729</v>
      </c>
      <c r="D50" s="23" t="s">
        <v>2948</v>
      </c>
      <c r="E50" s="23" t="s">
        <v>2949</v>
      </c>
      <c r="F50" s="23" t="s">
        <v>2950</v>
      </c>
      <c r="G50" s="23" t="s">
        <v>2951</v>
      </c>
    </row>
    <row r="51" spans="1:8" ht="140.25" customHeight="1">
      <c r="A51" s="209" t="s">
        <v>2952</v>
      </c>
      <c r="B51" s="210">
        <v>46095</v>
      </c>
      <c r="C51" s="209" t="s">
        <v>2953</v>
      </c>
      <c r="D51" s="209" t="s">
        <v>2954</v>
      </c>
      <c r="E51" s="209" t="s">
        <v>2955</v>
      </c>
      <c r="F51" s="209" t="s">
        <v>2956</v>
      </c>
      <c r="G51" s="209" t="s">
        <v>2957</v>
      </c>
    </row>
    <row r="52" spans="1:8" ht="120.75" customHeight="1">
      <c r="A52" s="211" t="s">
        <v>2958</v>
      </c>
      <c r="B52" s="212">
        <v>46096</v>
      </c>
      <c r="C52" s="126" t="s">
        <v>2798</v>
      </c>
      <c r="D52" s="213" t="s">
        <v>2959</v>
      </c>
      <c r="E52" s="213" t="s">
        <v>2960</v>
      </c>
      <c r="F52" s="213" t="s">
        <v>2961</v>
      </c>
      <c r="G52" s="28" t="s">
        <v>2962</v>
      </c>
    </row>
    <row r="53" spans="1:8" ht="15" customHeight="1">
      <c r="A53" s="337" t="s">
        <v>1981</v>
      </c>
      <c r="B53" s="337" t="s">
        <v>966</v>
      </c>
      <c r="C53" s="337" t="s">
        <v>2963</v>
      </c>
      <c r="D53" s="337" t="s">
        <v>2964</v>
      </c>
      <c r="E53" s="337" t="s">
        <v>2965</v>
      </c>
      <c r="F53" s="337" t="s">
        <v>2966</v>
      </c>
      <c r="G53" s="337" t="s">
        <v>2967</v>
      </c>
      <c r="H53" s="333" t="s">
        <v>2968</v>
      </c>
    </row>
    <row r="54" spans="1:8" ht="240" customHeight="1">
      <c r="A54" s="337" t="s">
        <v>2969</v>
      </c>
      <c r="B54" s="337" t="s">
        <v>966</v>
      </c>
      <c r="C54" s="337" t="s">
        <v>2970</v>
      </c>
      <c r="D54" s="350" t="s">
        <v>2971</v>
      </c>
      <c r="E54" s="350" t="s">
        <v>2972</v>
      </c>
      <c r="F54" s="350" t="s">
        <v>2973</v>
      </c>
      <c r="G54" s="337" t="s">
        <v>2974</v>
      </c>
      <c r="H54" s="333" t="s">
        <v>2975</v>
      </c>
    </row>
  </sheetData>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15" width="9.140625" style="47" customWidth="1"/>
    <col min="16" max="16384" width="9.140625" style="47"/>
  </cols>
  <sheetData>
    <row r="1" spans="1:8" s="96" customFormat="1" ht="27.75" customHeight="1">
      <c r="A1" s="166" t="s">
        <v>2976</v>
      </c>
      <c r="B1" s="166" t="s">
        <v>242</v>
      </c>
      <c r="C1" s="166" t="s">
        <v>2977</v>
      </c>
      <c r="D1" s="166" t="s">
        <v>671</v>
      </c>
      <c r="E1" s="166" t="s">
        <v>2978</v>
      </c>
      <c r="F1" s="166" t="s">
        <v>2979</v>
      </c>
      <c r="G1" s="166" t="s">
        <v>2980</v>
      </c>
      <c r="H1" s="166" t="s">
        <v>2981</v>
      </c>
    </row>
    <row r="2" spans="1:8" ht="15" customHeight="1">
      <c r="A2" s="214" t="s">
        <v>2982</v>
      </c>
      <c r="B2" s="50" t="s">
        <v>2983</v>
      </c>
      <c r="C2" s="50" t="s">
        <v>2984</v>
      </c>
      <c r="D2" s="54" t="s">
        <v>2985</v>
      </c>
      <c r="E2" s="215" t="s">
        <v>2986</v>
      </c>
      <c r="F2" s="51" t="s">
        <v>2987</v>
      </c>
      <c r="G2" s="216">
        <v>46089</v>
      </c>
      <c r="H2" s="217" t="s">
        <v>1979</v>
      </c>
    </row>
    <row r="3" spans="1:8" ht="15" customHeight="1">
      <c r="A3" s="218" t="s">
        <v>2988</v>
      </c>
      <c r="B3" s="55" t="s">
        <v>2989</v>
      </c>
      <c r="C3" s="55" t="s">
        <v>2990</v>
      </c>
      <c r="D3" s="219" t="s">
        <v>2991</v>
      </c>
      <c r="E3" s="220" t="s">
        <v>2992</v>
      </c>
      <c r="F3" s="56" t="s">
        <v>2987</v>
      </c>
      <c r="G3" s="221">
        <v>46089</v>
      </c>
      <c r="H3" s="222" t="s">
        <v>2993</v>
      </c>
    </row>
    <row r="4" spans="1:8" ht="15" customHeight="1">
      <c r="A4" s="214" t="s">
        <v>2994</v>
      </c>
      <c r="B4" s="50" t="s">
        <v>2995</v>
      </c>
      <c r="C4" s="50" t="s">
        <v>2990</v>
      </c>
      <c r="D4" s="74" t="s">
        <v>2991</v>
      </c>
      <c r="E4" s="215" t="s">
        <v>2996</v>
      </c>
      <c r="F4" s="51" t="s">
        <v>2987</v>
      </c>
      <c r="G4" s="216">
        <v>46089</v>
      </c>
      <c r="H4" s="217" t="s">
        <v>2993</v>
      </c>
    </row>
    <row r="5" spans="1:8" ht="15" customHeight="1">
      <c r="A5" s="218" t="s">
        <v>2997</v>
      </c>
      <c r="B5" s="55" t="s">
        <v>2998</v>
      </c>
      <c r="C5" s="55" t="s">
        <v>2999</v>
      </c>
      <c r="D5" s="59" t="s">
        <v>2985</v>
      </c>
      <c r="E5" s="220" t="s">
        <v>3000</v>
      </c>
      <c r="F5" s="56" t="s">
        <v>2987</v>
      </c>
      <c r="G5" s="221">
        <v>46089</v>
      </c>
      <c r="H5" s="222" t="s">
        <v>1979</v>
      </c>
    </row>
    <row r="6" spans="1:8" ht="15" customHeight="1">
      <c r="A6" s="214" t="s">
        <v>3001</v>
      </c>
      <c r="B6" s="50" t="s">
        <v>3002</v>
      </c>
      <c r="C6" s="50" t="s">
        <v>3003</v>
      </c>
      <c r="D6" s="54" t="s">
        <v>2985</v>
      </c>
      <c r="E6" s="215" t="s">
        <v>3004</v>
      </c>
      <c r="F6" s="51" t="s">
        <v>2987</v>
      </c>
      <c r="G6" s="216">
        <v>46089</v>
      </c>
      <c r="H6" s="217" t="s">
        <v>1979</v>
      </c>
    </row>
    <row r="7" spans="1:8" ht="15" customHeight="1">
      <c r="A7" s="218" t="s">
        <v>3005</v>
      </c>
      <c r="B7" s="55" t="s">
        <v>3006</v>
      </c>
      <c r="C7" s="55" t="s">
        <v>3007</v>
      </c>
      <c r="D7" s="59" t="s">
        <v>2985</v>
      </c>
      <c r="E7" s="220" t="s">
        <v>3008</v>
      </c>
      <c r="F7" s="56" t="s">
        <v>2987</v>
      </c>
      <c r="G7" s="221">
        <v>46089</v>
      </c>
      <c r="H7" s="222" t="s">
        <v>1979</v>
      </c>
    </row>
    <row r="8" spans="1:8" ht="15" customHeight="1">
      <c r="A8" s="214" t="s">
        <v>3009</v>
      </c>
      <c r="B8" s="50" t="s">
        <v>3010</v>
      </c>
      <c r="C8" s="50" t="s">
        <v>3011</v>
      </c>
      <c r="D8" s="54" t="s">
        <v>2985</v>
      </c>
      <c r="E8" s="215" t="s">
        <v>3012</v>
      </c>
      <c r="F8" s="51" t="s">
        <v>2987</v>
      </c>
      <c r="G8" s="216">
        <v>46089</v>
      </c>
      <c r="H8" s="217" t="s">
        <v>1979</v>
      </c>
    </row>
    <row r="9" spans="1:8" ht="15" customHeight="1">
      <c r="A9" s="218" t="s">
        <v>3013</v>
      </c>
      <c r="B9" s="55" t="s">
        <v>3014</v>
      </c>
      <c r="C9" s="55" t="s">
        <v>3015</v>
      </c>
      <c r="D9" s="59" t="s">
        <v>3016</v>
      </c>
      <c r="E9" s="220" t="s">
        <v>3017</v>
      </c>
      <c r="F9" s="56" t="s">
        <v>2987</v>
      </c>
      <c r="G9" s="221">
        <v>46089</v>
      </c>
      <c r="H9" s="222" t="s">
        <v>3018</v>
      </c>
    </row>
    <row r="10" spans="1:8" ht="15" customHeight="1">
      <c r="A10" s="214" t="s">
        <v>3019</v>
      </c>
      <c r="B10" s="50" t="s">
        <v>3020</v>
      </c>
      <c r="C10" s="50" t="s">
        <v>3021</v>
      </c>
      <c r="D10" s="54" t="s">
        <v>3022</v>
      </c>
      <c r="E10" s="215" t="s">
        <v>3023</v>
      </c>
      <c r="F10" s="51" t="s">
        <v>2987</v>
      </c>
      <c r="G10" s="216">
        <v>46089</v>
      </c>
      <c r="H10" s="217" t="s">
        <v>3024</v>
      </c>
    </row>
    <row r="11" spans="1:8" ht="15" customHeight="1">
      <c r="A11" s="218" t="s">
        <v>3025</v>
      </c>
      <c r="B11" s="55" t="s">
        <v>3026</v>
      </c>
      <c r="C11" s="55" t="s">
        <v>3027</v>
      </c>
      <c r="D11" s="59" t="s">
        <v>2985</v>
      </c>
      <c r="E11" s="220" t="s">
        <v>3028</v>
      </c>
      <c r="F11" s="56" t="s">
        <v>2987</v>
      </c>
      <c r="G11" s="221">
        <v>46089</v>
      </c>
      <c r="H11" s="222" t="s">
        <v>1979</v>
      </c>
    </row>
    <row r="12" spans="1:8" ht="15" customHeight="1">
      <c r="A12" s="214" t="s">
        <v>3029</v>
      </c>
      <c r="B12" s="50" t="s">
        <v>3030</v>
      </c>
      <c r="C12" s="50" t="s">
        <v>3031</v>
      </c>
      <c r="D12" s="54" t="s">
        <v>2985</v>
      </c>
      <c r="E12" s="215" t="s">
        <v>3032</v>
      </c>
      <c r="F12" s="51" t="s">
        <v>2987</v>
      </c>
      <c r="G12" s="216">
        <v>46089</v>
      </c>
      <c r="H12" s="217" t="s">
        <v>1979</v>
      </c>
    </row>
    <row r="13" spans="1:8" ht="15" customHeight="1">
      <c r="A13" s="218" t="s">
        <v>3033</v>
      </c>
      <c r="B13" s="55" t="s">
        <v>3034</v>
      </c>
      <c r="C13" s="55" t="s">
        <v>3035</v>
      </c>
      <c r="D13" s="59" t="s">
        <v>2985</v>
      </c>
      <c r="E13" s="220" t="s">
        <v>3036</v>
      </c>
      <c r="F13" s="56" t="s">
        <v>2987</v>
      </c>
      <c r="G13" s="221">
        <v>46089</v>
      </c>
      <c r="H13" s="222" t="s">
        <v>1979</v>
      </c>
    </row>
    <row r="14" spans="1:8" ht="15" customHeight="1">
      <c r="A14" s="214" t="s">
        <v>3037</v>
      </c>
      <c r="B14" s="50" t="s">
        <v>3038</v>
      </c>
      <c r="C14" s="50" t="s">
        <v>3039</v>
      </c>
      <c r="D14" s="54" t="s">
        <v>2985</v>
      </c>
      <c r="E14" s="215" t="s">
        <v>3040</v>
      </c>
      <c r="F14" s="51" t="s">
        <v>2987</v>
      </c>
      <c r="G14" s="216">
        <v>46089</v>
      </c>
      <c r="H14" s="217" t="s">
        <v>1979</v>
      </c>
    </row>
    <row r="15" spans="1:8" ht="15" customHeight="1">
      <c r="A15" s="218" t="s">
        <v>3041</v>
      </c>
      <c r="B15" s="55" t="s">
        <v>3042</v>
      </c>
      <c r="C15" s="55" t="s">
        <v>3043</v>
      </c>
      <c r="D15" s="59" t="s">
        <v>2985</v>
      </c>
      <c r="E15" s="220" t="s">
        <v>3044</v>
      </c>
      <c r="F15" s="56" t="s">
        <v>2987</v>
      </c>
      <c r="G15" s="221">
        <v>46089</v>
      </c>
      <c r="H15" s="222" t="s">
        <v>1979</v>
      </c>
    </row>
    <row r="16" spans="1:8" ht="15" customHeight="1">
      <c r="A16" s="214" t="s">
        <v>3045</v>
      </c>
      <c r="B16" s="50" t="s">
        <v>3046</v>
      </c>
      <c r="C16" s="50" t="s">
        <v>3047</v>
      </c>
      <c r="D16" s="54" t="s">
        <v>2985</v>
      </c>
      <c r="E16" s="215" t="s">
        <v>3048</v>
      </c>
      <c r="F16" s="51" t="s">
        <v>2987</v>
      </c>
      <c r="G16" s="216">
        <v>46089</v>
      </c>
      <c r="H16" s="217" t="s">
        <v>1979</v>
      </c>
    </row>
    <row r="17" spans="1:8" ht="15" customHeight="1">
      <c r="A17" s="218" t="s">
        <v>3049</v>
      </c>
      <c r="B17" s="55" t="s">
        <v>3050</v>
      </c>
      <c r="C17" s="55" t="s">
        <v>3051</v>
      </c>
      <c r="D17" s="59" t="s">
        <v>2985</v>
      </c>
      <c r="E17" s="220" t="s">
        <v>3052</v>
      </c>
      <c r="F17" s="56" t="s">
        <v>2987</v>
      </c>
      <c r="G17" s="221">
        <v>46089</v>
      </c>
      <c r="H17" s="222" t="s">
        <v>1979</v>
      </c>
    </row>
    <row r="18" spans="1:8" ht="15" customHeight="1">
      <c r="A18" s="214" t="s">
        <v>3053</v>
      </c>
      <c r="B18" s="50" t="s">
        <v>3054</v>
      </c>
      <c r="C18" s="50" t="s">
        <v>3055</v>
      </c>
      <c r="D18" s="54" t="s">
        <v>2985</v>
      </c>
      <c r="E18" s="215" t="s">
        <v>3056</v>
      </c>
      <c r="F18" s="51" t="s">
        <v>2987</v>
      </c>
      <c r="G18" s="216">
        <v>46089</v>
      </c>
      <c r="H18" s="217" t="s">
        <v>1979</v>
      </c>
    </row>
    <row r="19" spans="1:8" ht="15" customHeight="1">
      <c r="A19" s="218" t="s">
        <v>3057</v>
      </c>
      <c r="B19" s="55" t="s">
        <v>3058</v>
      </c>
      <c r="C19" s="55" t="s">
        <v>3059</v>
      </c>
      <c r="D19" s="59" t="s">
        <v>2985</v>
      </c>
      <c r="E19" s="220" t="s">
        <v>3060</v>
      </c>
      <c r="F19" s="56" t="s">
        <v>2987</v>
      </c>
      <c r="G19" s="221">
        <v>46089</v>
      </c>
      <c r="H19" s="222" t="s">
        <v>1979</v>
      </c>
    </row>
    <row r="20" spans="1:8" ht="15" customHeight="1">
      <c r="A20" s="214" t="s">
        <v>3061</v>
      </c>
      <c r="B20" s="50" t="s">
        <v>3062</v>
      </c>
      <c r="C20" s="50" t="s">
        <v>3063</v>
      </c>
      <c r="D20" s="54" t="s">
        <v>2985</v>
      </c>
      <c r="E20" s="215" t="s">
        <v>3064</v>
      </c>
      <c r="F20" s="51" t="s">
        <v>2987</v>
      </c>
      <c r="G20" s="216">
        <v>46089</v>
      </c>
      <c r="H20" s="217" t="s">
        <v>1979</v>
      </c>
    </row>
    <row r="21" spans="1:8" ht="26.25" customHeight="1">
      <c r="A21" s="218" t="s">
        <v>3065</v>
      </c>
      <c r="B21" s="55" t="s">
        <v>3066</v>
      </c>
      <c r="C21" s="55" t="s">
        <v>3067</v>
      </c>
      <c r="D21" s="65" t="s">
        <v>3068</v>
      </c>
      <c r="E21" s="220" t="s">
        <v>3069</v>
      </c>
      <c r="F21" s="56" t="s">
        <v>2987</v>
      </c>
      <c r="G21" s="221">
        <v>46089</v>
      </c>
      <c r="H21" s="222" t="s">
        <v>3070</v>
      </c>
    </row>
    <row r="22" spans="1:8" ht="26.25" customHeight="1">
      <c r="A22" s="214" t="s">
        <v>3071</v>
      </c>
      <c r="B22" s="50" t="s">
        <v>3072</v>
      </c>
      <c r="C22" s="50" t="s">
        <v>3073</v>
      </c>
      <c r="D22" s="223" t="s">
        <v>3068</v>
      </c>
      <c r="E22" s="215" t="s">
        <v>3074</v>
      </c>
      <c r="F22" s="51" t="s">
        <v>2987</v>
      </c>
      <c r="G22" s="216">
        <v>46089</v>
      </c>
      <c r="H22" s="217" t="s">
        <v>3075</v>
      </c>
    </row>
    <row r="23" spans="1:8" ht="15" customHeight="1">
      <c r="A23" s="218" t="s">
        <v>3076</v>
      </c>
      <c r="B23" s="55" t="s">
        <v>3077</v>
      </c>
      <c r="C23" s="55" t="s">
        <v>2990</v>
      </c>
      <c r="D23" s="219" t="s">
        <v>2991</v>
      </c>
      <c r="E23" s="220" t="s">
        <v>3078</v>
      </c>
      <c r="F23" s="56" t="s">
        <v>2987</v>
      </c>
      <c r="G23" s="221">
        <v>46089</v>
      </c>
      <c r="H23" s="222" t="s">
        <v>3079</v>
      </c>
    </row>
    <row r="24" spans="1:8" ht="39" customHeight="1">
      <c r="A24" s="214" t="s">
        <v>3080</v>
      </c>
      <c r="B24" s="50" t="s">
        <v>3081</v>
      </c>
      <c r="C24" s="50" t="s">
        <v>3082</v>
      </c>
      <c r="D24" s="54" t="s">
        <v>3083</v>
      </c>
      <c r="E24" s="215" t="s">
        <v>3084</v>
      </c>
      <c r="F24" s="51" t="s">
        <v>2987</v>
      </c>
      <c r="G24" s="216">
        <v>46089</v>
      </c>
      <c r="H24" s="217" t="s">
        <v>3085</v>
      </c>
    </row>
    <row r="25" spans="1:8" ht="26.25" customHeight="1">
      <c r="A25" s="218" t="s">
        <v>3086</v>
      </c>
      <c r="B25" s="55" t="s">
        <v>3087</v>
      </c>
      <c r="C25" s="55" t="s">
        <v>3088</v>
      </c>
      <c r="D25" s="224" t="s">
        <v>3089</v>
      </c>
      <c r="E25" s="220" t="s">
        <v>3090</v>
      </c>
      <c r="F25" s="56" t="s">
        <v>2987</v>
      </c>
      <c r="G25" s="221">
        <v>46089</v>
      </c>
      <c r="H25" s="222" t="s">
        <v>3091</v>
      </c>
    </row>
    <row r="26" spans="1:8" ht="26.25" customHeight="1">
      <c r="A26" s="214" t="s">
        <v>3092</v>
      </c>
      <c r="B26" s="50" t="s">
        <v>3093</v>
      </c>
      <c r="C26" s="50" t="s">
        <v>3094</v>
      </c>
      <c r="D26" s="77" t="s">
        <v>3095</v>
      </c>
      <c r="E26" s="215" t="s">
        <v>3096</v>
      </c>
      <c r="F26" s="51" t="s">
        <v>2987</v>
      </c>
      <c r="G26" s="216">
        <v>46089</v>
      </c>
      <c r="H26" s="217" t="s">
        <v>3097</v>
      </c>
    </row>
    <row r="27" spans="1:8" ht="26.25" customHeight="1">
      <c r="A27" s="218" t="s">
        <v>3098</v>
      </c>
      <c r="B27" s="55" t="s">
        <v>3099</v>
      </c>
      <c r="C27" s="55" t="s">
        <v>3100</v>
      </c>
      <c r="D27" s="59" t="s">
        <v>2021</v>
      </c>
      <c r="E27" s="220" t="s">
        <v>3101</v>
      </c>
      <c r="F27" s="56" t="s">
        <v>2987</v>
      </c>
      <c r="G27" s="221">
        <v>46089</v>
      </c>
      <c r="H27" s="222" t="s">
        <v>3102</v>
      </c>
    </row>
    <row r="28" spans="1:8" ht="26.25" customHeight="1">
      <c r="A28" s="214" t="s">
        <v>3098</v>
      </c>
      <c r="B28" s="225" t="s">
        <v>3099</v>
      </c>
      <c r="C28" s="50" t="s">
        <v>3103</v>
      </c>
      <c r="D28" s="77" t="s">
        <v>3095</v>
      </c>
      <c r="E28" s="226" t="s">
        <v>3104</v>
      </c>
      <c r="F28" s="51" t="s">
        <v>2987</v>
      </c>
      <c r="G28" s="216">
        <v>46089</v>
      </c>
      <c r="H28" s="217" t="s">
        <v>3105</v>
      </c>
    </row>
    <row r="29" spans="1:8" ht="26.25" customHeight="1">
      <c r="A29" s="218" t="s">
        <v>3106</v>
      </c>
      <c r="B29" s="55" t="s">
        <v>3107</v>
      </c>
      <c r="C29" s="55" t="s">
        <v>3108</v>
      </c>
      <c r="D29" s="224" t="s">
        <v>3095</v>
      </c>
      <c r="E29" s="227" t="s">
        <v>3109</v>
      </c>
      <c r="F29" s="56" t="s">
        <v>2987</v>
      </c>
      <c r="G29" s="221">
        <v>46089</v>
      </c>
      <c r="H29" s="222" t="s">
        <v>3110</v>
      </c>
    </row>
    <row r="30" spans="1:8" ht="39" customHeight="1">
      <c r="A30" s="214" t="s">
        <v>3111</v>
      </c>
      <c r="B30" s="50" t="s">
        <v>3112</v>
      </c>
      <c r="C30" s="50" t="s">
        <v>3113</v>
      </c>
      <c r="D30" s="77" t="s">
        <v>3114</v>
      </c>
      <c r="E30" s="226" t="s">
        <v>3115</v>
      </c>
      <c r="F30" s="51" t="s">
        <v>2987</v>
      </c>
      <c r="G30" s="216">
        <v>46089</v>
      </c>
      <c r="H30" s="217" t="s">
        <v>3116</v>
      </c>
    </row>
    <row r="31" spans="1:8" ht="26.25" customHeight="1">
      <c r="A31" s="218" t="s">
        <v>3117</v>
      </c>
      <c r="B31" s="55" t="s">
        <v>3118</v>
      </c>
      <c r="C31" s="55" t="s">
        <v>3119</v>
      </c>
      <c r="D31" s="224" t="s">
        <v>3114</v>
      </c>
      <c r="E31" s="227" t="s">
        <v>3120</v>
      </c>
      <c r="F31" s="56" t="s">
        <v>2987</v>
      </c>
      <c r="G31" s="221">
        <v>46089</v>
      </c>
      <c r="H31" s="222" t="s">
        <v>3121</v>
      </c>
    </row>
    <row r="32" spans="1:8" ht="26.25" customHeight="1">
      <c r="A32" s="214" t="s">
        <v>3122</v>
      </c>
      <c r="B32" s="50" t="s">
        <v>3123</v>
      </c>
      <c r="C32" s="50" t="s">
        <v>3124</v>
      </c>
      <c r="D32" s="77" t="s">
        <v>3114</v>
      </c>
      <c r="E32" s="226" t="s">
        <v>3125</v>
      </c>
      <c r="F32" s="51" t="s">
        <v>2987</v>
      </c>
      <c r="G32" s="216">
        <v>46089</v>
      </c>
      <c r="H32" s="217" t="s">
        <v>3126</v>
      </c>
    </row>
    <row r="33" spans="1:8" ht="15" customHeight="1">
      <c r="A33" s="218" t="s">
        <v>3122</v>
      </c>
      <c r="B33" s="55" t="s">
        <v>3123</v>
      </c>
      <c r="C33" s="55" t="s">
        <v>3127</v>
      </c>
      <c r="D33" s="224" t="s">
        <v>3128</v>
      </c>
      <c r="E33" s="220" t="s">
        <v>3129</v>
      </c>
      <c r="F33" s="56" t="s">
        <v>2987</v>
      </c>
      <c r="G33" s="221">
        <v>46089</v>
      </c>
      <c r="H33" s="222" t="s">
        <v>3130</v>
      </c>
    </row>
    <row r="34" spans="1:8" ht="15" customHeight="1">
      <c r="A34" s="214"/>
      <c r="B34" s="50"/>
      <c r="C34" s="50"/>
      <c r="D34" s="77"/>
      <c r="E34" s="215"/>
      <c r="F34" s="51"/>
      <c r="G34" s="50"/>
      <c r="H34" s="217"/>
    </row>
    <row r="35" spans="1:8" ht="90" customHeight="1">
      <c r="A35" s="218" t="s">
        <v>3131</v>
      </c>
      <c r="B35" s="55"/>
      <c r="C35" s="55"/>
      <c r="D35" s="224"/>
      <c r="E35" s="220"/>
      <c r="F35" s="56"/>
      <c r="G35" s="55"/>
      <c r="H35" s="222"/>
    </row>
    <row r="36" spans="1:8" ht="39" customHeight="1">
      <c r="A36" s="214" t="s">
        <v>2040</v>
      </c>
      <c r="B36" s="50" t="s">
        <v>3132</v>
      </c>
      <c r="C36" s="50" t="s">
        <v>3133</v>
      </c>
      <c r="D36" s="223" t="s">
        <v>3134</v>
      </c>
      <c r="E36" s="215" t="s">
        <v>3135</v>
      </c>
      <c r="F36" s="51" t="s">
        <v>2987</v>
      </c>
      <c r="G36" s="216">
        <v>46089</v>
      </c>
      <c r="H36" s="217" t="s">
        <v>3136</v>
      </c>
    </row>
    <row r="37" spans="1:8" ht="26.25" customHeight="1">
      <c r="A37" s="218" t="s">
        <v>3137</v>
      </c>
      <c r="B37" s="55" t="s">
        <v>3138</v>
      </c>
      <c r="C37" s="55" t="s">
        <v>3139</v>
      </c>
      <c r="D37" s="65" t="s">
        <v>3134</v>
      </c>
      <c r="E37" s="220" t="s">
        <v>3140</v>
      </c>
      <c r="F37" s="56" t="s">
        <v>2987</v>
      </c>
      <c r="G37" s="221">
        <v>46089</v>
      </c>
      <c r="H37" s="222" t="s">
        <v>3141</v>
      </c>
    </row>
    <row r="38" spans="1:8" ht="26.25" customHeight="1">
      <c r="A38" s="214" t="s">
        <v>3142</v>
      </c>
      <c r="B38" s="50" t="s">
        <v>3143</v>
      </c>
      <c r="C38" s="50" t="s">
        <v>3144</v>
      </c>
      <c r="D38" s="77" t="s">
        <v>3145</v>
      </c>
      <c r="E38" s="215" t="s">
        <v>3146</v>
      </c>
      <c r="F38" s="51" t="s">
        <v>2987</v>
      </c>
      <c r="G38" s="216">
        <v>46089</v>
      </c>
      <c r="H38" s="217" t="s">
        <v>3147</v>
      </c>
    </row>
    <row r="39" spans="1:8" ht="15" customHeight="1">
      <c r="A39" s="218" t="s">
        <v>3148</v>
      </c>
      <c r="B39" s="55" t="s">
        <v>3149</v>
      </c>
      <c r="C39" s="55" t="s">
        <v>3150</v>
      </c>
      <c r="D39" s="224" t="s">
        <v>3145</v>
      </c>
      <c r="E39" s="220" t="s">
        <v>3151</v>
      </c>
      <c r="F39" s="56" t="s">
        <v>2987</v>
      </c>
      <c r="G39" s="221">
        <v>46089</v>
      </c>
      <c r="H39" s="222" t="s">
        <v>3147</v>
      </c>
    </row>
    <row r="40" spans="1:8" ht="15" customHeight="1">
      <c r="A40" s="214" t="s">
        <v>3152</v>
      </c>
      <c r="B40" s="50" t="s">
        <v>3153</v>
      </c>
      <c r="C40" s="50" t="s">
        <v>3154</v>
      </c>
      <c r="D40" s="77" t="s">
        <v>3145</v>
      </c>
      <c r="E40" s="215" t="s">
        <v>3155</v>
      </c>
      <c r="F40" s="51" t="s">
        <v>2987</v>
      </c>
      <c r="G40" s="216">
        <v>46089</v>
      </c>
      <c r="H40" s="217" t="s">
        <v>3147</v>
      </c>
    </row>
    <row r="41" spans="1:8" ht="26.25" customHeight="1">
      <c r="A41" s="218" t="s">
        <v>3156</v>
      </c>
      <c r="B41" s="55" t="s">
        <v>3157</v>
      </c>
      <c r="C41" s="55" t="s">
        <v>3158</v>
      </c>
      <c r="D41" s="224" t="s">
        <v>3145</v>
      </c>
      <c r="E41" s="220" t="s">
        <v>3159</v>
      </c>
      <c r="F41" s="56" t="s">
        <v>2987</v>
      </c>
      <c r="G41" s="221">
        <v>46089</v>
      </c>
      <c r="H41" s="222" t="s">
        <v>3147</v>
      </c>
    </row>
    <row r="42" spans="1:8" ht="15" customHeight="1">
      <c r="A42" s="214" t="s">
        <v>3160</v>
      </c>
      <c r="B42" s="50" t="s">
        <v>3161</v>
      </c>
      <c r="C42" s="50" t="s">
        <v>3162</v>
      </c>
      <c r="D42" s="77" t="s">
        <v>3145</v>
      </c>
      <c r="E42" s="215" t="s">
        <v>3163</v>
      </c>
      <c r="F42" s="51" t="s">
        <v>2987</v>
      </c>
      <c r="G42" s="216">
        <v>46089</v>
      </c>
      <c r="H42" s="217" t="s">
        <v>3147</v>
      </c>
    </row>
    <row r="43" spans="1:8" ht="26.25" customHeight="1">
      <c r="A43" s="218" t="s">
        <v>3164</v>
      </c>
      <c r="B43" s="55" t="s">
        <v>3165</v>
      </c>
      <c r="C43" s="55" t="s">
        <v>3166</v>
      </c>
      <c r="D43" s="224" t="s">
        <v>3145</v>
      </c>
      <c r="E43" s="220" t="s">
        <v>3167</v>
      </c>
      <c r="F43" s="56" t="s">
        <v>2987</v>
      </c>
      <c r="G43" s="221">
        <v>46089</v>
      </c>
      <c r="H43" s="222" t="s">
        <v>3168</v>
      </c>
    </row>
    <row r="44" spans="1:8" ht="15" customHeight="1">
      <c r="A44" s="214" t="s">
        <v>3169</v>
      </c>
      <c r="B44" s="50" t="s">
        <v>3170</v>
      </c>
      <c r="C44" s="50" t="s">
        <v>3171</v>
      </c>
      <c r="D44" s="77" t="s">
        <v>3145</v>
      </c>
      <c r="E44" s="215" t="s">
        <v>3172</v>
      </c>
      <c r="F44" s="51" t="s">
        <v>2987</v>
      </c>
      <c r="G44" s="216">
        <v>46089</v>
      </c>
      <c r="H44" s="217" t="s">
        <v>3147</v>
      </c>
    </row>
    <row r="45" spans="1:8" ht="15" customHeight="1">
      <c r="A45" s="218" t="s">
        <v>3173</v>
      </c>
      <c r="B45" s="55" t="s">
        <v>3174</v>
      </c>
      <c r="C45" s="55" t="s">
        <v>3175</v>
      </c>
      <c r="D45" s="224" t="s">
        <v>3145</v>
      </c>
      <c r="E45" s="220" t="s">
        <v>3176</v>
      </c>
      <c r="F45" s="56" t="s">
        <v>2987</v>
      </c>
      <c r="G45" s="221">
        <v>46089</v>
      </c>
      <c r="H45" s="222" t="s">
        <v>3147</v>
      </c>
    </row>
    <row r="46" spans="1:8" ht="26.25" customHeight="1">
      <c r="A46" s="214" t="s">
        <v>3177</v>
      </c>
      <c r="B46" s="50" t="s">
        <v>3178</v>
      </c>
      <c r="C46" s="50" t="s">
        <v>3179</v>
      </c>
      <c r="D46" s="77" t="s">
        <v>3145</v>
      </c>
      <c r="E46" s="215" t="s">
        <v>3180</v>
      </c>
      <c r="F46" s="51" t="s">
        <v>2987</v>
      </c>
      <c r="G46" s="216">
        <v>46089</v>
      </c>
      <c r="H46" s="217" t="s">
        <v>3147</v>
      </c>
    </row>
    <row r="47" spans="1:8" ht="26.25" customHeight="1">
      <c r="A47" s="218" t="s">
        <v>3181</v>
      </c>
      <c r="B47" s="55" t="s">
        <v>3182</v>
      </c>
      <c r="C47" s="55" t="s">
        <v>3183</v>
      </c>
      <c r="D47" s="59" t="s">
        <v>3184</v>
      </c>
      <c r="E47" s="220" t="s">
        <v>3185</v>
      </c>
      <c r="F47" s="56" t="s">
        <v>2987</v>
      </c>
      <c r="G47" s="221">
        <v>46089</v>
      </c>
      <c r="H47" s="222"/>
    </row>
    <row r="48" spans="1:8" ht="15" customHeight="1">
      <c r="A48" s="214"/>
      <c r="B48" s="50"/>
      <c r="C48" s="50"/>
      <c r="D48" s="77"/>
      <c r="E48" s="215"/>
      <c r="F48" s="51"/>
      <c r="G48" s="50"/>
      <c r="H48" s="217"/>
    </row>
    <row r="49" spans="1:8" ht="77.25" customHeight="1">
      <c r="A49" s="218" t="s">
        <v>3186</v>
      </c>
      <c r="B49" s="55"/>
      <c r="C49" s="55"/>
      <c r="D49" s="224"/>
      <c r="E49" s="220"/>
      <c r="F49" s="56"/>
      <c r="G49" s="55"/>
      <c r="H49" s="222"/>
    </row>
    <row r="50" spans="1:8" ht="26.25" customHeight="1">
      <c r="A50" s="214" t="s">
        <v>3187</v>
      </c>
      <c r="B50" s="50">
        <v>44</v>
      </c>
      <c r="C50" s="50"/>
      <c r="D50" s="77"/>
      <c r="E50" s="215"/>
      <c r="F50" s="51"/>
      <c r="G50" s="50"/>
      <c r="H50" s="217"/>
    </row>
    <row r="51" spans="1:8" ht="26.25" customHeight="1">
      <c r="A51" s="218" t="s">
        <v>2985</v>
      </c>
      <c r="B51" s="55">
        <v>17</v>
      </c>
      <c r="C51" s="55" t="s">
        <v>3188</v>
      </c>
      <c r="D51" s="224"/>
      <c r="E51" s="220"/>
      <c r="F51" s="56"/>
      <c r="G51" s="55"/>
      <c r="H51" s="222"/>
    </row>
    <row r="52" spans="1:8" ht="26.25" customHeight="1">
      <c r="A52" s="214" t="s">
        <v>2021</v>
      </c>
      <c r="B52" s="50">
        <v>2</v>
      </c>
      <c r="C52" s="50" t="s">
        <v>3189</v>
      </c>
      <c r="D52" s="77"/>
      <c r="E52" s="215"/>
      <c r="F52" s="51"/>
      <c r="G52" s="50"/>
      <c r="H52" s="217"/>
    </row>
    <row r="53" spans="1:8" ht="39" customHeight="1">
      <c r="A53" s="218" t="s">
        <v>3114</v>
      </c>
      <c r="B53" s="55">
        <v>3</v>
      </c>
      <c r="C53" s="55" t="s">
        <v>3190</v>
      </c>
      <c r="D53" s="224"/>
      <c r="E53" s="220"/>
      <c r="F53" s="56"/>
      <c r="G53" s="55"/>
      <c r="H53" s="222"/>
    </row>
    <row r="54" spans="1:8" ht="39" customHeight="1">
      <c r="A54" s="214" t="s">
        <v>2991</v>
      </c>
      <c r="B54" s="50">
        <v>3</v>
      </c>
      <c r="C54" s="50" t="s">
        <v>3191</v>
      </c>
      <c r="D54" s="77"/>
      <c r="E54" s="215"/>
      <c r="F54" s="51"/>
      <c r="G54" s="50"/>
      <c r="H54" s="217"/>
    </row>
    <row r="55" spans="1:8" ht="26.25" customHeight="1">
      <c r="A55" s="218" t="s">
        <v>3134</v>
      </c>
      <c r="B55" s="55">
        <v>4</v>
      </c>
      <c r="C55" s="55" t="s">
        <v>3192</v>
      </c>
      <c r="D55" s="224"/>
      <c r="E55" s="220"/>
      <c r="F55" s="56"/>
      <c r="G55" s="55"/>
      <c r="H55" s="222"/>
    </row>
    <row r="56" spans="1:8" ht="51.75" customHeight="1">
      <c r="A56" s="214" t="s">
        <v>3095</v>
      </c>
      <c r="B56" s="50">
        <v>3</v>
      </c>
      <c r="C56" s="50" t="s">
        <v>3193</v>
      </c>
      <c r="D56" s="77"/>
      <c r="E56" s="215"/>
      <c r="F56" s="51"/>
      <c r="G56" s="50"/>
      <c r="H56" s="217"/>
    </row>
    <row r="57" spans="1:8" ht="39" customHeight="1">
      <c r="A57" s="218" t="s">
        <v>3145</v>
      </c>
      <c r="B57" s="55">
        <v>10</v>
      </c>
      <c r="C57" s="55" t="s">
        <v>3194</v>
      </c>
      <c r="D57" s="224"/>
      <c r="E57" s="220"/>
      <c r="F57" s="56"/>
      <c r="G57" s="55"/>
      <c r="H57" s="222"/>
    </row>
    <row r="58" spans="1:8" ht="15" customHeight="1">
      <c r="A58" s="214"/>
      <c r="B58" s="50"/>
      <c r="C58" s="50"/>
      <c r="D58" s="77"/>
      <c r="E58" s="215"/>
      <c r="F58" s="51"/>
      <c r="G58" s="50"/>
      <c r="H58" s="217"/>
    </row>
    <row r="59" spans="1:8" ht="51.75" customHeight="1">
      <c r="A59" s="218" t="s">
        <v>3195</v>
      </c>
      <c r="B59" s="228" t="s">
        <v>432</v>
      </c>
      <c r="C59" s="228" t="s">
        <v>287</v>
      </c>
      <c r="D59" s="224"/>
      <c r="E59" s="220"/>
      <c r="F59" s="56"/>
      <c r="G59" s="55"/>
      <c r="H59" s="222"/>
    </row>
    <row r="60" spans="1:8" ht="64.5" customHeight="1">
      <c r="A60" s="214" t="s">
        <v>3196</v>
      </c>
      <c r="B60" s="50" t="s">
        <v>3197</v>
      </c>
      <c r="C60" s="50" t="s">
        <v>3198</v>
      </c>
      <c r="D60" s="77"/>
      <c r="E60" s="215"/>
      <c r="F60" s="51"/>
      <c r="G60" s="50"/>
      <c r="H60" s="217" t="s">
        <v>3199</v>
      </c>
    </row>
    <row r="61" spans="1:8" ht="64.5" customHeight="1">
      <c r="A61" s="218" t="s">
        <v>3200</v>
      </c>
      <c r="B61" s="55" t="s">
        <v>3197</v>
      </c>
      <c r="C61" s="55" t="s">
        <v>3201</v>
      </c>
      <c r="D61" s="224"/>
      <c r="E61" s="220"/>
      <c r="F61" s="56"/>
      <c r="G61" s="55"/>
      <c r="H61" s="222" t="s">
        <v>3202</v>
      </c>
    </row>
    <row r="62" spans="1:8" ht="77.25" customHeight="1">
      <c r="A62" s="214" t="s">
        <v>3203</v>
      </c>
      <c r="B62" s="50" t="s">
        <v>3204</v>
      </c>
      <c r="C62" s="50" t="s">
        <v>3205</v>
      </c>
      <c r="D62" s="77"/>
      <c r="E62" s="215"/>
      <c r="F62" s="51"/>
      <c r="G62" s="50"/>
      <c r="H62" s="217" t="s">
        <v>3206</v>
      </c>
    </row>
    <row r="63" spans="1:8" ht="77.25" customHeight="1">
      <c r="A63" s="218" t="s">
        <v>3207</v>
      </c>
      <c r="B63" s="55" t="s">
        <v>3204</v>
      </c>
      <c r="C63" s="55" t="s">
        <v>3208</v>
      </c>
      <c r="D63" s="224"/>
      <c r="E63" s="220"/>
      <c r="F63" s="56"/>
      <c r="G63" s="55"/>
      <c r="H63" s="222" t="s">
        <v>3209</v>
      </c>
    </row>
    <row r="64" spans="1:8" ht="90" customHeight="1">
      <c r="A64" s="214" t="s">
        <v>3210</v>
      </c>
      <c r="B64" s="50" t="s">
        <v>3211</v>
      </c>
      <c r="C64" s="50" t="s">
        <v>3212</v>
      </c>
      <c r="D64" s="77"/>
      <c r="E64" s="215"/>
      <c r="F64" s="51"/>
      <c r="G64" s="50"/>
      <c r="H64" s="217" t="s">
        <v>3213</v>
      </c>
    </row>
    <row r="65" spans="1:8" ht="77.25" customHeight="1">
      <c r="A65" s="218" t="s">
        <v>3214</v>
      </c>
      <c r="B65" s="55" t="s">
        <v>3211</v>
      </c>
      <c r="C65" s="55" t="s">
        <v>3215</v>
      </c>
      <c r="D65" s="224"/>
      <c r="E65" s="220"/>
      <c r="F65" s="56"/>
      <c r="G65" s="55"/>
      <c r="H65" s="222" t="s">
        <v>3216</v>
      </c>
    </row>
    <row r="66" spans="1:8" ht="77.25" customHeight="1">
      <c r="A66" s="214" t="s">
        <v>3217</v>
      </c>
      <c r="B66" s="50" t="s">
        <v>3218</v>
      </c>
      <c r="C66" s="50" t="s">
        <v>3219</v>
      </c>
      <c r="D66" s="77"/>
      <c r="E66" s="215"/>
      <c r="F66" s="51"/>
      <c r="G66" s="50"/>
      <c r="H66" s="217" t="s">
        <v>3220</v>
      </c>
    </row>
    <row r="67" spans="1:8" ht="15" customHeight="1">
      <c r="A67" s="218"/>
      <c r="B67" s="55"/>
      <c r="C67" s="55"/>
      <c r="D67" s="224"/>
      <c r="E67" s="220"/>
      <c r="F67" s="56"/>
      <c r="G67" s="55"/>
      <c r="H67" s="222"/>
    </row>
    <row r="68" spans="1:8" ht="90" customHeight="1">
      <c r="A68" s="214" t="s">
        <v>3221</v>
      </c>
      <c r="B68" s="50"/>
      <c r="C68" s="50"/>
      <c r="D68" s="77"/>
      <c r="E68" s="215"/>
      <c r="F68" s="51"/>
      <c r="G68" s="50"/>
      <c r="H68" s="217"/>
    </row>
    <row r="69" spans="1:8" ht="153.75" customHeight="1">
      <c r="A69" s="218" t="s">
        <v>3222</v>
      </c>
      <c r="B69" s="55" t="s">
        <v>3223</v>
      </c>
      <c r="C69" s="55" t="s">
        <v>3224</v>
      </c>
      <c r="D69" s="224"/>
      <c r="E69" s="220"/>
      <c r="F69" s="56"/>
      <c r="G69" s="55"/>
      <c r="H69" s="222"/>
    </row>
    <row r="70" spans="1:8" ht="102.75" customHeight="1">
      <c r="A70" s="214" t="s">
        <v>3225</v>
      </c>
      <c r="B70" s="50" t="s">
        <v>3223</v>
      </c>
      <c r="C70" s="50" t="s">
        <v>3226</v>
      </c>
      <c r="D70" s="77"/>
      <c r="E70" s="215"/>
      <c r="F70" s="51"/>
      <c r="G70" s="50"/>
      <c r="H70" s="217"/>
    </row>
    <row r="71" spans="1:8" ht="15" customHeight="1">
      <c r="A71" s="218"/>
      <c r="B71" s="55"/>
      <c r="C71" s="55"/>
      <c r="D71" s="224"/>
      <c r="E71" s="220"/>
      <c r="F71" s="56"/>
      <c r="G71" s="55"/>
      <c r="H71" s="222"/>
    </row>
    <row r="72" spans="1:8" ht="64.5" customHeight="1">
      <c r="A72" s="214" t="s">
        <v>3227</v>
      </c>
      <c r="B72" s="50"/>
      <c r="C72" s="50"/>
      <c r="D72" s="77"/>
      <c r="E72" s="215"/>
      <c r="F72" s="51" t="s">
        <v>3228</v>
      </c>
      <c r="G72" s="216">
        <v>46089</v>
      </c>
      <c r="H72" s="217"/>
    </row>
    <row r="73" spans="1:8" ht="26.25" customHeight="1">
      <c r="A73" s="218" t="s">
        <v>3229</v>
      </c>
      <c r="B73" s="55" t="s">
        <v>3230</v>
      </c>
      <c r="C73" s="55" t="s">
        <v>3231</v>
      </c>
      <c r="D73" s="59" t="s">
        <v>3232</v>
      </c>
      <c r="E73" s="220" t="s">
        <v>3233</v>
      </c>
      <c r="F73" s="56" t="s">
        <v>3228</v>
      </c>
      <c r="G73" s="221">
        <v>46089</v>
      </c>
      <c r="H73" s="222" t="s">
        <v>3234</v>
      </c>
    </row>
    <row r="74" spans="1:8" ht="26.25" customHeight="1">
      <c r="A74" s="214" t="s">
        <v>3235</v>
      </c>
      <c r="B74" s="50" t="s">
        <v>3236</v>
      </c>
      <c r="C74" s="50" t="s">
        <v>3237</v>
      </c>
      <c r="D74" s="54" t="s">
        <v>1327</v>
      </c>
      <c r="E74" s="215" t="s">
        <v>3238</v>
      </c>
      <c r="F74" s="51" t="s">
        <v>3228</v>
      </c>
      <c r="G74" s="216">
        <v>46089</v>
      </c>
      <c r="H74" s="217" t="s">
        <v>3239</v>
      </c>
    </row>
    <row r="75" spans="1:8" ht="26.25" customHeight="1">
      <c r="A75" s="218" t="s">
        <v>3240</v>
      </c>
      <c r="B75" s="55" t="s">
        <v>3241</v>
      </c>
      <c r="C75" s="55" t="s">
        <v>3242</v>
      </c>
      <c r="D75" s="59" t="s">
        <v>1327</v>
      </c>
      <c r="E75" s="220" t="s">
        <v>3243</v>
      </c>
      <c r="F75" s="56" t="s">
        <v>3228</v>
      </c>
      <c r="G75" s="221">
        <v>46089</v>
      </c>
      <c r="H75" s="222" t="s">
        <v>3244</v>
      </c>
    </row>
    <row r="76" spans="1:8" ht="51.75" customHeight="1">
      <c r="A76" s="214" t="s">
        <v>3245</v>
      </c>
      <c r="B76" s="50" t="s">
        <v>3246</v>
      </c>
      <c r="C76" s="50" t="s">
        <v>3247</v>
      </c>
      <c r="D76" s="54" t="s">
        <v>1327</v>
      </c>
      <c r="E76" s="215" t="s">
        <v>3248</v>
      </c>
      <c r="F76" s="51" t="s">
        <v>3228</v>
      </c>
      <c r="G76" s="216">
        <v>46089</v>
      </c>
      <c r="H76" s="217" t="s">
        <v>3249</v>
      </c>
    </row>
    <row r="77" spans="1:8" ht="39" customHeight="1">
      <c r="A77" s="218" t="s">
        <v>3250</v>
      </c>
      <c r="B77" s="55" t="s">
        <v>3251</v>
      </c>
      <c r="C77" s="55" t="s">
        <v>3252</v>
      </c>
      <c r="D77" s="59" t="s">
        <v>1327</v>
      </c>
      <c r="E77" s="220" t="s">
        <v>3253</v>
      </c>
      <c r="F77" s="56" t="s">
        <v>3228</v>
      </c>
      <c r="G77" s="221">
        <v>46089</v>
      </c>
      <c r="H77" s="222" t="s">
        <v>3254</v>
      </c>
    </row>
    <row r="78" spans="1:8" ht="39" customHeight="1">
      <c r="A78" s="214" t="s">
        <v>3255</v>
      </c>
      <c r="B78" s="50" t="s">
        <v>3256</v>
      </c>
      <c r="C78" s="50" t="s">
        <v>3257</v>
      </c>
      <c r="D78" s="54" t="s">
        <v>3258</v>
      </c>
      <c r="E78" s="215" t="s">
        <v>3259</v>
      </c>
      <c r="F78" s="51" t="s">
        <v>3228</v>
      </c>
      <c r="G78" s="216">
        <v>46089</v>
      </c>
      <c r="H78" s="217" t="s">
        <v>3260</v>
      </c>
    </row>
    <row r="79" spans="1:8" ht="15" customHeight="1">
      <c r="A79" s="218"/>
      <c r="B79" s="55"/>
      <c r="C79" s="55"/>
      <c r="D79" s="224"/>
      <c r="E79" s="220"/>
      <c r="F79" s="56"/>
      <c r="G79" s="55"/>
      <c r="H79" s="222"/>
    </row>
    <row r="80" spans="1:8" ht="77.25" customHeight="1">
      <c r="A80" s="214" t="s">
        <v>3261</v>
      </c>
      <c r="B80" s="50"/>
      <c r="C80" s="50"/>
      <c r="D80" s="77"/>
      <c r="E80" s="215"/>
      <c r="F80" s="51"/>
      <c r="G80" s="50"/>
      <c r="H80" s="217"/>
    </row>
    <row r="81" spans="1:8" ht="26.25" customHeight="1">
      <c r="A81" s="218" t="s">
        <v>2102</v>
      </c>
      <c r="B81" s="55"/>
      <c r="C81" s="55" t="s">
        <v>3262</v>
      </c>
      <c r="D81" s="224"/>
      <c r="E81" s="220"/>
      <c r="F81" s="56"/>
      <c r="G81" s="55"/>
      <c r="H81" s="222"/>
    </row>
    <row r="82" spans="1:8" ht="26.25" customHeight="1">
      <c r="A82" s="214" t="s">
        <v>3263</v>
      </c>
      <c r="B82" s="50" t="s">
        <v>2062</v>
      </c>
      <c r="C82" s="50" t="s">
        <v>3264</v>
      </c>
      <c r="D82" s="77"/>
      <c r="E82" s="215" t="s">
        <v>3265</v>
      </c>
      <c r="F82" s="51"/>
      <c r="G82" s="50"/>
      <c r="H82" s="217"/>
    </row>
    <row r="83" spans="1:8" ht="26.25" customHeight="1">
      <c r="A83" s="218" t="s">
        <v>3266</v>
      </c>
      <c r="B83" s="55" t="s">
        <v>2062</v>
      </c>
      <c r="C83" s="55" t="s">
        <v>3267</v>
      </c>
      <c r="D83" s="224"/>
      <c r="E83" s="220" t="s">
        <v>3268</v>
      </c>
      <c r="F83" s="56"/>
      <c r="G83" s="55"/>
      <c r="H83" s="222"/>
    </row>
    <row r="84" spans="1:8" ht="26.25" customHeight="1">
      <c r="A84" s="214" t="s">
        <v>3269</v>
      </c>
      <c r="B84" s="50" t="s">
        <v>3270</v>
      </c>
      <c r="C84" s="50" t="s">
        <v>3271</v>
      </c>
      <c r="D84" s="77"/>
      <c r="E84" s="215" t="s">
        <v>3272</v>
      </c>
      <c r="F84" s="51"/>
      <c r="G84" s="50"/>
      <c r="H84" s="217"/>
    </row>
    <row r="85" spans="1:8" ht="26.25" customHeight="1">
      <c r="A85" s="218" t="s">
        <v>3273</v>
      </c>
      <c r="B85" s="55" t="s">
        <v>3232</v>
      </c>
      <c r="C85" s="55" t="s">
        <v>3274</v>
      </c>
      <c r="D85" s="224"/>
      <c r="E85" s="220" t="s">
        <v>3275</v>
      </c>
      <c r="F85" s="56"/>
      <c r="G85" s="55"/>
      <c r="H85" s="222"/>
    </row>
    <row r="86" spans="1:8" ht="15" customHeight="1">
      <c r="A86" s="214"/>
      <c r="B86" s="50"/>
      <c r="C86" s="50"/>
      <c r="D86" s="77"/>
      <c r="E86" s="215"/>
      <c r="F86" s="51"/>
      <c r="G86" s="50"/>
      <c r="H86" s="217"/>
    </row>
    <row r="87" spans="1:8" ht="51.75" customHeight="1">
      <c r="A87" s="218" t="s">
        <v>3276</v>
      </c>
      <c r="B87" s="55"/>
      <c r="C87" s="55"/>
      <c r="D87" s="224"/>
      <c r="E87" s="220"/>
      <c r="F87" s="56"/>
      <c r="G87" s="55"/>
      <c r="H87" s="222"/>
    </row>
    <row r="88" spans="1:8" ht="51.75" customHeight="1">
      <c r="A88" s="214" t="s">
        <v>3269</v>
      </c>
      <c r="B88" s="50" t="s">
        <v>3277</v>
      </c>
      <c r="C88" s="50" t="s">
        <v>3278</v>
      </c>
      <c r="D88" s="77"/>
      <c r="E88" s="215" t="s">
        <v>3279</v>
      </c>
      <c r="F88" s="51"/>
      <c r="G88" s="50"/>
      <c r="H88" s="217"/>
    </row>
    <row r="89" spans="1:8" ht="26.25" customHeight="1">
      <c r="A89" s="218" t="s">
        <v>3280</v>
      </c>
      <c r="B89" s="55" t="s">
        <v>3281</v>
      </c>
      <c r="C89" s="55" t="s">
        <v>3282</v>
      </c>
      <c r="D89" s="224"/>
      <c r="E89" s="220" t="s">
        <v>3283</v>
      </c>
      <c r="F89" s="56"/>
      <c r="G89" s="55"/>
      <c r="H89" s="222"/>
    </row>
    <row r="90" spans="1:8" ht="26.25" customHeight="1">
      <c r="A90" s="214" t="s">
        <v>3284</v>
      </c>
      <c r="B90" s="50" t="s">
        <v>3285</v>
      </c>
      <c r="C90" s="50" t="s">
        <v>3286</v>
      </c>
      <c r="D90" s="54" t="s">
        <v>1327</v>
      </c>
      <c r="E90" s="215" t="s">
        <v>3287</v>
      </c>
      <c r="F90" s="51" t="s">
        <v>3228</v>
      </c>
      <c r="G90" s="216">
        <v>46089</v>
      </c>
      <c r="H90" s="217" t="s">
        <v>3288</v>
      </c>
    </row>
    <row r="91" spans="1:8" ht="26.25" customHeight="1">
      <c r="A91" s="218" t="s">
        <v>3289</v>
      </c>
      <c r="B91" s="55" t="s">
        <v>3290</v>
      </c>
      <c r="C91" s="55" t="s">
        <v>3291</v>
      </c>
      <c r="D91" s="59" t="s">
        <v>1327</v>
      </c>
      <c r="E91" s="220" t="s">
        <v>3292</v>
      </c>
      <c r="F91" s="56" t="s">
        <v>3228</v>
      </c>
      <c r="G91" s="221">
        <v>46089</v>
      </c>
      <c r="H91" s="222" t="s">
        <v>3288</v>
      </c>
    </row>
    <row r="92" spans="1:8" ht="39" customHeight="1">
      <c r="A92" s="214" t="s">
        <v>3293</v>
      </c>
      <c r="B92" s="50" t="s">
        <v>3294</v>
      </c>
      <c r="C92" s="50" t="s">
        <v>3295</v>
      </c>
      <c r="D92" s="54" t="s">
        <v>1327</v>
      </c>
      <c r="E92" s="215" t="s">
        <v>3296</v>
      </c>
      <c r="F92" s="51" t="s">
        <v>3228</v>
      </c>
      <c r="G92" s="216">
        <v>46089</v>
      </c>
      <c r="H92" s="217" t="s">
        <v>3288</v>
      </c>
    </row>
    <row r="93" spans="1:8" ht="26.25" customHeight="1">
      <c r="A93" s="218" t="s">
        <v>3297</v>
      </c>
      <c r="B93" s="55" t="s">
        <v>3298</v>
      </c>
      <c r="C93" s="55" t="s">
        <v>3299</v>
      </c>
      <c r="D93" s="59" t="s">
        <v>1327</v>
      </c>
      <c r="E93" s="220" t="s">
        <v>3300</v>
      </c>
      <c r="F93" s="56" t="s">
        <v>3228</v>
      </c>
      <c r="G93" s="221">
        <v>46089</v>
      </c>
      <c r="H93" s="222" t="s">
        <v>3288</v>
      </c>
    </row>
    <row r="94" spans="1:8" ht="26.25" customHeight="1">
      <c r="A94" s="214" t="s">
        <v>3301</v>
      </c>
      <c r="B94" s="50" t="s">
        <v>3302</v>
      </c>
      <c r="C94" s="50" t="s">
        <v>3303</v>
      </c>
      <c r="D94" s="54" t="s">
        <v>1327</v>
      </c>
      <c r="E94" s="215" t="s">
        <v>3304</v>
      </c>
      <c r="F94" s="51" t="s">
        <v>3228</v>
      </c>
      <c r="G94" s="216">
        <v>46089</v>
      </c>
      <c r="H94" s="217" t="s">
        <v>3288</v>
      </c>
    </row>
    <row r="95" spans="1:8" ht="15" customHeight="1">
      <c r="A95" s="218"/>
      <c r="B95" s="55"/>
      <c r="C95" s="55"/>
      <c r="D95" s="224"/>
      <c r="E95" s="220"/>
      <c r="F95" s="56"/>
      <c r="G95" s="55"/>
      <c r="H95" s="222"/>
    </row>
    <row r="96" spans="1:8" ht="128.25" customHeight="1">
      <c r="A96" s="214" t="s">
        <v>3305</v>
      </c>
      <c r="B96" s="50"/>
      <c r="C96" s="50"/>
      <c r="D96" s="77"/>
      <c r="E96" s="215"/>
      <c r="F96" s="51" t="s">
        <v>2763</v>
      </c>
      <c r="G96" s="50"/>
      <c r="H96" s="217"/>
    </row>
    <row r="97" spans="1:8" ht="26.25" customHeight="1">
      <c r="A97" s="218" t="s">
        <v>3306</v>
      </c>
      <c r="B97" s="55" t="s">
        <v>3307</v>
      </c>
      <c r="C97" s="55" t="s">
        <v>3308</v>
      </c>
      <c r="D97" s="59" t="s">
        <v>2985</v>
      </c>
      <c r="E97" s="220" t="s">
        <v>3309</v>
      </c>
      <c r="F97" s="56" t="s">
        <v>2763</v>
      </c>
      <c r="G97" s="55"/>
      <c r="H97" s="222" t="s">
        <v>3310</v>
      </c>
    </row>
    <row r="98" spans="1:8" ht="15" customHeight="1">
      <c r="A98" s="214" t="s">
        <v>3311</v>
      </c>
      <c r="B98" s="50" t="s">
        <v>3312</v>
      </c>
      <c r="C98" s="50" t="s">
        <v>3313</v>
      </c>
      <c r="D98" s="54" t="s">
        <v>2985</v>
      </c>
      <c r="E98" s="215" t="s">
        <v>3314</v>
      </c>
      <c r="F98" s="51" t="s">
        <v>2763</v>
      </c>
      <c r="G98" s="50"/>
      <c r="H98" s="217" t="s">
        <v>1979</v>
      </c>
    </row>
    <row r="99" spans="1:8" ht="26.25" customHeight="1">
      <c r="A99" s="218" t="s">
        <v>3315</v>
      </c>
      <c r="B99" s="55" t="s">
        <v>3316</v>
      </c>
      <c r="C99" s="55" t="s">
        <v>3317</v>
      </c>
      <c r="D99" s="65" t="s">
        <v>3318</v>
      </c>
      <c r="E99" s="220" t="s">
        <v>3319</v>
      </c>
      <c r="F99" s="56" t="s">
        <v>2763</v>
      </c>
      <c r="G99" s="55"/>
      <c r="H99" s="222" t="s">
        <v>3320</v>
      </c>
    </row>
    <row r="100" spans="1:8" ht="26.25" customHeight="1">
      <c r="A100" s="214" t="s">
        <v>3321</v>
      </c>
      <c r="B100" s="50" t="s">
        <v>3322</v>
      </c>
      <c r="C100" s="50" t="s">
        <v>3323</v>
      </c>
      <c r="D100" s="54" t="s">
        <v>2985</v>
      </c>
      <c r="E100" s="215" t="s">
        <v>3324</v>
      </c>
      <c r="F100" s="51" t="s">
        <v>2763</v>
      </c>
      <c r="G100" s="50"/>
      <c r="H100" s="217" t="s">
        <v>1979</v>
      </c>
    </row>
    <row r="101" spans="1:8" ht="26.25" customHeight="1">
      <c r="A101" s="218" t="s">
        <v>3325</v>
      </c>
      <c r="B101" s="55" t="s">
        <v>3326</v>
      </c>
      <c r="C101" s="55" t="s">
        <v>3327</v>
      </c>
      <c r="D101" s="59" t="s">
        <v>3328</v>
      </c>
      <c r="E101" s="220" t="s">
        <v>3329</v>
      </c>
      <c r="F101" s="56" t="s">
        <v>2763</v>
      </c>
      <c r="G101" s="55"/>
      <c r="H101" s="222" t="s">
        <v>3330</v>
      </c>
    </row>
    <row r="102" spans="1:8" ht="15" customHeight="1">
      <c r="A102" s="214" t="s">
        <v>3331</v>
      </c>
      <c r="B102" s="50" t="s">
        <v>3332</v>
      </c>
      <c r="C102" s="50" t="s">
        <v>3333</v>
      </c>
      <c r="D102" s="54" t="s">
        <v>2985</v>
      </c>
      <c r="E102" s="215" t="s">
        <v>3334</v>
      </c>
      <c r="F102" s="51" t="s">
        <v>2763</v>
      </c>
      <c r="G102" s="50"/>
      <c r="H102" s="217" t="s">
        <v>1979</v>
      </c>
    </row>
    <row r="103" spans="1:8" ht="26.25" customHeight="1">
      <c r="A103" s="218" t="s">
        <v>3335</v>
      </c>
      <c r="B103" s="55" t="s">
        <v>3336</v>
      </c>
      <c r="C103" s="55" t="s">
        <v>3337</v>
      </c>
      <c r="D103" s="59" t="s">
        <v>3328</v>
      </c>
      <c r="E103" s="220" t="s">
        <v>3338</v>
      </c>
      <c r="F103" s="56" t="s">
        <v>2763</v>
      </c>
      <c r="G103" s="55"/>
      <c r="H103" s="222" t="s">
        <v>3330</v>
      </c>
    </row>
    <row r="104" spans="1:8" ht="26.25" customHeight="1">
      <c r="A104" s="214" t="s">
        <v>3339</v>
      </c>
      <c r="B104" s="50" t="s">
        <v>3340</v>
      </c>
      <c r="C104" s="50" t="s">
        <v>3341</v>
      </c>
      <c r="D104" s="54" t="s">
        <v>2985</v>
      </c>
      <c r="E104" s="215" t="s">
        <v>3342</v>
      </c>
      <c r="F104" s="51" t="s">
        <v>2763</v>
      </c>
      <c r="G104" s="50"/>
      <c r="H104" s="217" t="s">
        <v>1979</v>
      </c>
    </row>
    <row r="105" spans="1:8" ht="26.25" customHeight="1">
      <c r="A105" s="218" t="s">
        <v>3343</v>
      </c>
      <c r="B105" s="55" t="s">
        <v>861</v>
      </c>
      <c r="C105" s="55" t="s">
        <v>3344</v>
      </c>
      <c r="D105" s="65" t="s">
        <v>3345</v>
      </c>
      <c r="E105" s="220" t="s">
        <v>3346</v>
      </c>
      <c r="F105" s="56" t="s">
        <v>2763</v>
      </c>
      <c r="G105" s="55"/>
      <c r="H105" s="222" t="s">
        <v>3347</v>
      </c>
    </row>
    <row r="106" spans="1:8" ht="26.25" customHeight="1">
      <c r="A106" s="214" t="s">
        <v>3348</v>
      </c>
      <c r="B106" s="50" t="s">
        <v>3349</v>
      </c>
      <c r="C106" s="50" t="s">
        <v>3350</v>
      </c>
      <c r="D106" s="229" t="s">
        <v>3351</v>
      </c>
      <c r="E106" s="215" t="s">
        <v>3352</v>
      </c>
      <c r="F106" s="51" t="s">
        <v>2763</v>
      </c>
      <c r="G106" s="50"/>
      <c r="H106" s="217" t="s">
        <v>3353</v>
      </c>
    </row>
    <row r="107" spans="1:8" ht="26.25" customHeight="1">
      <c r="A107" s="218" t="s">
        <v>3354</v>
      </c>
      <c r="B107" s="55" t="s">
        <v>3355</v>
      </c>
      <c r="C107" s="55" t="s">
        <v>3356</v>
      </c>
      <c r="D107" s="71" t="s">
        <v>3357</v>
      </c>
      <c r="E107" s="220" t="s">
        <v>3358</v>
      </c>
      <c r="F107" s="56" t="s">
        <v>2763</v>
      </c>
      <c r="G107" s="55"/>
      <c r="H107" s="222" t="s">
        <v>3359</v>
      </c>
    </row>
    <row r="108" spans="1:8" ht="15" customHeight="1">
      <c r="A108" s="214" t="s">
        <v>3360</v>
      </c>
      <c r="B108" s="50" t="s">
        <v>865</v>
      </c>
      <c r="C108" s="50" t="s">
        <v>3361</v>
      </c>
      <c r="D108" s="74" t="s">
        <v>2991</v>
      </c>
      <c r="E108" s="215" t="s">
        <v>3362</v>
      </c>
      <c r="F108" s="51" t="s">
        <v>2763</v>
      </c>
      <c r="G108" s="50"/>
      <c r="H108" s="217" t="s">
        <v>3363</v>
      </c>
    </row>
    <row r="109" spans="1:8" ht="15" customHeight="1">
      <c r="A109" s="218" t="s">
        <v>3364</v>
      </c>
      <c r="B109" s="55" t="s">
        <v>3365</v>
      </c>
      <c r="C109" s="55" t="s">
        <v>3366</v>
      </c>
      <c r="D109" s="219" t="s">
        <v>2991</v>
      </c>
      <c r="E109" s="220" t="s">
        <v>3367</v>
      </c>
      <c r="F109" s="56" t="s">
        <v>2763</v>
      </c>
      <c r="G109" s="55"/>
      <c r="H109" s="222" t="s">
        <v>3363</v>
      </c>
    </row>
    <row r="110" spans="1:8" ht="15" customHeight="1">
      <c r="A110" s="214" t="s">
        <v>3368</v>
      </c>
      <c r="B110" s="50" t="s">
        <v>3369</v>
      </c>
      <c r="C110" s="50" t="s">
        <v>3370</v>
      </c>
      <c r="D110" s="223" t="s">
        <v>3345</v>
      </c>
      <c r="E110" s="215" t="s">
        <v>3371</v>
      </c>
      <c r="F110" s="51" t="s">
        <v>2763</v>
      </c>
      <c r="G110" s="50"/>
      <c r="H110" s="217" t="s">
        <v>3372</v>
      </c>
    </row>
    <row r="111" spans="1:8" ht="26.25" customHeight="1">
      <c r="A111" s="218" t="s">
        <v>3373</v>
      </c>
      <c r="B111" s="55" t="s">
        <v>3374</v>
      </c>
      <c r="C111" s="55" t="s">
        <v>3375</v>
      </c>
      <c r="D111" s="219" t="s">
        <v>2991</v>
      </c>
      <c r="E111" s="220" t="s">
        <v>3376</v>
      </c>
      <c r="F111" s="56" t="s">
        <v>2763</v>
      </c>
      <c r="G111" s="55"/>
      <c r="H111" s="222" t="s">
        <v>3363</v>
      </c>
    </row>
    <row r="112" spans="1:8" ht="15" customHeight="1">
      <c r="A112" s="214" t="s">
        <v>3377</v>
      </c>
      <c r="B112" s="50" t="s">
        <v>3378</v>
      </c>
      <c r="C112" s="50" t="s">
        <v>3379</v>
      </c>
      <c r="D112" s="54" t="s">
        <v>2985</v>
      </c>
      <c r="E112" s="215" t="s">
        <v>3380</v>
      </c>
      <c r="F112" s="51" t="s">
        <v>2763</v>
      </c>
      <c r="G112" s="50"/>
      <c r="H112" s="217" t="s">
        <v>1979</v>
      </c>
    </row>
    <row r="113" spans="1:8" ht="15" customHeight="1">
      <c r="A113" s="218"/>
      <c r="B113" s="55"/>
      <c r="C113" s="55"/>
      <c r="D113" s="224"/>
      <c r="E113" s="220"/>
      <c r="F113" s="56"/>
      <c r="G113" s="55"/>
      <c r="H113" s="222"/>
    </row>
    <row r="114" spans="1:8" ht="115.5" customHeight="1">
      <c r="A114" s="214" t="s">
        <v>3381</v>
      </c>
      <c r="B114" s="50"/>
      <c r="C114" s="50"/>
      <c r="D114" s="77"/>
      <c r="E114" s="215"/>
      <c r="F114" s="51"/>
      <c r="G114" s="50"/>
      <c r="H114" s="217"/>
    </row>
    <row r="115" spans="1:8" ht="15" customHeight="1">
      <c r="A115" s="218" t="s">
        <v>3382</v>
      </c>
      <c r="B115" s="55" t="s">
        <v>3383</v>
      </c>
      <c r="C115" s="55" t="s">
        <v>2017</v>
      </c>
      <c r="D115" s="224" t="s">
        <v>328</v>
      </c>
      <c r="E115" s="220" t="s">
        <v>3384</v>
      </c>
      <c r="F115" s="56"/>
      <c r="G115" s="55"/>
      <c r="H115" s="222"/>
    </row>
    <row r="116" spans="1:8" ht="51.75" customHeight="1">
      <c r="A116" s="214" t="s">
        <v>3385</v>
      </c>
      <c r="B116" s="50" t="s">
        <v>3386</v>
      </c>
      <c r="C116" s="50" t="s">
        <v>3387</v>
      </c>
      <c r="D116" s="77" t="s">
        <v>3388</v>
      </c>
      <c r="E116" s="215" t="s">
        <v>3389</v>
      </c>
      <c r="F116" s="51"/>
      <c r="G116" s="50"/>
      <c r="H116" s="217"/>
    </row>
    <row r="117" spans="1:8" ht="51.75" customHeight="1">
      <c r="A117" s="218" t="s">
        <v>3390</v>
      </c>
      <c r="B117" s="55" t="s">
        <v>3391</v>
      </c>
      <c r="C117" s="55" t="s">
        <v>3387</v>
      </c>
      <c r="D117" s="224" t="s">
        <v>3392</v>
      </c>
      <c r="E117" s="220" t="s">
        <v>3393</v>
      </c>
      <c r="F117" s="56"/>
      <c r="G117" s="55"/>
      <c r="H117" s="222"/>
    </row>
    <row r="118" spans="1:8" ht="51.75" customHeight="1">
      <c r="A118" s="214" t="s">
        <v>3394</v>
      </c>
      <c r="B118" s="50" t="s">
        <v>3391</v>
      </c>
      <c r="C118" s="50" t="s">
        <v>3395</v>
      </c>
      <c r="D118" s="77" t="s">
        <v>3396</v>
      </c>
      <c r="E118" s="215" t="s">
        <v>3397</v>
      </c>
      <c r="F118" s="51"/>
      <c r="G118" s="50"/>
      <c r="H118" s="217"/>
    </row>
    <row r="119" spans="1:8" ht="64.5" customHeight="1">
      <c r="A119" s="218" t="s">
        <v>3398</v>
      </c>
      <c r="B119" s="55" t="s">
        <v>3399</v>
      </c>
      <c r="C119" s="55" t="s">
        <v>3400</v>
      </c>
      <c r="D119" s="224" t="s">
        <v>3401</v>
      </c>
      <c r="E119" s="220" t="s">
        <v>3402</v>
      </c>
      <c r="F119" s="56"/>
      <c r="G119" s="55"/>
      <c r="H119" s="222"/>
    </row>
    <row r="120" spans="1:8" ht="51.75" customHeight="1">
      <c r="A120" s="214" t="s">
        <v>3403</v>
      </c>
      <c r="B120" s="50" t="s">
        <v>3399</v>
      </c>
      <c r="C120" s="50" t="s">
        <v>3400</v>
      </c>
      <c r="D120" s="77" t="s">
        <v>3404</v>
      </c>
      <c r="E120" s="215" t="s">
        <v>3405</v>
      </c>
      <c r="F120" s="51"/>
      <c r="G120" s="50"/>
      <c r="H120" s="217"/>
    </row>
    <row r="121" spans="1:8" ht="15" customHeight="1">
      <c r="A121" s="218"/>
      <c r="B121" s="55"/>
      <c r="C121" s="55"/>
      <c r="D121" s="224"/>
      <c r="E121" s="220"/>
      <c r="F121" s="56"/>
      <c r="G121" s="55"/>
      <c r="H121" s="222"/>
    </row>
    <row r="122" spans="1:8" ht="77.25" customHeight="1">
      <c r="A122" s="214" t="s">
        <v>3406</v>
      </c>
      <c r="B122" s="50"/>
      <c r="C122" s="50"/>
      <c r="D122" s="77"/>
      <c r="E122" s="215"/>
      <c r="F122" s="51"/>
      <c r="G122" s="50"/>
      <c r="H122" s="217"/>
    </row>
    <row r="123" spans="1:8" ht="26.25" customHeight="1">
      <c r="A123" s="218" t="s">
        <v>3407</v>
      </c>
      <c r="B123" s="55" t="s">
        <v>3408</v>
      </c>
      <c r="C123" s="55" t="s">
        <v>3409</v>
      </c>
      <c r="D123" s="59" t="s">
        <v>3410</v>
      </c>
      <c r="E123" s="220" t="s">
        <v>3411</v>
      </c>
      <c r="F123" s="56" t="s">
        <v>2763</v>
      </c>
      <c r="G123" s="55"/>
      <c r="H123" s="222" t="s">
        <v>3412</v>
      </c>
    </row>
    <row r="124" spans="1:8" ht="26.25" customHeight="1">
      <c r="A124" s="214" t="s">
        <v>3413</v>
      </c>
      <c r="B124" s="50" t="s">
        <v>3414</v>
      </c>
      <c r="C124" s="50" t="s">
        <v>3415</v>
      </c>
      <c r="D124" s="54" t="s">
        <v>3410</v>
      </c>
      <c r="E124" s="215" t="s">
        <v>3416</v>
      </c>
      <c r="F124" s="51" t="s">
        <v>2763</v>
      </c>
      <c r="G124" s="50"/>
      <c r="H124" s="217" t="s">
        <v>3412</v>
      </c>
    </row>
    <row r="125" spans="1:8" ht="26.25" customHeight="1">
      <c r="A125" s="218" t="s">
        <v>3417</v>
      </c>
      <c r="B125" s="55" t="s">
        <v>3418</v>
      </c>
      <c r="C125" s="55" t="s">
        <v>3419</v>
      </c>
      <c r="D125" s="219" t="s">
        <v>3420</v>
      </c>
      <c r="E125" s="220" t="s">
        <v>3421</v>
      </c>
      <c r="F125" s="56" t="s">
        <v>2763</v>
      </c>
      <c r="G125" s="55"/>
      <c r="H125" s="222" t="s">
        <v>3422</v>
      </c>
    </row>
    <row r="126" spans="1:8" ht="15" customHeight="1">
      <c r="A126" s="214"/>
      <c r="B126" s="50"/>
      <c r="C126" s="50"/>
      <c r="D126" s="77"/>
      <c r="E126" s="215"/>
      <c r="F126" s="51"/>
      <c r="G126" s="50"/>
      <c r="H126" s="217"/>
    </row>
    <row r="127" spans="1:8" ht="90" customHeight="1">
      <c r="A127" s="218" t="s">
        <v>3423</v>
      </c>
      <c r="B127" s="55"/>
      <c r="C127" s="55"/>
      <c r="D127" s="224"/>
      <c r="E127" s="220"/>
      <c r="F127" s="56"/>
      <c r="G127" s="55"/>
      <c r="H127" s="222"/>
    </row>
    <row r="128" spans="1:8" ht="26.25" customHeight="1">
      <c r="A128" s="214" t="s">
        <v>3424</v>
      </c>
      <c r="B128" s="50" t="s">
        <v>3425</v>
      </c>
      <c r="C128" s="50" t="s">
        <v>3426</v>
      </c>
      <c r="D128" s="223" t="s">
        <v>3427</v>
      </c>
      <c r="E128" s="215" t="s">
        <v>3428</v>
      </c>
      <c r="F128" s="51" t="s">
        <v>2763</v>
      </c>
      <c r="G128" s="50"/>
      <c r="H128" s="217" t="s">
        <v>3429</v>
      </c>
    </row>
    <row r="129" spans="1:8" ht="26.25" customHeight="1">
      <c r="A129" s="218" t="s">
        <v>3430</v>
      </c>
      <c r="B129" s="55" t="s">
        <v>3431</v>
      </c>
      <c r="C129" s="55" t="s">
        <v>3432</v>
      </c>
      <c r="D129" s="65" t="s">
        <v>3427</v>
      </c>
      <c r="E129" s="220" t="s">
        <v>3433</v>
      </c>
      <c r="F129" s="56" t="s">
        <v>2763</v>
      </c>
      <c r="G129" s="55"/>
      <c r="H129" s="222" t="s">
        <v>3434</v>
      </c>
    </row>
    <row r="130" spans="1:8" ht="26.25" customHeight="1">
      <c r="A130" s="214" t="s">
        <v>3435</v>
      </c>
      <c r="B130" s="50" t="s">
        <v>3436</v>
      </c>
      <c r="C130" s="50" t="s">
        <v>3437</v>
      </c>
      <c r="D130" s="54" t="s">
        <v>2985</v>
      </c>
      <c r="E130" s="215" t="s">
        <v>3438</v>
      </c>
      <c r="F130" s="51" t="s">
        <v>2763</v>
      </c>
      <c r="G130" s="50"/>
      <c r="H130" s="217" t="s">
        <v>3439</v>
      </c>
    </row>
    <row r="131" spans="1:8" ht="26.25" customHeight="1">
      <c r="A131" s="218" t="s">
        <v>3440</v>
      </c>
      <c r="B131" s="55" t="s">
        <v>3441</v>
      </c>
      <c r="C131" s="55" t="s">
        <v>3442</v>
      </c>
      <c r="D131" s="71" t="s">
        <v>3443</v>
      </c>
      <c r="E131" s="220" t="s">
        <v>3444</v>
      </c>
      <c r="F131" s="56" t="s">
        <v>2763</v>
      </c>
      <c r="G131" s="55"/>
      <c r="H131" s="222" t="s">
        <v>3445</v>
      </c>
    </row>
    <row r="132" spans="1:8" ht="39" customHeight="1">
      <c r="A132" s="214" t="s">
        <v>3446</v>
      </c>
      <c r="B132" s="50" t="s">
        <v>3447</v>
      </c>
      <c r="C132" s="50" t="s">
        <v>3448</v>
      </c>
      <c r="D132" s="229" t="s">
        <v>3443</v>
      </c>
      <c r="E132" s="215" t="s">
        <v>3449</v>
      </c>
      <c r="F132" s="51" t="s">
        <v>2763</v>
      </c>
      <c r="G132" s="50"/>
      <c r="H132" s="217" t="s">
        <v>3450</v>
      </c>
    </row>
    <row r="133" spans="1:8" ht="26.25" customHeight="1">
      <c r="A133" s="218" t="s">
        <v>3451</v>
      </c>
      <c r="B133" s="55" t="s">
        <v>3452</v>
      </c>
      <c r="C133" s="55" t="s">
        <v>3453</v>
      </c>
      <c r="D133" s="71" t="s">
        <v>3443</v>
      </c>
      <c r="E133" s="220" t="s">
        <v>3454</v>
      </c>
      <c r="F133" s="56" t="s">
        <v>2763</v>
      </c>
      <c r="G133" s="55"/>
      <c r="H133" s="222" t="s">
        <v>3455</v>
      </c>
    </row>
    <row r="134" spans="1:8" ht="15" customHeight="1">
      <c r="A134" s="214"/>
      <c r="B134" s="50"/>
      <c r="C134" s="50"/>
      <c r="D134" s="77"/>
      <c r="E134" s="215"/>
      <c r="F134" s="51"/>
      <c r="G134" s="50"/>
      <c r="H134" s="217"/>
    </row>
    <row r="135" spans="1:8" ht="102.75" customHeight="1">
      <c r="A135" s="218" t="s">
        <v>3456</v>
      </c>
      <c r="B135" s="55"/>
      <c r="C135" s="55"/>
      <c r="D135" s="224"/>
      <c r="E135" s="220"/>
      <c r="F135" s="56"/>
      <c r="G135" s="55"/>
      <c r="H135" s="222"/>
    </row>
    <row r="136" spans="1:8" ht="39" customHeight="1">
      <c r="A136" s="214" t="s">
        <v>3457</v>
      </c>
      <c r="B136" s="50" t="s">
        <v>3458</v>
      </c>
      <c r="C136" s="50" t="s">
        <v>3459</v>
      </c>
      <c r="D136" s="54" t="s">
        <v>1374</v>
      </c>
      <c r="E136" s="215" t="s">
        <v>3460</v>
      </c>
      <c r="F136" s="51" t="s">
        <v>2763</v>
      </c>
      <c r="G136" s="50"/>
      <c r="H136" s="217" t="s">
        <v>3461</v>
      </c>
    </row>
    <row r="137" spans="1:8" ht="51.75" customHeight="1">
      <c r="A137" s="218" t="s">
        <v>3462</v>
      </c>
      <c r="B137" s="55" t="s">
        <v>3463</v>
      </c>
      <c r="C137" s="55" t="s">
        <v>3459</v>
      </c>
      <c r="D137" s="59" t="s">
        <v>1374</v>
      </c>
      <c r="E137" s="220" t="s">
        <v>3464</v>
      </c>
      <c r="F137" s="56" t="s">
        <v>2763</v>
      </c>
      <c r="G137" s="55"/>
      <c r="H137" s="222" t="s">
        <v>3461</v>
      </c>
    </row>
    <row r="138" spans="1:8" ht="51.75" customHeight="1">
      <c r="A138" s="214" t="s">
        <v>3465</v>
      </c>
      <c r="B138" s="50" t="s">
        <v>3466</v>
      </c>
      <c r="C138" s="50" t="s">
        <v>3467</v>
      </c>
      <c r="D138" s="54" t="s">
        <v>2985</v>
      </c>
      <c r="E138" s="215" t="s">
        <v>3468</v>
      </c>
      <c r="F138" s="51" t="s">
        <v>2763</v>
      </c>
      <c r="G138" s="50"/>
      <c r="H138" s="217" t="s">
        <v>3469</v>
      </c>
    </row>
    <row r="139" spans="1:8" ht="39" customHeight="1">
      <c r="A139" s="218" t="s">
        <v>3470</v>
      </c>
      <c r="B139" s="55" t="s">
        <v>3471</v>
      </c>
      <c r="C139" s="55" t="s">
        <v>3472</v>
      </c>
      <c r="D139" s="65" t="s">
        <v>3473</v>
      </c>
      <c r="E139" s="220" t="s">
        <v>3474</v>
      </c>
      <c r="F139" s="56" t="s">
        <v>2763</v>
      </c>
      <c r="G139" s="55"/>
      <c r="H139" s="222" t="s">
        <v>3475</v>
      </c>
    </row>
    <row r="140" spans="1:8" ht="39" customHeight="1">
      <c r="A140" s="214" t="s">
        <v>3476</v>
      </c>
      <c r="B140" s="50" t="s">
        <v>3477</v>
      </c>
      <c r="C140" s="50" t="s">
        <v>3478</v>
      </c>
      <c r="D140" s="223" t="s">
        <v>3473</v>
      </c>
      <c r="E140" s="215" t="s">
        <v>3479</v>
      </c>
      <c r="F140" s="51" t="s">
        <v>2763</v>
      </c>
      <c r="G140" s="50"/>
      <c r="H140" s="217" t="s">
        <v>3475</v>
      </c>
    </row>
    <row r="141" spans="1:8" ht="39" customHeight="1">
      <c r="A141" s="218" t="s">
        <v>3480</v>
      </c>
      <c r="B141" s="55" t="s">
        <v>3481</v>
      </c>
      <c r="C141" s="55" t="s">
        <v>3482</v>
      </c>
      <c r="D141" s="59" t="s">
        <v>1374</v>
      </c>
      <c r="E141" s="220" t="s">
        <v>3483</v>
      </c>
      <c r="F141" s="56" t="s">
        <v>2763</v>
      </c>
      <c r="G141" s="55"/>
      <c r="H141" s="222" t="s">
        <v>3484</v>
      </c>
    </row>
    <row r="142" spans="1:8" ht="39" customHeight="1">
      <c r="A142" s="214"/>
      <c r="B142" s="50" t="s">
        <v>3485</v>
      </c>
      <c r="C142" s="50"/>
      <c r="D142" s="77"/>
      <c r="E142" s="215"/>
      <c r="F142" s="51"/>
      <c r="G142" s="50"/>
      <c r="H142" s="217"/>
    </row>
    <row r="143" spans="1:8" ht="115.5" customHeight="1">
      <c r="A143" s="218" t="s">
        <v>3486</v>
      </c>
      <c r="B143" s="55"/>
      <c r="C143" s="55"/>
      <c r="D143" s="224"/>
      <c r="E143" s="220"/>
      <c r="F143" s="56"/>
      <c r="G143" s="55"/>
      <c r="H143" s="222"/>
    </row>
    <row r="144" spans="1:8" ht="26.25" customHeight="1">
      <c r="A144" s="214" t="s">
        <v>3487</v>
      </c>
      <c r="B144" s="50" t="s">
        <v>3488</v>
      </c>
      <c r="C144" s="50" t="s">
        <v>3489</v>
      </c>
      <c r="D144" s="54" t="s">
        <v>2985</v>
      </c>
      <c r="E144" s="215" t="s">
        <v>3490</v>
      </c>
      <c r="F144" s="51" t="s">
        <v>3491</v>
      </c>
      <c r="G144" s="50" t="s">
        <v>3492</v>
      </c>
      <c r="H144" s="217"/>
    </row>
    <row r="145" spans="1:8" ht="26.25" customHeight="1">
      <c r="A145" s="218" t="s">
        <v>3493</v>
      </c>
      <c r="B145" s="55" t="s">
        <v>2313</v>
      </c>
      <c r="C145" s="55" t="s">
        <v>3494</v>
      </c>
      <c r="D145" s="59" t="s">
        <v>2985</v>
      </c>
      <c r="E145" s="220" t="s">
        <v>3495</v>
      </c>
      <c r="F145" s="56" t="s">
        <v>3491</v>
      </c>
      <c r="G145" s="55" t="s">
        <v>3492</v>
      </c>
      <c r="H145" s="222"/>
    </row>
    <row r="146" spans="1:8" ht="26.25" customHeight="1">
      <c r="A146" s="214" t="s">
        <v>3496</v>
      </c>
      <c r="B146" s="50" t="s">
        <v>3497</v>
      </c>
      <c r="C146" s="50" t="s">
        <v>3498</v>
      </c>
      <c r="D146" s="54" t="s">
        <v>2985</v>
      </c>
      <c r="E146" s="215" t="s">
        <v>3499</v>
      </c>
      <c r="F146" s="51" t="s">
        <v>3491</v>
      </c>
      <c r="G146" s="50" t="s">
        <v>3492</v>
      </c>
      <c r="H146" s="217"/>
    </row>
    <row r="147" spans="1:8" ht="26.25" customHeight="1">
      <c r="A147" s="218" t="s">
        <v>3500</v>
      </c>
      <c r="B147" s="55" t="s">
        <v>3501</v>
      </c>
      <c r="C147" s="55" t="s">
        <v>3502</v>
      </c>
      <c r="D147" s="59" t="s">
        <v>2985</v>
      </c>
      <c r="E147" s="220" t="s">
        <v>3503</v>
      </c>
      <c r="F147" s="56" t="s">
        <v>3491</v>
      </c>
      <c r="G147" s="55" t="s">
        <v>3492</v>
      </c>
      <c r="H147" s="222"/>
    </row>
    <row r="148" spans="1:8" ht="26.25" customHeight="1">
      <c r="A148" s="214" t="s">
        <v>3504</v>
      </c>
      <c r="B148" s="50" t="s">
        <v>3505</v>
      </c>
      <c r="C148" s="50" t="s">
        <v>3506</v>
      </c>
      <c r="D148" s="54" t="s">
        <v>2985</v>
      </c>
      <c r="E148" s="215" t="s">
        <v>3507</v>
      </c>
      <c r="F148" s="51" t="s">
        <v>3491</v>
      </c>
      <c r="G148" s="50" t="s">
        <v>3492</v>
      </c>
      <c r="H148" s="217"/>
    </row>
    <row r="149" spans="1:8" ht="26.25" customHeight="1">
      <c r="A149" s="218" t="s">
        <v>3508</v>
      </c>
      <c r="B149" s="55" t="s">
        <v>3509</v>
      </c>
      <c r="C149" s="55" t="s">
        <v>3510</v>
      </c>
      <c r="D149" s="59" t="s">
        <v>2985</v>
      </c>
      <c r="E149" s="220" t="s">
        <v>3511</v>
      </c>
      <c r="F149" s="56" t="s">
        <v>3491</v>
      </c>
      <c r="G149" s="55" t="s">
        <v>3492</v>
      </c>
      <c r="H149" s="222"/>
    </row>
    <row r="150" spans="1:8" ht="26.25" customHeight="1">
      <c r="A150" s="214" t="s">
        <v>3512</v>
      </c>
      <c r="B150" s="50" t="s">
        <v>3513</v>
      </c>
      <c r="C150" s="50" t="s">
        <v>3514</v>
      </c>
      <c r="D150" s="54" t="s">
        <v>2985</v>
      </c>
      <c r="E150" s="215" t="s">
        <v>3515</v>
      </c>
      <c r="F150" s="51" t="s">
        <v>3491</v>
      </c>
      <c r="G150" s="50" t="s">
        <v>3492</v>
      </c>
      <c r="H150" s="217"/>
    </row>
    <row r="151" spans="1:8" ht="26.25" customHeight="1">
      <c r="A151" s="218" t="s">
        <v>3516</v>
      </c>
      <c r="B151" s="55" t="s">
        <v>3517</v>
      </c>
      <c r="C151" s="55" t="s">
        <v>3518</v>
      </c>
      <c r="D151" s="59" t="s">
        <v>2985</v>
      </c>
      <c r="E151" s="220" t="s">
        <v>3519</v>
      </c>
      <c r="F151" s="56" t="s">
        <v>3491</v>
      </c>
      <c r="G151" s="55" t="s">
        <v>3492</v>
      </c>
      <c r="H151" s="222"/>
    </row>
    <row r="152" spans="1:8" ht="26.25" customHeight="1">
      <c r="A152" s="214" t="s">
        <v>3520</v>
      </c>
      <c r="B152" s="50" t="s">
        <v>3521</v>
      </c>
      <c r="C152" s="50" t="s">
        <v>3522</v>
      </c>
      <c r="D152" s="54" t="s">
        <v>2985</v>
      </c>
      <c r="E152" s="215" t="s">
        <v>3523</v>
      </c>
      <c r="F152" s="51" t="s">
        <v>3491</v>
      </c>
      <c r="G152" s="50" t="s">
        <v>3492</v>
      </c>
      <c r="H152" s="217"/>
    </row>
    <row r="153" spans="1:8" ht="26.25" customHeight="1">
      <c r="A153" s="218" t="s">
        <v>3524</v>
      </c>
      <c r="B153" s="55" t="s">
        <v>3525</v>
      </c>
      <c r="C153" s="55" t="s">
        <v>3526</v>
      </c>
      <c r="D153" s="59" t="s">
        <v>2985</v>
      </c>
      <c r="E153" s="220" t="s">
        <v>3527</v>
      </c>
      <c r="F153" s="56" t="s">
        <v>3491</v>
      </c>
      <c r="G153" s="55" t="s">
        <v>3492</v>
      </c>
      <c r="H153" s="222"/>
    </row>
    <row r="154" spans="1:8" ht="26.25" customHeight="1">
      <c r="A154" s="214" t="s">
        <v>3528</v>
      </c>
      <c r="B154" s="50" t="s">
        <v>3529</v>
      </c>
      <c r="C154" s="50" t="s">
        <v>3530</v>
      </c>
      <c r="D154" s="54" t="s">
        <v>2985</v>
      </c>
      <c r="E154" s="215" t="s">
        <v>3531</v>
      </c>
      <c r="F154" s="51" t="s">
        <v>3491</v>
      </c>
      <c r="G154" s="50" t="s">
        <v>3492</v>
      </c>
      <c r="H154" s="217"/>
    </row>
    <row r="155" spans="1:8" ht="26.25" customHeight="1">
      <c r="A155" s="218" t="s">
        <v>3532</v>
      </c>
      <c r="B155" s="55" t="s">
        <v>3533</v>
      </c>
      <c r="C155" s="55" t="s">
        <v>3534</v>
      </c>
      <c r="D155" s="59" t="s">
        <v>2985</v>
      </c>
      <c r="E155" s="220" t="s">
        <v>3535</v>
      </c>
      <c r="F155" s="56" t="s">
        <v>3491</v>
      </c>
      <c r="G155" s="55" t="s">
        <v>3536</v>
      </c>
      <c r="H155" s="222"/>
    </row>
    <row r="156" spans="1:8" ht="26.25" customHeight="1">
      <c r="A156" s="214" t="s">
        <v>3537</v>
      </c>
      <c r="B156" s="50" t="s">
        <v>3538</v>
      </c>
      <c r="C156" s="50" t="s">
        <v>3539</v>
      </c>
      <c r="D156" s="54" t="s">
        <v>2985</v>
      </c>
      <c r="E156" s="215" t="s">
        <v>3540</v>
      </c>
      <c r="F156" s="51" t="s">
        <v>3491</v>
      </c>
      <c r="G156" s="50" t="s">
        <v>3541</v>
      </c>
      <c r="H156" s="217"/>
    </row>
    <row r="157" spans="1:8" ht="26.25" customHeight="1">
      <c r="A157" s="218" t="s">
        <v>3542</v>
      </c>
      <c r="B157" s="55" t="s">
        <v>3543</v>
      </c>
      <c r="C157" s="55" t="s">
        <v>3544</v>
      </c>
      <c r="D157" s="59" t="s">
        <v>2985</v>
      </c>
      <c r="E157" s="220" t="s">
        <v>3545</v>
      </c>
      <c r="F157" s="56" t="s">
        <v>3491</v>
      </c>
      <c r="G157" s="55" t="s">
        <v>3492</v>
      </c>
      <c r="H157" s="222"/>
    </row>
    <row r="158" spans="1:8" ht="26.25" customHeight="1">
      <c r="A158" s="214" t="s">
        <v>3546</v>
      </c>
      <c r="B158" s="50" t="s">
        <v>3547</v>
      </c>
      <c r="C158" s="50" t="s">
        <v>3548</v>
      </c>
      <c r="D158" s="54" t="s">
        <v>2985</v>
      </c>
      <c r="E158" s="215" t="s">
        <v>3549</v>
      </c>
      <c r="F158" s="51" t="s">
        <v>3491</v>
      </c>
      <c r="G158" s="50" t="s">
        <v>3550</v>
      </c>
      <c r="H158" s="217"/>
    </row>
    <row r="159" spans="1:8" ht="26.25" customHeight="1">
      <c r="A159" s="218" t="s">
        <v>3551</v>
      </c>
      <c r="B159" s="55" t="s">
        <v>3552</v>
      </c>
      <c r="C159" s="55" t="s">
        <v>3553</v>
      </c>
      <c r="D159" s="59" t="s">
        <v>2985</v>
      </c>
      <c r="E159" s="220" t="s">
        <v>3554</v>
      </c>
      <c r="F159" s="56" t="s">
        <v>3491</v>
      </c>
      <c r="G159" s="55" t="s">
        <v>3536</v>
      </c>
      <c r="H159" s="222"/>
    </row>
    <row r="160" spans="1:8" ht="26.25" customHeight="1">
      <c r="A160" s="214" t="s">
        <v>3555</v>
      </c>
      <c r="B160" s="50" t="s">
        <v>3556</v>
      </c>
      <c r="C160" s="50" t="s">
        <v>3557</v>
      </c>
      <c r="D160" s="54" t="s">
        <v>2985</v>
      </c>
      <c r="E160" s="215" t="s">
        <v>3558</v>
      </c>
      <c r="F160" s="51" t="s">
        <v>3491</v>
      </c>
      <c r="G160" s="50" t="s">
        <v>3559</v>
      </c>
      <c r="H160" s="217"/>
    </row>
    <row r="161" spans="1:8" ht="26.25" customHeight="1">
      <c r="A161" s="218" t="s">
        <v>3560</v>
      </c>
      <c r="B161" s="55" t="s">
        <v>3561</v>
      </c>
      <c r="C161" s="55" t="s">
        <v>3562</v>
      </c>
      <c r="D161" s="59" t="s">
        <v>2985</v>
      </c>
      <c r="E161" s="220" t="s">
        <v>3563</v>
      </c>
      <c r="F161" s="56" t="s">
        <v>3491</v>
      </c>
      <c r="G161" s="55" t="s">
        <v>3564</v>
      </c>
      <c r="H161" s="222"/>
    </row>
    <row r="162" spans="1:8" ht="26.25" customHeight="1">
      <c r="A162" s="214" t="s">
        <v>3565</v>
      </c>
      <c r="B162" s="50" t="s">
        <v>3566</v>
      </c>
      <c r="C162" s="50" t="s">
        <v>3567</v>
      </c>
      <c r="D162" s="54" t="s">
        <v>2985</v>
      </c>
      <c r="E162" s="215" t="s">
        <v>3568</v>
      </c>
      <c r="F162" s="51" t="s">
        <v>3491</v>
      </c>
      <c r="G162" s="50" t="s">
        <v>3569</v>
      </c>
      <c r="H162" s="217"/>
    </row>
    <row r="163" spans="1:8" ht="26.25" customHeight="1">
      <c r="A163" s="218" t="s">
        <v>3570</v>
      </c>
      <c r="B163" s="55" t="s">
        <v>3571</v>
      </c>
      <c r="C163" s="55" t="s">
        <v>3572</v>
      </c>
      <c r="D163" s="59" t="s">
        <v>2985</v>
      </c>
      <c r="E163" s="220" t="s">
        <v>3573</v>
      </c>
      <c r="F163" s="56" t="s">
        <v>3491</v>
      </c>
      <c r="G163" s="55" t="s">
        <v>3574</v>
      </c>
      <c r="H163" s="222"/>
    </row>
    <row r="164" spans="1:8" ht="26.25" customHeight="1">
      <c r="A164" s="214" t="s">
        <v>3575</v>
      </c>
      <c r="B164" s="50" t="s">
        <v>3576</v>
      </c>
      <c r="C164" s="50" t="s">
        <v>3577</v>
      </c>
      <c r="D164" s="54" t="s">
        <v>2985</v>
      </c>
      <c r="E164" s="215" t="s">
        <v>3578</v>
      </c>
      <c r="F164" s="51" t="s">
        <v>3491</v>
      </c>
      <c r="G164" s="50" t="s">
        <v>3579</v>
      </c>
      <c r="H164" s="217"/>
    </row>
    <row r="165" spans="1:8" ht="26.25" customHeight="1">
      <c r="A165" s="218" t="s">
        <v>3580</v>
      </c>
      <c r="B165" s="55" t="s">
        <v>3581</v>
      </c>
      <c r="C165" s="55" t="s">
        <v>3582</v>
      </c>
      <c r="D165" s="59" t="s">
        <v>2985</v>
      </c>
      <c r="E165" s="220" t="s">
        <v>3583</v>
      </c>
      <c r="F165" s="56" t="s">
        <v>3491</v>
      </c>
      <c r="G165" s="55" t="s">
        <v>3584</v>
      </c>
      <c r="H165" s="222"/>
    </row>
    <row r="166" spans="1:8" ht="26.25" customHeight="1">
      <c r="A166" s="214" t="s">
        <v>3585</v>
      </c>
      <c r="B166" s="50" t="s">
        <v>3586</v>
      </c>
      <c r="C166" s="50" t="s">
        <v>3587</v>
      </c>
      <c r="D166" s="54" t="s">
        <v>2985</v>
      </c>
      <c r="E166" s="215" t="s">
        <v>3588</v>
      </c>
      <c r="F166" s="51" t="s">
        <v>3491</v>
      </c>
      <c r="G166" s="50" t="s">
        <v>3589</v>
      </c>
      <c r="H166" s="217"/>
    </row>
    <row r="167" spans="1:8" ht="26.25" customHeight="1">
      <c r="A167" s="218" t="s">
        <v>3590</v>
      </c>
      <c r="B167" s="55" t="s">
        <v>3591</v>
      </c>
      <c r="C167" s="55" t="s">
        <v>3592</v>
      </c>
      <c r="D167" s="71" t="s">
        <v>3443</v>
      </c>
      <c r="E167" s="220" t="s">
        <v>3593</v>
      </c>
      <c r="F167" s="56" t="s">
        <v>3491</v>
      </c>
      <c r="G167" s="55" t="s">
        <v>3492</v>
      </c>
      <c r="H167" s="222"/>
    </row>
    <row r="168" spans="1:8" ht="26.25" customHeight="1">
      <c r="A168" s="214" t="s">
        <v>3594</v>
      </c>
      <c r="B168" s="50" t="s">
        <v>3595</v>
      </c>
      <c r="C168" s="50" t="s">
        <v>3596</v>
      </c>
      <c r="D168" s="229" t="s">
        <v>3443</v>
      </c>
      <c r="E168" s="215" t="s">
        <v>3593</v>
      </c>
      <c r="F168" s="51" t="s">
        <v>3491</v>
      </c>
      <c r="G168" s="50" t="s">
        <v>3492</v>
      </c>
      <c r="H168" s="217"/>
    </row>
    <row r="169" spans="1:8" ht="26.25" customHeight="1">
      <c r="A169" s="218" t="s">
        <v>3597</v>
      </c>
      <c r="B169" s="55" t="s">
        <v>3598</v>
      </c>
      <c r="C169" s="55" t="s">
        <v>3599</v>
      </c>
      <c r="D169" s="71" t="s">
        <v>3443</v>
      </c>
      <c r="E169" s="220" t="s">
        <v>3600</v>
      </c>
      <c r="F169" s="56" t="s">
        <v>3491</v>
      </c>
      <c r="G169" s="55" t="s">
        <v>3492</v>
      </c>
      <c r="H169" s="222"/>
    </row>
    <row r="170" spans="1:8" ht="26.25" customHeight="1">
      <c r="A170" s="214" t="s">
        <v>3601</v>
      </c>
      <c r="B170" s="50" t="s">
        <v>3602</v>
      </c>
      <c r="C170" s="50" t="s">
        <v>3603</v>
      </c>
      <c r="D170" s="229" t="s">
        <v>3443</v>
      </c>
      <c r="E170" s="215" t="s">
        <v>3604</v>
      </c>
      <c r="F170" s="51" t="s">
        <v>3491</v>
      </c>
      <c r="G170" s="50" t="s">
        <v>3492</v>
      </c>
      <c r="H170" s="217"/>
    </row>
    <row r="171" spans="1:8" ht="26.25" customHeight="1">
      <c r="A171" s="218" t="s">
        <v>3605</v>
      </c>
      <c r="B171" s="55" t="s">
        <v>3606</v>
      </c>
      <c r="C171" s="55" t="s">
        <v>3607</v>
      </c>
      <c r="D171" s="65" t="s">
        <v>3608</v>
      </c>
      <c r="E171" s="220" t="s">
        <v>3609</v>
      </c>
      <c r="F171" s="56" t="s">
        <v>3491</v>
      </c>
      <c r="G171" s="55" t="s">
        <v>3492</v>
      </c>
      <c r="H171" s="222"/>
    </row>
    <row r="172" spans="1:8" ht="26.25" customHeight="1">
      <c r="A172" s="214" t="s">
        <v>3610</v>
      </c>
      <c r="B172" s="50" t="s">
        <v>3611</v>
      </c>
      <c r="C172" s="50" t="s">
        <v>3612</v>
      </c>
      <c r="D172" s="74" t="s">
        <v>2991</v>
      </c>
      <c r="E172" s="215" t="s">
        <v>3613</v>
      </c>
      <c r="F172" s="51" t="s">
        <v>3491</v>
      </c>
      <c r="G172" s="50" t="s">
        <v>3492</v>
      </c>
      <c r="H172" s="217"/>
    </row>
    <row r="173" spans="1:8" ht="26.25" customHeight="1">
      <c r="A173" s="218" t="s">
        <v>3614</v>
      </c>
      <c r="B173" s="55" t="s">
        <v>3615</v>
      </c>
      <c r="C173" s="55" t="s">
        <v>3616</v>
      </c>
      <c r="D173" s="219" t="s">
        <v>2991</v>
      </c>
      <c r="E173" s="220" t="s">
        <v>3617</v>
      </c>
      <c r="F173" s="56" t="s">
        <v>3491</v>
      </c>
      <c r="G173" s="55" t="s">
        <v>3618</v>
      </c>
      <c r="H173" s="222"/>
    </row>
    <row r="174" spans="1:8" ht="26.25" customHeight="1">
      <c r="A174" s="214" t="s">
        <v>3619</v>
      </c>
      <c r="B174" s="50" t="s">
        <v>3620</v>
      </c>
      <c r="C174" s="50" t="s">
        <v>3621</v>
      </c>
      <c r="D174" s="74" t="s">
        <v>2991</v>
      </c>
      <c r="E174" s="215" t="s">
        <v>3622</v>
      </c>
      <c r="F174" s="51" t="s">
        <v>3491</v>
      </c>
      <c r="G174" s="50" t="s">
        <v>3618</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3623</v>
      </c>
      <c r="B177" s="55"/>
      <c r="C177" s="55"/>
      <c r="D177" s="224"/>
      <c r="E177" s="220"/>
      <c r="F177" s="56"/>
      <c r="G177" s="55"/>
      <c r="H177" s="222"/>
    </row>
    <row r="178" spans="1:8" ht="15" customHeight="1">
      <c r="A178" s="214" t="s">
        <v>526</v>
      </c>
      <c r="B178" s="50" t="s">
        <v>3624</v>
      </c>
      <c r="C178" s="230">
        <v>0.77400000000000002</v>
      </c>
      <c r="D178" s="54" t="s">
        <v>2139</v>
      </c>
      <c r="E178" s="215" t="s">
        <v>3625</v>
      </c>
      <c r="F178" s="51"/>
      <c r="G178" s="50"/>
      <c r="H178" s="217"/>
    </row>
    <row r="179" spans="1:8" ht="26.25" customHeight="1">
      <c r="A179" s="218" t="s">
        <v>1677</v>
      </c>
      <c r="B179" s="55" t="s">
        <v>3626</v>
      </c>
      <c r="C179" s="231">
        <v>0.129</v>
      </c>
      <c r="D179" s="71" t="s">
        <v>3627</v>
      </c>
      <c r="E179" s="220" t="s">
        <v>3628</v>
      </c>
      <c r="F179" s="56"/>
      <c r="G179" s="55"/>
      <c r="H179" s="222"/>
    </row>
    <row r="180" spans="1:8" ht="39" customHeight="1">
      <c r="A180" s="214" t="s">
        <v>3629</v>
      </c>
      <c r="B180" s="50" t="s">
        <v>3630</v>
      </c>
      <c r="C180" s="230">
        <v>3.2000000000000001E-2</v>
      </c>
      <c r="D180" s="223" t="s">
        <v>3631</v>
      </c>
      <c r="E180" s="215" t="s">
        <v>3632</v>
      </c>
      <c r="F180" s="51"/>
      <c r="G180" s="50"/>
      <c r="H180" s="217"/>
    </row>
    <row r="181" spans="1:8" ht="26.25" customHeight="1">
      <c r="A181" s="218" t="s">
        <v>3633</v>
      </c>
      <c r="B181" s="55" t="s">
        <v>3634</v>
      </c>
      <c r="C181" s="231">
        <v>9.7000000000000003E-2</v>
      </c>
      <c r="D181" s="219" t="s">
        <v>3635</v>
      </c>
      <c r="E181" s="220" t="s">
        <v>3636</v>
      </c>
      <c r="F181" s="56"/>
      <c r="G181" s="55"/>
      <c r="H181" s="222"/>
    </row>
    <row r="182" spans="1:8" ht="15" customHeight="1">
      <c r="A182" s="214"/>
      <c r="B182" s="50"/>
      <c r="C182" s="50"/>
      <c r="D182" s="77"/>
      <c r="E182" s="215"/>
      <c r="F182" s="51"/>
      <c r="G182" s="50"/>
      <c r="H182" s="217"/>
    </row>
    <row r="183" spans="1:8" ht="39" customHeight="1">
      <c r="A183" s="218" t="s">
        <v>3637</v>
      </c>
      <c r="B183" s="55"/>
      <c r="C183" s="55"/>
      <c r="D183" s="224"/>
      <c r="E183" s="220"/>
      <c r="F183" s="56"/>
      <c r="G183" s="55"/>
      <c r="H183" s="222"/>
    </row>
    <row r="184" spans="1:8" ht="26.25" customHeight="1">
      <c r="A184" s="214">
        <v>1</v>
      </c>
      <c r="B184" s="50" t="s">
        <v>3638</v>
      </c>
      <c r="C184" s="50"/>
      <c r="D184" s="77"/>
      <c r="E184" s="215"/>
      <c r="F184" s="51"/>
      <c r="G184" s="50"/>
      <c r="H184" s="217"/>
    </row>
    <row r="185" spans="1:8" ht="26.25" customHeight="1">
      <c r="A185" s="218">
        <v>2</v>
      </c>
      <c r="B185" s="55" t="s">
        <v>3639</v>
      </c>
      <c r="C185" s="55"/>
      <c r="D185" s="224"/>
      <c r="E185" s="220"/>
      <c r="F185" s="56"/>
      <c r="G185" s="55"/>
      <c r="H185" s="222"/>
    </row>
    <row r="186" spans="1:8" ht="26.25" customHeight="1">
      <c r="A186" s="214">
        <v>3</v>
      </c>
      <c r="B186" s="50" t="s">
        <v>3640</v>
      </c>
      <c r="C186" s="50"/>
      <c r="D186" s="77"/>
      <c r="E186" s="215"/>
      <c r="F186" s="51"/>
      <c r="G186" s="50"/>
      <c r="H186" s="217"/>
    </row>
    <row r="187" spans="1:8" ht="39" customHeight="1">
      <c r="A187" s="218">
        <v>4</v>
      </c>
      <c r="B187" s="55" t="s">
        <v>3641</v>
      </c>
      <c r="C187" s="55"/>
      <c r="D187" s="224"/>
      <c r="E187" s="220"/>
      <c r="F187" s="56"/>
      <c r="G187" s="55"/>
      <c r="H187" s="222"/>
    </row>
    <row r="188" spans="1:8" ht="26.25" customHeight="1">
      <c r="A188" s="214">
        <v>5</v>
      </c>
      <c r="B188" s="50" t="s">
        <v>3642</v>
      </c>
      <c r="C188" s="50"/>
      <c r="D188" s="77"/>
      <c r="E188" s="215"/>
      <c r="F188" s="51"/>
      <c r="G188" s="50"/>
      <c r="H188" s="217"/>
    </row>
    <row r="189" spans="1:8" ht="26.25" customHeight="1">
      <c r="A189" s="218">
        <v>6</v>
      </c>
      <c r="B189" s="55" t="s">
        <v>3643</v>
      </c>
      <c r="C189" s="55"/>
      <c r="D189" s="224"/>
      <c r="E189" s="220"/>
      <c r="F189" s="56"/>
      <c r="G189" s="55"/>
      <c r="H189" s="222"/>
    </row>
    <row r="190" spans="1:8" ht="39" customHeight="1">
      <c r="A190" s="214">
        <v>7</v>
      </c>
      <c r="B190" s="50" t="s">
        <v>3644</v>
      </c>
      <c r="C190" s="50"/>
      <c r="D190" s="77"/>
      <c r="E190" s="215"/>
      <c r="F190" s="51"/>
      <c r="G190" s="50"/>
      <c r="H190" s="217"/>
    </row>
    <row r="191" spans="1:8" ht="26.25" customHeight="1">
      <c r="A191" s="218">
        <v>8</v>
      </c>
      <c r="B191" s="55" t="s">
        <v>3645</v>
      </c>
      <c r="C191" s="55"/>
      <c r="D191" s="224"/>
      <c r="E191" s="220"/>
      <c r="F191" s="56"/>
      <c r="G191" s="55"/>
      <c r="H191" s="222"/>
    </row>
    <row r="192" spans="1:8" ht="39" customHeight="1">
      <c r="A192" s="214">
        <v>9</v>
      </c>
      <c r="B192" s="50" t="s">
        <v>3646</v>
      </c>
      <c r="C192" s="50"/>
      <c r="D192" s="77"/>
      <c r="E192" s="215"/>
      <c r="F192" s="51"/>
      <c r="G192" s="50"/>
      <c r="H192" s="217"/>
    </row>
    <row r="193" spans="1:8" ht="15" customHeight="1">
      <c r="A193" s="218" t="s">
        <v>3647</v>
      </c>
      <c r="B193" s="55" t="s">
        <v>3648</v>
      </c>
      <c r="C193" s="55"/>
      <c r="D193" s="224"/>
      <c r="E193" s="220"/>
      <c r="F193" s="56"/>
      <c r="G193" s="55"/>
      <c r="H193" s="222"/>
    </row>
    <row r="194" spans="1:8" ht="51.75" customHeight="1">
      <c r="A194" s="214" t="s">
        <v>3649</v>
      </c>
      <c r="B194" s="50" t="s">
        <v>3650</v>
      </c>
      <c r="C194" s="50"/>
      <c r="D194" s="77"/>
      <c r="E194" s="215"/>
      <c r="F194" s="51"/>
      <c r="G194" s="50"/>
      <c r="H194" s="217"/>
    </row>
    <row r="195" spans="1:8" ht="51.75" customHeight="1">
      <c r="A195" s="218" t="s">
        <v>3246</v>
      </c>
      <c r="B195" s="55" t="s">
        <v>3651</v>
      </c>
      <c r="C195" s="55"/>
      <c r="D195" s="224"/>
      <c r="E195" s="220"/>
      <c r="F195" s="56"/>
      <c r="G195" s="55"/>
      <c r="H195" s="222"/>
    </row>
    <row r="196" spans="1:8" ht="51.75" customHeight="1">
      <c r="A196" s="214" t="s">
        <v>3652</v>
      </c>
      <c r="B196" s="50" t="s">
        <v>3653</v>
      </c>
      <c r="C196" s="50"/>
      <c r="D196" s="77"/>
      <c r="E196" s="215"/>
      <c r="F196" s="51"/>
      <c r="G196" s="50"/>
      <c r="H196" s="217"/>
    </row>
    <row r="197" spans="1:8" ht="51.75" customHeight="1">
      <c r="A197" s="218" t="s">
        <v>3654</v>
      </c>
      <c r="B197" s="55" t="s">
        <v>3655</v>
      </c>
      <c r="C197" s="55"/>
      <c r="D197" s="224"/>
      <c r="E197" s="220"/>
      <c r="F197" s="56"/>
      <c r="G197" s="55"/>
      <c r="H197" s="222"/>
    </row>
    <row r="198" spans="1:8" ht="51.75" customHeight="1">
      <c r="A198" s="214" t="s">
        <v>3656</v>
      </c>
      <c r="B198" s="50" t="s">
        <v>3655</v>
      </c>
      <c r="C198" s="50"/>
      <c r="D198" s="77"/>
      <c r="E198" s="215"/>
      <c r="F198" s="51"/>
      <c r="G198" s="50"/>
      <c r="H198" s="217"/>
    </row>
    <row r="199" spans="1:8" ht="64.5" customHeight="1">
      <c r="A199" s="218" t="s">
        <v>3657</v>
      </c>
      <c r="B199" s="55" t="s">
        <v>3658</v>
      </c>
      <c r="C199" s="55"/>
      <c r="D199" s="224"/>
      <c r="E199" s="220"/>
      <c r="F199" s="56"/>
      <c r="G199" s="55"/>
      <c r="H199" s="222"/>
    </row>
    <row r="200" spans="1:8" ht="39" customHeight="1">
      <c r="A200" s="214" t="s">
        <v>3659</v>
      </c>
      <c r="B200" s="50" t="s">
        <v>3660</v>
      </c>
      <c r="C200" s="50"/>
      <c r="D200" s="77"/>
      <c r="E200" s="215"/>
      <c r="F200" s="51"/>
      <c r="G200" s="50"/>
      <c r="H200" s="217"/>
    </row>
    <row r="201" spans="1:8" ht="39" customHeight="1">
      <c r="A201" s="218" t="s">
        <v>3661</v>
      </c>
      <c r="B201" s="55" t="s">
        <v>3662</v>
      </c>
      <c r="C201" s="55"/>
      <c r="D201" s="224"/>
      <c r="E201" s="220"/>
      <c r="F201" s="56"/>
      <c r="G201" s="55"/>
      <c r="H201" s="222"/>
    </row>
    <row r="202" spans="1:8" ht="51.75" customHeight="1">
      <c r="A202" s="214" t="s">
        <v>3663</v>
      </c>
      <c r="B202" s="50" t="s">
        <v>3664</v>
      </c>
      <c r="C202" s="50"/>
      <c r="D202" s="77"/>
      <c r="E202" s="215"/>
      <c r="F202" s="51"/>
      <c r="G202" s="50"/>
      <c r="H202" s="217"/>
    </row>
    <row r="203" spans="1:8" ht="26.25" customHeight="1">
      <c r="A203" s="218" t="s">
        <v>3665</v>
      </c>
      <c r="B203" s="55" t="s">
        <v>3666</v>
      </c>
      <c r="C203" s="55"/>
      <c r="D203" s="224"/>
      <c r="E203" s="220"/>
      <c r="F203" s="56"/>
      <c r="G203" s="55"/>
      <c r="H203" s="222"/>
    </row>
    <row r="204" spans="1:8" ht="15" customHeight="1">
      <c r="A204" s="214"/>
      <c r="B204" s="50"/>
      <c r="C204" s="50"/>
      <c r="D204" s="77"/>
      <c r="E204" s="215"/>
      <c r="F204" s="51"/>
      <c r="G204" s="50"/>
      <c r="H204" s="217"/>
    </row>
    <row r="205" spans="1:8" ht="115.5" customHeight="1">
      <c r="A205" s="218" t="s">
        <v>3667</v>
      </c>
      <c r="B205" s="55"/>
      <c r="C205" s="55"/>
      <c r="D205" s="224"/>
      <c r="E205" s="220"/>
      <c r="F205" s="56" t="s">
        <v>2803</v>
      </c>
      <c r="G205" s="55"/>
      <c r="H205" s="222"/>
    </row>
    <row r="206" spans="1:8" ht="51.75" customHeight="1">
      <c r="A206" s="214" t="s">
        <v>3668</v>
      </c>
      <c r="B206" s="50" t="s">
        <v>3669</v>
      </c>
      <c r="C206" s="50" t="s">
        <v>3670</v>
      </c>
      <c r="D206" s="54" t="s">
        <v>2021</v>
      </c>
      <c r="E206" s="215" t="s">
        <v>3671</v>
      </c>
      <c r="F206" s="51" t="s">
        <v>2803</v>
      </c>
      <c r="G206" s="216">
        <v>46090</v>
      </c>
      <c r="H206" s="217" t="s">
        <v>3672</v>
      </c>
    </row>
    <row r="207" spans="1:8" ht="26.25" customHeight="1">
      <c r="A207" s="218" t="s">
        <v>3673</v>
      </c>
      <c r="B207" s="55" t="s">
        <v>3674</v>
      </c>
      <c r="C207" s="55" t="s">
        <v>3675</v>
      </c>
      <c r="D207" s="59" t="s">
        <v>2985</v>
      </c>
      <c r="E207" s="220" t="s">
        <v>3676</v>
      </c>
      <c r="F207" s="56" t="s">
        <v>2803</v>
      </c>
      <c r="G207" s="221">
        <v>46090</v>
      </c>
      <c r="H207" s="222" t="s">
        <v>1979</v>
      </c>
    </row>
    <row r="208" spans="1:8" ht="51.75" customHeight="1">
      <c r="A208" s="214" t="s">
        <v>3677</v>
      </c>
      <c r="B208" s="50"/>
      <c r="C208" s="50"/>
      <c r="D208" s="77"/>
      <c r="E208" s="215"/>
      <c r="F208" s="51"/>
      <c r="G208" s="50"/>
      <c r="H208" s="217"/>
    </row>
    <row r="209" spans="1:8" ht="51.75" customHeight="1">
      <c r="A209" s="218" t="s">
        <v>3678</v>
      </c>
      <c r="B209" s="55" t="s">
        <v>3679</v>
      </c>
      <c r="C209" s="55" t="s">
        <v>3680</v>
      </c>
      <c r="D209" s="59" t="s">
        <v>2062</v>
      </c>
      <c r="E209" s="220" t="s">
        <v>3681</v>
      </c>
      <c r="F209" s="56" t="s">
        <v>2807</v>
      </c>
      <c r="G209" s="55" t="s">
        <v>3682</v>
      </c>
      <c r="H209" s="222" t="s">
        <v>3683</v>
      </c>
    </row>
    <row r="210" spans="1:8" ht="39" customHeight="1">
      <c r="A210" s="214" t="s">
        <v>3684</v>
      </c>
      <c r="B210" s="50" t="s">
        <v>3685</v>
      </c>
      <c r="C210" s="50" t="s">
        <v>3686</v>
      </c>
      <c r="D210" s="77" t="s">
        <v>3095</v>
      </c>
      <c r="E210" s="215" t="s">
        <v>3687</v>
      </c>
      <c r="F210" s="51" t="s">
        <v>2807</v>
      </c>
      <c r="G210" s="50" t="s">
        <v>3682</v>
      </c>
      <c r="H210" s="217" t="s">
        <v>3688</v>
      </c>
    </row>
    <row r="211" spans="1:8" ht="39" customHeight="1">
      <c r="A211" s="218" t="s">
        <v>3689</v>
      </c>
      <c r="B211" s="55" t="s">
        <v>3690</v>
      </c>
      <c r="C211" s="55" t="s">
        <v>3691</v>
      </c>
      <c r="D211" s="224" t="s">
        <v>3692</v>
      </c>
      <c r="E211" s="220" t="s">
        <v>3693</v>
      </c>
      <c r="F211" s="56" t="s">
        <v>2807</v>
      </c>
      <c r="G211" s="55" t="s">
        <v>3694</v>
      </c>
      <c r="H211" s="222" t="s">
        <v>3695</v>
      </c>
    </row>
    <row r="212" spans="1:8" ht="39" customHeight="1">
      <c r="A212" s="214" t="s">
        <v>3696</v>
      </c>
      <c r="B212" s="50" t="s">
        <v>3697</v>
      </c>
      <c r="C212" s="50" t="s">
        <v>3596</v>
      </c>
      <c r="D212" s="74" t="s">
        <v>2991</v>
      </c>
      <c r="E212" s="215" t="s">
        <v>3698</v>
      </c>
      <c r="F212" s="51" t="s">
        <v>2807</v>
      </c>
      <c r="G212" s="50" t="s">
        <v>3694</v>
      </c>
      <c r="H212" s="217" t="s">
        <v>3699</v>
      </c>
    </row>
    <row r="213" spans="1:8" ht="39" customHeight="1">
      <c r="A213" s="218" t="s">
        <v>3700</v>
      </c>
      <c r="B213" s="55" t="s">
        <v>3701</v>
      </c>
      <c r="C213" s="55" t="s">
        <v>3702</v>
      </c>
      <c r="D213" s="59" t="s">
        <v>2985</v>
      </c>
      <c r="E213" s="220" t="s">
        <v>3703</v>
      </c>
      <c r="F213" s="56" t="s">
        <v>2807</v>
      </c>
      <c r="G213" s="55" t="s">
        <v>3694</v>
      </c>
      <c r="H213" s="222" t="s">
        <v>3704</v>
      </c>
    </row>
    <row r="214" spans="1:8" ht="26.25" customHeight="1">
      <c r="A214" s="214" t="s">
        <v>3705</v>
      </c>
      <c r="B214" s="50" t="s">
        <v>3706</v>
      </c>
      <c r="C214" s="50" t="s">
        <v>3707</v>
      </c>
      <c r="D214" s="54" t="s">
        <v>2985</v>
      </c>
      <c r="E214" s="215" t="s">
        <v>3708</v>
      </c>
      <c r="F214" s="51" t="s">
        <v>2807</v>
      </c>
      <c r="G214" s="50" t="s">
        <v>3709</v>
      </c>
      <c r="H214" s="217" t="s">
        <v>1979</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3710</v>
      </c>
      <c r="B218" s="225" t="s">
        <v>3711</v>
      </c>
      <c r="C218" s="225" t="s">
        <v>3712</v>
      </c>
      <c r="D218" s="77"/>
      <c r="E218" s="215"/>
      <c r="F218" s="51"/>
      <c r="G218" s="50"/>
      <c r="H218" s="217"/>
    </row>
    <row r="219" spans="1:8" ht="15" customHeight="1">
      <c r="A219" s="218" t="s">
        <v>3713</v>
      </c>
      <c r="B219" s="55" t="s">
        <v>3714</v>
      </c>
      <c r="C219" s="55" t="s">
        <v>3715</v>
      </c>
      <c r="D219" s="59" t="s">
        <v>2985</v>
      </c>
      <c r="E219" s="220" t="s">
        <v>3716</v>
      </c>
      <c r="F219" s="56" t="s">
        <v>2807</v>
      </c>
      <c r="G219" s="221">
        <v>46090</v>
      </c>
      <c r="H219" s="222" t="s">
        <v>1979</v>
      </c>
    </row>
    <row r="220" spans="1:8" ht="15" customHeight="1">
      <c r="A220" s="214" t="s">
        <v>3717</v>
      </c>
      <c r="B220" s="50" t="s">
        <v>3718</v>
      </c>
      <c r="C220" s="50" t="s">
        <v>3719</v>
      </c>
      <c r="D220" s="54" t="s">
        <v>2985</v>
      </c>
      <c r="E220" s="215" t="s">
        <v>3720</v>
      </c>
      <c r="F220" s="51" t="s">
        <v>2807</v>
      </c>
      <c r="G220" s="216">
        <v>46090</v>
      </c>
      <c r="H220" s="217" t="s">
        <v>1979</v>
      </c>
    </row>
    <row r="221" spans="1:8" ht="15" customHeight="1">
      <c r="A221" s="218" t="s">
        <v>3721</v>
      </c>
      <c r="B221" s="55" t="s">
        <v>3722</v>
      </c>
      <c r="C221" s="55" t="s">
        <v>3723</v>
      </c>
      <c r="D221" s="59" t="s">
        <v>2985</v>
      </c>
      <c r="E221" s="220" t="s">
        <v>3724</v>
      </c>
      <c r="F221" s="56" t="s">
        <v>2807</v>
      </c>
      <c r="G221" s="221">
        <v>46090</v>
      </c>
      <c r="H221" s="222" t="s">
        <v>1979</v>
      </c>
    </row>
    <row r="222" spans="1:8" ht="15" customHeight="1">
      <c r="A222" s="214" t="s">
        <v>3725</v>
      </c>
      <c r="B222" s="50" t="s">
        <v>3726</v>
      </c>
      <c r="C222" s="50" t="s">
        <v>3727</v>
      </c>
      <c r="D222" s="54" t="s">
        <v>2985</v>
      </c>
      <c r="E222" s="215" t="s">
        <v>3728</v>
      </c>
      <c r="F222" s="51" t="s">
        <v>2807</v>
      </c>
      <c r="G222" s="216">
        <v>46090</v>
      </c>
      <c r="H222" s="217" t="s">
        <v>1979</v>
      </c>
    </row>
    <row r="223" spans="1:8" ht="15" customHeight="1">
      <c r="A223" s="218" t="s">
        <v>2023</v>
      </c>
      <c r="B223" s="55" t="s">
        <v>3729</v>
      </c>
      <c r="C223" s="55" t="s">
        <v>3730</v>
      </c>
      <c r="D223" s="65" t="s">
        <v>3731</v>
      </c>
      <c r="E223" s="220" t="s">
        <v>3732</v>
      </c>
      <c r="F223" s="56" t="s">
        <v>2807</v>
      </c>
      <c r="G223" s="221">
        <v>46090</v>
      </c>
      <c r="H223" s="222" t="s">
        <v>3733</v>
      </c>
    </row>
    <row r="224" spans="1:8" ht="15" customHeight="1">
      <c r="A224" s="214" t="s">
        <v>3734</v>
      </c>
      <c r="B224" s="50" t="s">
        <v>3735</v>
      </c>
      <c r="C224" s="50" t="s">
        <v>3736</v>
      </c>
      <c r="D224" s="229" t="s">
        <v>3443</v>
      </c>
      <c r="E224" s="215" t="s">
        <v>3737</v>
      </c>
      <c r="F224" s="51" t="s">
        <v>2807</v>
      </c>
      <c r="G224" s="216">
        <v>46090</v>
      </c>
      <c r="H224" s="217" t="s">
        <v>3738</v>
      </c>
    </row>
    <row r="225" spans="1:8" ht="15" customHeight="1">
      <c r="A225" s="218" t="s">
        <v>3739</v>
      </c>
      <c r="B225" s="55" t="s">
        <v>3740</v>
      </c>
      <c r="C225" s="55" t="s">
        <v>3741</v>
      </c>
      <c r="D225" s="219" t="s">
        <v>2991</v>
      </c>
      <c r="E225" s="220" t="s">
        <v>3742</v>
      </c>
      <c r="F225" s="56" t="s">
        <v>2807</v>
      </c>
      <c r="G225" s="221">
        <v>46090</v>
      </c>
      <c r="H225" s="222" t="s">
        <v>3743</v>
      </c>
    </row>
    <row r="226" spans="1:8" ht="15" customHeight="1">
      <c r="A226" s="214" t="s">
        <v>3744</v>
      </c>
      <c r="B226" s="50" t="s">
        <v>3745</v>
      </c>
      <c r="C226" s="50" t="s">
        <v>3746</v>
      </c>
      <c r="D226" s="54" t="s">
        <v>2985</v>
      </c>
      <c r="E226" s="215" t="s">
        <v>3747</v>
      </c>
      <c r="F226" s="51" t="s">
        <v>2807</v>
      </c>
      <c r="G226" s="216">
        <v>46090</v>
      </c>
      <c r="H226" s="217" t="s">
        <v>1979</v>
      </c>
    </row>
    <row r="227" spans="1:8" ht="15" customHeight="1">
      <c r="A227" s="218" t="s">
        <v>3748</v>
      </c>
      <c r="B227" s="55" t="s">
        <v>3749</v>
      </c>
      <c r="C227" s="55" t="s">
        <v>3750</v>
      </c>
      <c r="D227" s="59" t="s">
        <v>2985</v>
      </c>
      <c r="E227" s="220" t="s">
        <v>3751</v>
      </c>
      <c r="F227" s="56" t="s">
        <v>2807</v>
      </c>
      <c r="G227" s="221">
        <v>46090</v>
      </c>
      <c r="H227" s="222" t="s">
        <v>1979</v>
      </c>
    </row>
    <row r="228" spans="1:8" ht="15" customHeight="1">
      <c r="A228" s="214" t="s">
        <v>3752</v>
      </c>
      <c r="B228" s="50" t="s">
        <v>3753</v>
      </c>
      <c r="C228" s="50" t="s">
        <v>3754</v>
      </c>
      <c r="D228" s="54" t="s">
        <v>2985</v>
      </c>
      <c r="E228" s="215" t="s">
        <v>3755</v>
      </c>
      <c r="F228" s="51" t="s">
        <v>2807</v>
      </c>
      <c r="G228" s="216">
        <v>46090</v>
      </c>
      <c r="H228" s="217" t="s">
        <v>1979</v>
      </c>
    </row>
    <row r="229" spans="1:8" ht="15" customHeight="1">
      <c r="A229" s="218" t="s">
        <v>3756</v>
      </c>
      <c r="B229" s="55" t="s">
        <v>3757</v>
      </c>
      <c r="C229" s="55" t="s">
        <v>3758</v>
      </c>
      <c r="D229" s="59" t="s">
        <v>2985</v>
      </c>
      <c r="E229" s="220" t="s">
        <v>3759</v>
      </c>
      <c r="F229" s="56" t="s">
        <v>2807</v>
      </c>
      <c r="G229" s="221">
        <v>46090</v>
      </c>
      <c r="H229" s="222" t="s">
        <v>1979</v>
      </c>
    </row>
    <row r="230" spans="1:8" ht="15" customHeight="1">
      <c r="A230" s="214" t="s">
        <v>3760</v>
      </c>
      <c r="B230" s="50" t="s">
        <v>3761</v>
      </c>
      <c r="C230" s="50" t="s">
        <v>3762</v>
      </c>
      <c r="D230" s="54" t="s">
        <v>2985</v>
      </c>
      <c r="E230" s="215" t="s">
        <v>3763</v>
      </c>
      <c r="F230" s="51" t="s">
        <v>2807</v>
      </c>
      <c r="G230" s="216">
        <v>46090</v>
      </c>
      <c r="H230" s="217" t="s">
        <v>1979</v>
      </c>
    </row>
    <row r="231" spans="1:8" ht="15" customHeight="1">
      <c r="A231" s="218" t="s">
        <v>3764</v>
      </c>
      <c r="B231" s="55" t="s">
        <v>3765</v>
      </c>
      <c r="C231" s="55" t="s">
        <v>3766</v>
      </c>
      <c r="D231" s="59" t="s">
        <v>2985</v>
      </c>
      <c r="E231" s="220" t="s">
        <v>3767</v>
      </c>
      <c r="F231" s="56" t="s">
        <v>2807</v>
      </c>
      <c r="G231" s="221">
        <v>46090</v>
      </c>
      <c r="H231" s="222" t="s">
        <v>1979</v>
      </c>
    </row>
    <row r="232" spans="1:8" ht="15" customHeight="1">
      <c r="A232" s="214" t="s">
        <v>3768</v>
      </c>
      <c r="B232" s="50" t="s">
        <v>3769</v>
      </c>
      <c r="C232" s="50" t="s">
        <v>3770</v>
      </c>
      <c r="D232" s="54" t="s">
        <v>2985</v>
      </c>
      <c r="E232" s="215" t="s">
        <v>3771</v>
      </c>
      <c r="F232" s="51" t="s">
        <v>2807</v>
      </c>
      <c r="G232" s="216">
        <v>46090</v>
      </c>
      <c r="H232" s="217" t="s">
        <v>1979</v>
      </c>
    </row>
    <row r="233" spans="1:8" ht="15" customHeight="1">
      <c r="A233" s="218" t="s">
        <v>3772</v>
      </c>
      <c r="B233" s="55" t="s">
        <v>3773</v>
      </c>
      <c r="C233" s="55" t="s">
        <v>3774</v>
      </c>
      <c r="D233" s="59" t="s">
        <v>2985</v>
      </c>
      <c r="E233" s="220" t="s">
        <v>3775</v>
      </c>
      <c r="F233" s="56" t="s">
        <v>2807</v>
      </c>
      <c r="G233" s="221">
        <v>46090</v>
      </c>
      <c r="H233" s="222" t="s">
        <v>1979</v>
      </c>
    </row>
    <row r="234" spans="1:8" ht="15" customHeight="1">
      <c r="A234" s="214" t="s">
        <v>3776</v>
      </c>
      <c r="B234" s="50" t="s">
        <v>3777</v>
      </c>
      <c r="C234" s="50" t="s">
        <v>3778</v>
      </c>
      <c r="D234" s="54" t="s">
        <v>2985</v>
      </c>
      <c r="E234" s="215" t="s">
        <v>3779</v>
      </c>
      <c r="F234" s="51" t="s">
        <v>2807</v>
      </c>
      <c r="G234" s="216">
        <v>46090</v>
      </c>
      <c r="H234" s="217" t="s">
        <v>1979</v>
      </c>
    </row>
    <row r="235" spans="1:8" ht="15" customHeight="1">
      <c r="A235" s="218" t="s">
        <v>2031</v>
      </c>
      <c r="B235" s="55" t="s">
        <v>3780</v>
      </c>
      <c r="C235" s="55" t="s">
        <v>3781</v>
      </c>
      <c r="D235" s="71" t="s">
        <v>3357</v>
      </c>
      <c r="E235" s="220" t="s">
        <v>3782</v>
      </c>
      <c r="F235" s="56" t="s">
        <v>2807</v>
      </c>
      <c r="G235" s="221">
        <v>46090</v>
      </c>
      <c r="H235" s="222" t="s">
        <v>3783</v>
      </c>
    </row>
    <row r="236" spans="1:8" ht="15" customHeight="1">
      <c r="A236" s="214" t="s">
        <v>3784</v>
      </c>
      <c r="B236" s="50" t="s">
        <v>3785</v>
      </c>
      <c r="C236" s="50" t="s">
        <v>3786</v>
      </c>
      <c r="D236" s="54" t="s">
        <v>2985</v>
      </c>
      <c r="E236" s="215" t="s">
        <v>3787</v>
      </c>
      <c r="F236" s="51" t="s">
        <v>2807</v>
      </c>
      <c r="G236" s="216">
        <v>46090</v>
      </c>
      <c r="H236" s="217" t="s">
        <v>1979</v>
      </c>
    </row>
    <row r="237" spans="1:8" ht="15" customHeight="1">
      <c r="A237" s="218" t="s">
        <v>3788</v>
      </c>
      <c r="B237" s="55" t="s">
        <v>3789</v>
      </c>
      <c r="C237" s="55" t="s">
        <v>3790</v>
      </c>
      <c r="D237" s="219" t="s">
        <v>3791</v>
      </c>
      <c r="E237" s="220" t="s">
        <v>3792</v>
      </c>
      <c r="F237" s="56" t="s">
        <v>2807</v>
      </c>
      <c r="G237" s="221">
        <v>46090</v>
      </c>
      <c r="H237" s="222" t="s">
        <v>3793</v>
      </c>
    </row>
    <row r="238" spans="1:8" ht="15" customHeight="1">
      <c r="A238" s="214" t="s">
        <v>3794</v>
      </c>
      <c r="B238" s="50" t="s">
        <v>3795</v>
      </c>
      <c r="C238" s="50" t="s">
        <v>3796</v>
      </c>
      <c r="D238" s="74" t="s">
        <v>3791</v>
      </c>
      <c r="E238" s="215" t="s">
        <v>3792</v>
      </c>
      <c r="F238" s="51" t="s">
        <v>2807</v>
      </c>
      <c r="G238" s="216">
        <v>46090</v>
      </c>
      <c r="H238" s="217" t="s">
        <v>3793</v>
      </c>
    </row>
    <row r="239" spans="1:8" ht="15" customHeight="1">
      <c r="A239" s="218" t="s">
        <v>3797</v>
      </c>
      <c r="B239" s="55" t="s">
        <v>3798</v>
      </c>
      <c r="C239" s="55" t="s">
        <v>3799</v>
      </c>
      <c r="D239" s="59" t="s">
        <v>2985</v>
      </c>
      <c r="E239" s="220" t="s">
        <v>3800</v>
      </c>
      <c r="F239" s="56" t="s">
        <v>2807</v>
      </c>
      <c r="G239" s="221">
        <v>46090</v>
      </c>
      <c r="H239" s="222" t="s">
        <v>1979</v>
      </c>
    </row>
    <row r="240" spans="1:8" ht="15" customHeight="1">
      <c r="A240" s="214" t="s">
        <v>3801</v>
      </c>
      <c r="B240" s="50" t="s">
        <v>3802</v>
      </c>
      <c r="C240" s="50" t="s">
        <v>3803</v>
      </c>
      <c r="D240" s="54" t="s">
        <v>2985</v>
      </c>
      <c r="E240" s="215" t="s">
        <v>3804</v>
      </c>
      <c r="F240" s="51" t="s">
        <v>2807</v>
      </c>
      <c r="G240" s="216">
        <v>46090</v>
      </c>
      <c r="H240" s="217" t="s">
        <v>1979</v>
      </c>
    </row>
    <row r="241" spans="1:8" ht="15" customHeight="1">
      <c r="A241" s="218" t="s">
        <v>3805</v>
      </c>
      <c r="B241" s="55" t="s">
        <v>1670</v>
      </c>
      <c r="C241" s="55" t="s">
        <v>3806</v>
      </c>
      <c r="D241" s="219" t="s">
        <v>3791</v>
      </c>
      <c r="E241" s="220" t="s">
        <v>3807</v>
      </c>
      <c r="F241" s="56" t="s">
        <v>2807</v>
      </c>
      <c r="G241" s="221">
        <v>46090</v>
      </c>
      <c r="H241" s="222" t="s">
        <v>3808</v>
      </c>
    </row>
    <row r="242" spans="1:8" ht="15" customHeight="1">
      <c r="A242" s="214" t="s">
        <v>3809</v>
      </c>
      <c r="B242" s="50" t="s">
        <v>3810</v>
      </c>
      <c r="C242" s="50" t="s">
        <v>3811</v>
      </c>
      <c r="D242" s="74" t="s">
        <v>3791</v>
      </c>
      <c r="E242" s="215" t="s">
        <v>3812</v>
      </c>
      <c r="F242" s="51" t="s">
        <v>2807</v>
      </c>
      <c r="G242" s="216">
        <v>46090</v>
      </c>
      <c r="H242" s="217" t="s">
        <v>3813</v>
      </c>
    </row>
    <row r="243" spans="1:8" ht="15" customHeight="1">
      <c r="A243" s="218" t="s">
        <v>3814</v>
      </c>
      <c r="B243" s="55" t="s">
        <v>3815</v>
      </c>
      <c r="C243" s="55" t="s">
        <v>3816</v>
      </c>
      <c r="D243" s="219" t="s">
        <v>3817</v>
      </c>
      <c r="E243" s="220" t="s">
        <v>3818</v>
      </c>
      <c r="F243" s="56" t="s">
        <v>2807</v>
      </c>
      <c r="G243" s="221">
        <v>46090</v>
      </c>
      <c r="H243" s="222" t="s">
        <v>3819</v>
      </c>
    </row>
    <row r="244" spans="1:8" ht="15" customHeight="1">
      <c r="A244" s="214" t="s">
        <v>3820</v>
      </c>
      <c r="B244" s="50" t="s">
        <v>1674</v>
      </c>
      <c r="C244" s="50" t="s">
        <v>3821</v>
      </c>
      <c r="D244" s="74" t="s">
        <v>3817</v>
      </c>
      <c r="E244" s="215" t="s">
        <v>3818</v>
      </c>
      <c r="F244" s="51" t="s">
        <v>2807</v>
      </c>
      <c r="G244" s="216">
        <v>46090</v>
      </c>
      <c r="H244" s="217" t="s">
        <v>3822</v>
      </c>
    </row>
    <row r="245" spans="1:8" ht="15" customHeight="1">
      <c r="A245" s="218" t="s">
        <v>3823</v>
      </c>
      <c r="B245" s="55" t="s">
        <v>3824</v>
      </c>
      <c r="C245" s="55" t="s">
        <v>3825</v>
      </c>
      <c r="D245" s="219" t="s">
        <v>3817</v>
      </c>
      <c r="E245" s="220" t="s">
        <v>3826</v>
      </c>
      <c r="F245" s="56" t="s">
        <v>2807</v>
      </c>
      <c r="G245" s="221">
        <v>46090</v>
      </c>
      <c r="H245" s="222" t="s">
        <v>3827</v>
      </c>
    </row>
    <row r="246" spans="1:8" ht="15" customHeight="1">
      <c r="A246" s="214" t="s">
        <v>3828</v>
      </c>
      <c r="B246" s="50" t="s">
        <v>3829</v>
      </c>
      <c r="C246" s="50" t="s">
        <v>3830</v>
      </c>
      <c r="D246" s="74" t="s">
        <v>3817</v>
      </c>
      <c r="E246" s="215" t="s">
        <v>3826</v>
      </c>
      <c r="F246" s="51" t="s">
        <v>2807</v>
      </c>
      <c r="G246" s="216">
        <v>46090</v>
      </c>
      <c r="H246" s="217" t="s">
        <v>3827</v>
      </c>
    </row>
    <row r="247" spans="1:8" ht="15" customHeight="1">
      <c r="A247" s="218" t="s">
        <v>3831</v>
      </c>
      <c r="B247" s="55" t="s">
        <v>3832</v>
      </c>
      <c r="C247" s="55" t="s">
        <v>3833</v>
      </c>
      <c r="D247" s="65" t="s">
        <v>3834</v>
      </c>
      <c r="E247" s="220" t="s">
        <v>3835</v>
      </c>
      <c r="F247" s="56" t="s">
        <v>2807</v>
      </c>
      <c r="G247" s="221">
        <v>46090</v>
      </c>
      <c r="H247" s="222" t="s">
        <v>3836</v>
      </c>
    </row>
    <row r="248" spans="1:8" ht="15" customHeight="1">
      <c r="A248" s="214" t="s">
        <v>3837</v>
      </c>
      <c r="B248" s="50" t="s">
        <v>3838</v>
      </c>
      <c r="C248" s="50" t="s">
        <v>3839</v>
      </c>
      <c r="D248" s="223" t="s">
        <v>3834</v>
      </c>
      <c r="E248" s="215" t="s">
        <v>3840</v>
      </c>
      <c r="F248" s="51" t="s">
        <v>2807</v>
      </c>
      <c r="G248" s="216">
        <v>46090</v>
      </c>
      <c r="H248" s="217" t="s">
        <v>3836</v>
      </c>
    </row>
    <row r="249" spans="1:8" ht="15" customHeight="1">
      <c r="A249" s="218" t="s">
        <v>3841</v>
      </c>
      <c r="B249" s="55" t="s">
        <v>3842</v>
      </c>
      <c r="C249" s="55" t="s">
        <v>3843</v>
      </c>
      <c r="D249" s="65" t="s">
        <v>3834</v>
      </c>
      <c r="E249" s="220" t="s">
        <v>3844</v>
      </c>
      <c r="F249" s="56" t="s">
        <v>2807</v>
      </c>
      <c r="G249" s="221">
        <v>46090</v>
      </c>
      <c r="H249" s="222" t="s">
        <v>3836</v>
      </c>
    </row>
    <row r="250" spans="1:8" ht="15" customHeight="1">
      <c r="A250" s="214" t="s">
        <v>3845</v>
      </c>
      <c r="B250" s="50" t="s">
        <v>3846</v>
      </c>
      <c r="C250" s="50" t="s">
        <v>3847</v>
      </c>
      <c r="D250" s="223" t="s">
        <v>3834</v>
      </c>
      <c r="E250" s="215" t="s">
        <v>3848</v>
      </c>
      <c r="F250" s="51" t="s">
        <v>2807</v>
      </c>
      <c r="G250" s="216">
        <v>46090</v>
      </c>
      <c r="H250" s="217" t="s">
        <v>3836</v>
      </c>
    </row>
    <row r="251" spans="1:8" ht="15" customHeight="1">
      <c r="A251" s="218" t="s">
        <v>3849</v>
      </c>
      <c r="B251" s="55" t="s">
        <v>3850</v>
      </c>
      <c r="C251" s="55" t="s">
        <v>3851</v>
      </c>
      <c r="D251" s="65" t="s">
        <v>3834</v>
      </c>
      <c r="E251" s="220" t="s">
        <v>3852</v>
      </c>
      <c r="F251" s="56" t="s">
        <v>2807</v>
      </c>
      <c r="G251" s="221">
        <v>46090</v>
      </c>
      <c r="H251" s="222" t="s">
        <v>3836</v>
      </c>
    </row>
    <row r="252" spans="1:8" ht="15" customHeight="1">
      <c r="A252" s="214" t="s">
        <v>3853</v>
      </c>
      <c r="B252" s="50" t="s">
        <v>3854</v>
      </c>
      <c r="C252" s="50" t="s">
        <v>3855</v>
      </c>
      <c r="D252" s="223" t="s">
        <v>3834</v>
      </c>
      <c r="E252" s="215" t="s">
        <v>3856</v>
      </c>
      <c r="F252" s="51" t="s">
        <v>2807</v>
      </c>
      <c r="G252" s="216">
        <v>46090</v>
      </c>
      <c r="H252" s="217" t="s">
        <v>3836</v>
      </c>
    </row>
    <row r="253" spans="1:8" ht="15" customHeight="1">
      <c r="A253" s="218"/>
      <c r="B253" s="55"/>
      <c r="C253" s="55"/>
      <c r="D253" s="224"/>
      <c r="E253" s="220"/>
      <c r="F253" s="56"/>
      <c r="G253" s="55"/>
      <c r="H253" s="222"/>
    </row>
    <row r="254" spans="1:8" ht="64.5" customHeight="1">
      <c r="A254" s="214" t="s">
        <v>3857</v>
      </c>
      <c r="B254" s="50"/>
      <c r="C254" s="50"/>
      <c r="D254" s="77"/>
      <c r="E254" s="215"/>
      <c r="F254" s="51"/>
      <c r="G254" s="50"/>
      <c r="H254" s="217"/>
    </row>
    <row r="255" spans="1:8" ht="39" customHeight="1">
      <c r="A255" s="218" t="s">
        <v>3858</v>
      </c>
      <c r="B255" s="55">
        <v>34</v>
      </c>
      <c r="C255" s="55" t="s">
        <v>2985</v>
      </c>
      <c r="D255" s="232">
        <v>17</v>
      </c>
      <c r="E255" s="220" t="s">
        <v>3443</v>
      </c>
      <c r="F255" s="56">
        <v>2</v>
      </c>
      <c r="G255" s="55" t="s">
        <v>3859</v>
      </c>
      <c r="H255" s="222">
        <v>9</v>
      </c>
    </row>
    <row r="256" spans="1:8" ht="26.25" customHeight="1">
      <c r="A256" s="214" t="s">
        <v>3834</v>
      </c>
      <c r="B256" s="50">
        <v>6</v>
      </c>
      <c r="C256" s="50" t="s">
        <v>3860</v>
      </c>
      <c r="D256" s="233">
        <v>0.61</v>
      </c>
      <c r="E256" s="215" t="s">
        <v>3861</v>
      </c>
      <c r="F256" s="234">
        <v>0.89</v>
      </c>
      <c r="G256" s="50"/>
      <c r="H256" s="217"/>
    </row>
    <row r="257" spans="1:8" ht="15" customHeight="1">
      <c r="A257" s="218"/>
      <c r="B257" s="55"/>
      <c r="C257" s="55"/>
      <c r="D257" s="224"/>
      <c r="E257" s="220"/>
      <c r="F257" s="56"/>
      <c r="G257" s="55"/>
      <c r="H257" s="222"/>
    </row>
    <row r="258" spans="1:8" ht="51.75" customHeight="1">
      <c r="A258" s="214" t="s">
        <v>3862</v>
      </c>
      <c r="B258" s="50"/>
      <c r="C258" s="50"/>
      <c r="D258" s="77"/>
      <c r="E258" s="215"/>
      <c r="F258" s="51"/>
      <c r="G258" s="50"/>
      <c r="H258" s="217"/>
    </row>
    <row r="259" spans="1:8" ht="26.25" customHeight="1">
      <c r="A259" s="218">
        <v>1</v>
      </c>
      <c r="B259" s="55" t="s">
        <v>2019</v>
      </c>
      <c r="C259" s="55" t="s">
        <v>3863</v>
      </c>
      <c r="D259" s="59" t="s">
        <v>3864</v>
      </c>
      <c r="E259" s="220"/>
      <c r="F259" s="56"/>
      <c r="G259" s="55"/>
      <c r="H259" s="222"/>
    </row>
    <row r="260" spans="1:8" ht="26.25" customHeight="1">
      <c r="A260" s="214">
        <v>2</v>
      </c>
      <c r="B260" s="50" t="s">
        <v>2024</v>
      </c>
      <c r="C260" s="50" t="s">
        <v>3865</v>
      </c>
      <c r="D260" s="54" t="s">
        <v>3866</v>
      </c>
      <c r="E260" s="215"/>
      <c r="F260" s="51"/>
      <c r="G260" s="50"/>
      <c r="H260" s="217"/>
    </row>
    <row r="261" spans="1:8" ht="26.25" customHeight="1">
      <c r="A261" s="218">
        <v>3</v>
      </c>
      <c r="B261" s="55" t="s">
        <v>3867</v>
      </c>
      <c r="C261" s="55" t="s">
        <v>3868</v>
      </c>
      <c r="D261" s="59" t="s">
        <v>3869</v>
      </c>
      <c r="E261" s="220"/>
      <c r="F261" s="56"/>
      <c r="G261" s="55"/>
      <c r="H261" s="222"/>
    </row>
    <row r="262" spans="1:8" ht="26.25" customHeight="1">
      <c r="A262" s="214">
        <v>4</v>
      </c>
      <c r="B262" s="50" t="s">
        <v>3870</v>
      </c>
      <c r="C262" s="50" t="s">
        <v>3871</v>
      </c>
      <c r="D262" s="54" t="s">
        <v>3872</v>
      </c>
      <c r="E262" s="215"/>
      <c r="F262" s="51"/>
      <c r="G262" s="50"/>
      <c r="H262" s="217"/>
    </row>
    <row r="263" spans="1:8" ht="39" customHeight="1">
      <c r="A263" s="218">
        <v>5</v>
      </c>
      <c r="B263" s="55" t="s">
        <v>3873</v>
      </c>
      <c r="C263" s="55" t="s">
        <v>3874</v>
      </c>
      <c r="D263" s="219" t="s">
        <v>3875</v>
      </c>
      <c r="E263" s="220"/>
      <c r="F263" s="56"/>
      <c r="G263" s="55"/>
      <c r="H263" s="222"/>
    </row>
    <row r="264" spans="1:8" ht="39" customHeight="1">
      <c r="A264" s="214">
        <v>6</v>
      </c>
      <c r="B264" s="50" t="s">
        <v>3876</v>
      </c>
      <c r="C264" s="50" t="s">
        <v>3877</v>
      </c>
      <c r="D264" s="77" t="s">
        <v>3878</v>
      </c>
      <c r="E264" s="215"/>
      <c r="F264" s="51"/>
      <c r="G264" s="50"/>
      <c r="H264" s="217"/>
    </row>
    <row r="265" spans="1:8" ht="26.25" customHeight="1">
      <c r="A265" s="218">
        <v>7</v>
      </c>
      <c r="B265" s="55" t="s">
        <v>3879</v>
      </c>
      <c r="C265" s="55" t="s">
        <v>3880</v>
      </c>
      <c r="D265" s="224" t="s">
        <v>3881</v>
      </c>
      <c r="E265" s="220"/>
      <c r="F265" s="56"/>
      <c r="G265" s="55"/>
      <c r="H265" s="222"/>
    </row>
    <row r="266" spans="1:8" ht="26.25" customHeight="1">
      <c r="A266" s="214">
        <v>8</v>
      </c>
      <c r="B266" s="50" t="s">
        <v>3882</v>
      </c>
      <c r="C266" s="50" t="s">
        <v>3883</v>
      </c>
      <c r="D266" s="77" t="s">
        <v>3884</v>
      </c>
      <c r="E266" s="215"/>
      <c r="F266" s="51"/>
      <c r="G266" s="50"/>
      <c r="H266" s="217"/>
    </row>
    <row r="267" spans="1:8" ht="15" customHeight="1">
      <c r="A267" s="218"/>
      <c r="B267" s="55"/>
      <c r="C267" s="55"/>
      <c r="D267" s="224"/>
      <c r="E267" s="220"/>
      <c r="F267" s="56"/>
      <c r="G267" s="55"/>
      <c r="H267" s="222"/>
    </row>
    <row r="268" spans="1:8" ht="128.25" customHeight="1">
      <c r="A268" s="214" t="s">
        <v>3885</v>
      </c>
      <c r="B268" s="50"/>
      <c r="C268" s="50"/>
      <c r="D268" s="77"/>
      <c r="E268" s="215"/>
      <c r="F268" s="51" t="s">
        <v>3886</v>
      </c>
      <c r="G268" s="50"/>
      <c r="H268" s="217"/>
    </row>
    <row r="269" spans="1:8" ht="26.25" customHeight="1">
      <c r="A269" s="218" t="s">
        <v>3887</v>
      </c>
      <c r="B269" s="55" t="s">
        <v>3888</v>
      </c>
      <c r="C269" s="55" t="s">
        <v>3889</v>
      </c>
      <c r="D269" s="59" t="s">
        <v>2985</v>
      </c>
      <c r="E269" s="220" t="s">
        <v>3890</v>
      </c>
      <c r="F269" s="56" t="s">
        <v>3886</v>
      </c>
      <c r="G269" s="55" t="s">
        <v>3891</v>
      </c>
      <c r="H269" s="222" t="s">
        <v>3892</v>
      </c>
    </row>
    <row r="270" spans="1:8" ht="26.25" customHeight="1">
      <c r="A270" s="214" t="s">
        <v>3893</v>
      </c>
      <c r="B270" s="50" t="s">
        <v>3894</v>
      </c>
      <c r="C270" s="50" t="s">
        <v>3895</v>
      </c>
      <c r="D270" s="54" t="s">
        <v>2021</v>
      </c>
      <c r="E270" s="215" t="s">
        <v>3896</v>
      </c>
      <c r="F270" s="51" t="s">
        <v>3886</v>
      </c>
      <c r="G270" s="50" t="s">
        <v>3897</v>
      </c>
      <c r="H270" s="217" t="s">
        <v>3898</v>
      </c>
    </row>
    <row r="271" spans="1:8" ht="26.25" customHeight="1">
      <c r="A271" s="218" t="s">
        <v>3899</v>
      </c>
      <c r="B271" s="55" t="s">
        <v>3900</v>
      </c>
      <c r="C271" s="55" t="s">
        <v>3901</v>
      </c>
      <c r="D271" s="59" t="s">
        <v>2985</v>
      </c>
      <c r="E271" s="220" t="s">
        <v>3902</v>
      </c>
      <c r="F271" s="56" t="s">
        <v>3886</v>
      </c>
      <c r="G271" s="55" t="s">
        <v>3903</v>
      </c>
      <c r="H271" s="222" t="s">
        <v>3904</v>
      </c>
    </row>
    <row r="272" spans="1:8" ht="26.25" customHeight="1">
      <c r="A272" s="214" t="s">
        <v>2053</v>
      </c>
      <c r="B272" s="50" t="s">
        <v>3905</v>
      </c>
      <c r="C272" s="50" t="s">
        <v>3906</v>
      </c>
      <c r="D272" s="54" t="s">
        <v>2985</v>
      </c>
      <c r="E272" s="215" t="s">
        <v>3907</v>
      </c>
      <c r="F272" s="51" t="s">
        <v>3886</v>
      </c>
      <c r="G272" s="50" t="s">
        <v>3908</v>
      </c>
      <c r="H272" s="217" t="s">
        <v>3909</v>
      </c>
    </row>
    <row r="273" spans="1:8" ht="26.25" customHeight="1">
      <c r="A273" s="218" t="s">
        <v>3910</v>
      </c>
      <c r="B273" s="55" t="s">
        <v>3911</v>
      </c>
      <c r="C273" s="55" t="s">
        <v>3912</v>
      </c>
      <c r="D273" s="59" t="s">
        <v>2985</v>
      </c>
      <c r="E273" s="220" t="s">
        <v>3913</v>
      </c>
      <c r="F273" s="56" t="s">
        <v>3886</v>
      </c>
      <c r="G273" s="55" t="s">
        <v>3914</v>
      </c>
      <c r="H273" s="222" t="s">
        <v>3915</v>
      </c>
    </row>
    <row r="274" spans="1:8" ht="26.25" customHeight="1">
      <c r="A274" s="214" t="s">
        <v>3916</v>
      </c>
      <c r="B274" s="50" t="s">
        <v>3917</v>
      </c>
      <c r="C274" s="50" t="s">
        <v>3918</v>
      </c>
      <c r="D274" s="54" t="s">
        <v>2985</v>
      </c>
      <c r="E274" s="215" t="s">
        <v>3919</v>
      </c>
      <c r="F274" s="51" t="s">
        <v>2811</v>
      </c>
      <c r="G274" s="50" t="s">
        <v>3920</v>
      </c>
      <c r="H274" s="217" t="s">
        <v>3921</v>
      </c>
    </row>
    <row r="275" spans="1:8" ht="39" customHeight="1">
      <c r="A275" s="218" t="s">
        <v>3922</v>
      </c>
      <c r="B275" s="55" t="s">
        <v>3917</v>
      </c>
      <c r="C275" s="55" t="s">
        <v>3923</v>
      </c>
      <c r="D275" s="59" t="s">
        <v>2985</v>
      </c>
      <c r="E275" s="220" t="s">
        <v>3924</v>
      </c>
      <c r="F275" s="56" t="s">
        <v>2811</v>
      </c>
      <c r="G275" s="55" t="s">
        <v>3925</v>
      </c>
      <c r="H275" s="222" t="s">
        <v>3926</v>
      </c>
    </row>
    <row r="276" spans="1:8" ht="26.25" customHeight="1">
      <c r="A276" s="214" t="s">
        <v>3927</v>
      </c>
      <c r="B276" s="50" t="s">
        <v>3917</v>
      </c>
      <c r="C276" s="50" t="s">
        <v>3928</v>
      </c>
      <c r="D276" s="54" t="s">
        <v>2985</v>
      </c>
      <c r="E276" s="215" t="s">
        <v>3929</v>
      </c>
      <c r="F276" s="51" t="s">
        <v>2811</v>
      </c>
      <c r="G276" s="50" t="s">
        <v>3930</v>
      </c>
      <c r="H276" s="217" t="s">
        <v>3931</v>
      </c>
    </row>
    <row r="277" spans="1:8" ht="26.25" customHeight="1">
      <c r="A277" s="218" t="s">
        <v>2027</v>
      </c>
      <c r="B277" s="55" t="s">
        <v>3932</v>
      </c>
      <c r="C277" s="55" t="s">
        <v>3933</v>
      </c>
      <c r="D277" s="59" t="s">
        <v>2985</v>
      </c>
      <c r="E277" s="220" t="s">
        <v>3934</v>
      </c>
      <c r="F277" s="56" t="s">
        <v>2811</v>
      </c>
      <c r="G277" s="55" t="s">
        <v>3935</v>
      </c>
      <c r="H277" s="222" t="s">
        <v>3936</v>
      </c>
    </row>
    <row r="278" spans="1:8" ht="26.25" customHeight="1">
      <c r="A278" s="214" t="s">
        <v>3937</v>
      </c>
      <c r="B278" s="50" t="s">
        <v>3938</v>
      </c>
      <c r="C278" s="50" t="s">
        <v>3939</v>
      </c>
      <c r="D278" s="54" t="s">
        <v>2985</v>
      </c>
      <c r="E278" s="215" t="s">
        <v>3940</v>
      </c>
      <c r="F278" s="51" t="s">
        <v>2811</v>
      </c>
      <c r="G278" s="50" t="s">
        <v>3935</v>
      </c>
      <c r="H278" s="217" t="s">
        <v>3941</v>
      </c>
    </row>
    <row r="279" spans="1:8" ht="26.25" customHeight="1">
      <c r="A279" s="218" t="s">
        <v>3942</v>
      </c>
      <c r="B279" s="55" t="s">
        <v>3943</v>
      </c>
      <c r="C279" s="55" t="s">
        <v>3944</v>
      </c>
      <c r="D279" s="59" t="s">
        <v>2985</v>
      </c>
      <c r="E279" s="220" t="s">
        <v>3945</v>
      </c>
      <c r="F279" s="56" t="s">
        <v>3946</v>
      </c>
      <c r="G279" s="55" t="s">
        <v>3947</v>
      </c>
      <c r="H279" s="222"/>
    </row>
    <row r="280" spans="1:8" ht="26.25" customHeight="1">
      <c r="A280" s="214" t="s">
        <v>3948</v>
      </c>
      <c r="B280" s="50" t="s">
        <v>3949</v>
      </c>
      <c r="C280" s="50" t="s">
        <v>3950</v>
      </c>
      <c r="D280" s="54" t="s">
        <v>2985</v>
      </c>
      <c r="E280" s="215" t="s">
        <v>3951</v>
      </c>
      <c r="F280" s="51" t="s">
        <v>3946</v>
      </c>
      <c r="G280" s="50" t="s">
        <v>3952</v>
      </c>
      <c r="H280" s="217"/>
    </row>
    <row r="281" spans="1:8" ht="26.25" customHeight="1">
      <c r="A281" s="218" t="s">
        <v>3953</v>
      </c>
      <c r="B281" s="55" t="s">
        <v>3954</v>
      </c>
      <c r="C281" s="55" t="s">
        <v>3955</v>
      </c>
      <c r="D281" s="71" t="s">
        <v>3443</v>
      </c>
      <c r="E281" s="220" t="s">
        <v>3956</v>
      </c>
      <c r="F281" s="56" t="s">
        <v>3946</v>
      </c>
      <c r="G281" s="55" t="s">
        <v>3957</v>
      </c>
      <c r="H281" s="222" t="s">
        <v>3958</v>
      </c>
    </row>
    <row r="282" spans="1:8" ht="26.25" customHeight="1">
      <c r="A282" s="214" t="s">
        <v>3959</v>
      </c>
      <c r="B282" s="50" t="s">
        <v>3960</v>
      </c>
      <c r="C282" s="50" t="s">
        <v>3961</v>
      </c>
      <c r="D282" s="54" t="s">
        <v>2985</v>
      </c>
      <c r="E282" s="215" t="s">
        <v>3962</v>
      </c>
      <c r="F282" s="51" t="s">
        <v>3946</v>
      </c>
      <c r="G282" s="50" t="s">
        <v>3963</v>
      </c>
      <c r="H282" s="217"/>
    </row>
    <row r="283" spans="1:8" ht="26.25" customHeight="1">
      <c r="A283" s="218" t="s">
        <v>3964</v>
      </c>
      <c r="B283" s="55" t="s">
        <v>3965</v>
      </c>
      <c r="C283" s="55" t="s">
        <v>3966</v>
      </c>
      <c r="D283" s="59" t="s">
        <v>2985</v>
      </c>
      <c r="E283" s="220" t="s">
        <v>3967</v>
      </c>
      <c r="F283" s="56" t="s">
        <v>3946</v>
      </c>
      <c r="G283" s="55" t="s">
        <v>3968</v>
      </c>
      <c r="H283" s="222"/>
    </row>
    <row r="284" spans="1:8" ht="39" customHeight="1">
      <c r="A284" s="214" t="s">
        <v>3969</v>
      </c>
      <c r="B284" s="50" t="s">
        <v>3970</v>
      </c>
      <c r="C284" s="50" t="s">
        <v>3971</v>
      </c>
      <c r="D284" s="54" t="s">
        <v>2985</v>
      </c>
      <c r="E284" s="215" t="s">
        <v>3972</v>
      </c>
      <c r="F284" s="51" t="s">
        <v>3946</v>
      </c>
      <c r="G284" s="50" t="s">
        <v>3973</v>
      </c>
      <c r="H284" s="217"/>
    </row>
    <row r="285" spans="1:8" ht="26.25" customHeight="1">
      <c r="A285" s="218" t="s">
        <v>3974</v>
      </c>
      <c r="B285" s="55" t="s">
        <v>3975</v>
      </c>
      <c r="C285" s="55" t="s">
        <v>3976</v>
      </c>
      <c r="D285" s="59" t="s">
        <v>2985</v>
      </c>
      <c r="E285" s="220" t="s">
        <v>3977</v>
      </c>
      <c r="F285" s="56" t="s">
        <v>3946</v>
      </c>
      <c r="G285" s="55" t="s">
        <v>3963</v>
      </c>
      <c r="H285" s="222"/>
    </row>
    <row r="286" spans="1:8" ht="39" customHeight="1">
      <c r="A286" s="214" t="s">
        <v>3978</v>
      </c>
      <c r="B286" s="50" t="s">
        <v>3979</v>
      </c>
      <c r="C286" s="50" t="s">
        <v>3980</v>
      </c>
      <c r="D286" s="54" t="s">
        <v>2985</v>
      </c>
      <c r="E286" s="215" t="s">
        <v>3981</v>
      </c>
      <c r="F286" s="51" t="s">
        <v>3946</v>
      </c>
      <c r="G286" s="50" t="s">
        <v>3982</v>
      </c>
      <c r="H286" s="217"/>
    </row>
    <row r="287" spans="1:8" ht="26.25" customHeight="1">
      <c r="A287" s="218" t="s">
        <v>3983</v>
      </c>
      <c r="B287" s="55" t="s">
        <v>3984</v>
      </c>
      <c r="C287" s="55" t="s">
        <v>3985</v>
      </c>
      <c r="D287" s="59" t="s">
        <v>2985</v>
      </c>
      <c r="E287" s="220" t="s">
        <v>3986</v>
      </c>
      <c r="F287" s="56" t="s">
        <v>3946</v>
      </c>
      <c r="G287" s="55" t="s">
        <v>3987</v>
      </c>
      <c r="H287" s="222"/>
    </row>
    <row r="288" spans="1:8" ht="26.25" customHeight="1">
      <c r="A288" s="214" t="s">
        <v>3988</v>
      </c>
      <c r="B288" s="50" t="s">
        <v>3989</v>
      </c>
      <c r="C288" s="50" t="s">
        <v>3990</v>
      </c>
      <c r="D288" s="54" t="s">
        <v>2985</v>
      </c>
      <c r="E288" s="215" t="s">
        <v>3991</v>
      </c>
      <c r="F288" s="51" t="s">
        <v>3946</v>
      </c>
      <c r="G288" s="50" t="s">
        <v>3992</v>
      </c>
      <c r="H288" s="217"/>
    </row>
    <row r="289" spans="1:8" ht="26.25" customHeight="1">
      <c r="A289" s="218" t="s">
        <v>3993</v>
      </c>
      <c r="B289" s="55" t="s">
        <v>3994</v>
      </c>
      <c r="C289" s="55" t="s">
        <v>3995</v>
      </c>
      <c r="D289" s="219" t="s">
        <v>2991</v>
      </c>
      <c r="E289" s="220" t="s">
        <v>3996</v>
      </c>
      <c r="F289" s="56" t="s">
        <v>3946</v>
      </c>
      <c r="G289" s="55" t="s">
        <v>3997</v>
      </c>
      <c r="H289" s="222" t="s">
        <v>3998</v>
      </c>
    </row>
    <row r="290" spans="1:8" ht="26.25" customHeight="1">
      <c r="A290" s="214" t="s">
        <v>3999</v>
      </c>
      <c r="B290" s="50" t="s">
        <v>4000</v>
      </c>
      <c r="C290" s="50" t="s">
        <v>4001</v>
      </c>
      <c r="D290" s="74" t="s">
        <v>2991</v>
      </c>
      <c r="E290" s="215" t="s">
        <v>4002</v>
      </c>
      <c r="F290" s="51" t="s">
        <v>3946</v>
      </c>
      <c r="G290" s="50" t="s">
        <v>3997</v>
      </c>
      <c r="H290" s="217" t="s">
        <v>4003</v>
      </c>
    </row>
    <row r="291" spans="1:8" ht="26.25" customHeight="1">
      <c r="A291" s="218" t="s">
        <v>4004</v>
      </c>
      <c r="B291" s="55" t="s">
        <v>4005</v>
      </c>
      <c r="C291" s="55" t="s">
        <v>4006</v>
      </c>
      <c r="D291" s="219" t="s">
        <v>2991</v>
      </c>
      <c r="E291" s="220" t="s">
        <v>4002</v>
      </c>
      <c r="F291" s="56" t="s">
        <v>3946</v>
      </c>
      <c r="G291" s="55" t="s">
        <v>3997</v>
      </c>
      <c r="H291" s="222" t="s">
        <v>4003</v>
      </c>
    </row>
    <row r="292" spans="1:8" ht="26.25" customHeight="1">
      <c r="A292" s="214" t="s">
        <v>4007</v>
      </c>
      <c r="B292" s="50" t="s">
        <v>4008</v>
      </c>
      <c r="C292" s="50" t="s">
        <v>4009</v>
      </c>
      <c r="D292" s="74" t="s">
        <v>2991</v>
      </c>
      <c r="E292" s="215" t="s">
        <v>4010</v>
      </c>
      <c r="F292" s="51" t="s">
        <v>3946</v>
      </c>
      <c r="G292" s="50" t="s">
        <v>3997</v>
      </c>
      <c r="H292" s="217" t="s">
        <v>4003</v>
      </c>
    </row>
    <row r="293" spans="1:8" ht="26.25" customHeight="1">
      <c r="A293" s="218" t="s">
        <v>4011</v>
      </c>
      <c r="B293" s="55" t="s">
        <v>4012</v>
      </c>
      <c r="C293" s="55" t="s">
        <v>4013</v>
      </c>
      <c r="D293" s="59" t="s">
        <v>2985</v>
      </c>
      <c r="E293" s="220" t="s">
        <v>4014</v>
      </c>
      <c r="F293" s="56" t="s">
        <v>3946</v>
      </c>
      <c r="G293" s="55" t="s">
        <v>4015</v>
      </c>
      <c r="H293" s="222" t="s">
        <v>4016</v>
      </c>
    </row>
    <row r="294" spans="1:8" ht="39" customHeight="1">
      <c r="A294" s="214" t="s">
        <v>4017</v>
      </c>
      <c r="B294" s="50" t="s">
        <v>4012</v>
      </c>
      <c r="C294" s="50" t="s">
        <v>4018</v>
      </c>
      <c r="D294" s="54" t="s">
        <v>2985</v>
      </c>
      <c r="E294" s="215" t="s">
        <v>4019</v>
      </c>
      <c r="F294" s="51" t="s">
        <v>3946</v>
      </c>
      <c r="G294" s="50" t="s">
        <v>4020</v>
      </c>
      <c r="H294" s="217" t="s">
        <v>4021</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4022</v>
      </c>
      <c r="B297" s="69"/>
      <c r="C297" s="69" t="s">
        <v>4023</v>
      </c>
      <c r="D297" s="69"/>
      <c r="E297" s="69"/>
      <c r="F297" s="69"/>
      <c r="G297" s="69"/>
      <c r="H297" s="69"/>
    </row>
    <row r="298" spans="1:8" ht="27" customHeight="1">
      <c r="A298" s="69" t="s">
        <v>4024</v>
      </c>
      <c r="B298" s="69" t="s">
        <v>2983</v>
      </c>
      <c r="C298" s="69" t="s">
        <v>4025</v>
      </c>
      <c r="D298" s="69" t="s">
        <v>2985</v>
      </c>
      <c r="E298" s="69" t="s">
        <v>4026</v>
      </c>
      <c r="F298" s="69" t="s">
        <v>2816</v>
      </c>
      <c r="G298" s="69" t="s">
        <v>4027</v>
      </c>
      <c r="H298" s="69" t="s">
        <v>1979</v>
      </c>
    </row>
    <row r="299" spans="1:8" ht="54" customHeight="1">
      <c r="A299" s="69" t="s">
        <v>2035</v>
      </c>
      <c r="B299" s="69" t="s">
        <v>4028</v>
      </c>
      <c r="C299" s="69" t="s">
        <v>4029</v>
      </c>
      <c r="D299" s="69" t="s">
        <v>2021</v>
      </c>
      <c r="E299" s="69" t="s">
        <v>4030</v>
      </c>
      <c r="F299" s="69" t="s">
        <v>2816</v>
      </c>
      <c r="G299" s="69" t="s">
        <v>4031</v>
      </c>
      <c r="H299" s="69" t="s">
        <v>4032</v>
      </c>
    </row>
    <row r="300" spans="1:8" ht="27" customHeight="1">
      <c r="A300" s="69" t="s">
        <v>4033</v>
      </c>
      <c r="B300" s="69" t="s">
        <v>4034</v>
      </c>
      <c r="C300" s="69" t="s">
        <v>4035</v>
      </c>
      <c r="D300" s="69" t="s">
        <v>4036</v>
      </c>
      <c r="E300" s="69" t="s">
        <v>4037</v>
      </c>
      <c r="F300" s="69" t="s">
        <v>2816</v>
      </c>
      <c r="G300" s="69" t="s">
        <v>4038</v>
      </c>
      <c r="H300" s="69" t="s">
        <v>1979</v>
      </c>
    </row>
    <row r="301" spans="1:8" ht="40.5" customHeight="1">
      <c r="A301" s="69" t="s">
        <v>4039</v>
      </c>
      <c r="B301" s="69" t="s">
        <v>4040</v>
      </c>
      <c r="C301" s="69" t="s">
        <v>4041</v>
      </c>
      <c r="D301" s="69" t="s">
        <v>3427</v>
      </c>
      <c r="E301" s="69" t="s">
        <v>4042</v>
      </c>
      <c r="F301" s="69" t="s">
        <v>2816</v>
      </c>
      <c r="G301" s="69" t="s">
        <v>4043</v>
      </c>
      <c r="H301" s="69" t="s">
        <v>4044</v>
      </c>
    </row>
    <row r="302" spans="1:8" ht="27" customHeight="1">
      <c r="A302" s="69" t="s">
        <v>4045</v>
      </c>
      <c r="B302" s="69" t="s">
        <v>4046</v>
      </c>
      <c r="C302" s="69" t="s">
        <v>4047</v>
      </c>
      <c r="D302" s="69" t="s">
        <v>4048</v>
      </c>
      <c r="E302" s="69" t="s">
        <v>4049</v>
      </c>
      <c r="F302" s="69" t="s">
        <v>2816</v>
      </c>
      <c r="G302" s="69" t="s">
        <v>4050</v>
      </c>
      <c r="H302" s="69" t="s">
        <v>4051</v>
      </c>
    </row>
    <row r="303" spans="1:8" ht="27" customHeight="1">
      <c r="A303" s="69" t="s">
        <v>4052</v>
      </c>
      <c r="B303" s="69" t="s">
        <v>4053</v>
      </c>
      <c r="C303" s="69" t="s">
        <v>3313</v>
      </c>
      <c r="D303" s="69" t="s">
        <v>2985</v>
      </c>
      <c r="E303" s="69" t="s">
        <v>4054</v>
      </c>
      <c r="F303" s="69" t="s">
        <v>2816</v>
      </c>
      <c r="G303" s="69" t="s">
        <v>4055</v>
      </c>
      <c r="H303" s="69" t="s">
        <v>1979</v>
      </c>
    </row>
    <row r="304" spans="1:8" ht="27" customHeight="1">
      <c r="A304" s="69" t="s">
        <v>4056</v>
      </c>
      <c r="B304" s="69" t="s">
        <v>4057</v>
      </c>
      <c r="C304" s="69" t="s">
        <v>3719</v>
      </c>
      <c r="D304" s="69" t="s">
        <v>2985</v>
      </c>
      <c r="E304" s="69" t="s">
        <v>4058</v>
      </c>
      <c r="F304" s="69" t="s">
        <v>2816</v>
      </c>
      <c r="G304" s="69" t="s">
        <v>4059</v>
      </c>
      <c r="H304" s="69" t="s">
        <v>1979</v>
      </c>
    </row>
    <row r="305" spans="1:8" ht="27" customHeight="1">
      <c r="A305" s="69" t="s">
        <v>4060</v>
      </c>
      <c r="B305" s="69" t="s">
        <v>4061</v>
      </c>
      <c r="C305" s="69" t="s">
        <v>3723</v>
      </c>
      <c r="D305" s="69" t="s">
        <v>2985</v>
      </c>
      <c r="E305" s="69" t="s">
        <v>4062</v>
      </c>
      <c r="F305" s="69" t="s">
        <v>2816</v>
      </c>
      <c r="G305" s="69" t="s">
        <v>4063</v>
      </c>
      <c r="H305" s="69" t="s">
        <v>1979</v>
      </c>
    </row>
    <row r="306" spans="1:8" ht="27" customHeight="1">
      <c r="A306" s="69" t="s">
        <v>4064</v>
      </c>
      <c r="B306" s="69" t="s">
        <v>4065</v>
      </c>
      <c r="C306" s="69" t="s">
        <v>4066</v>
      </c>
      <c r="D306" s="69" t="s">
        <v>3731</v>
      </c>
      <c r="E306" s="69" t="s">
        <v>4067</v>
      </c>
      <c r="F306" s="69" t="s">
        <v>2816</v>
      </c>
      <c r="G306" s="69" t="s">
        <v>4068</v>
      </c>
      <c r="H306" s="69" t="s">
        <v>4069</v>
      </c>
    </row>
    <row r="307" spans="1:8" ht="27" customHeight="1">
      <c r="A307" s="69" t="s">
        <v>4070</v>
      </c>
      <c r="B307" s="69" t="s">
        <v>4071</v>
      </c>
      <c r="C307" s="69" t="s">
        <v>3379</v>
      </c>
      <c r="D307" s="69" t="s">
        <v>2985</v>
      </c>
      <c r="E307" s="69" t="s">
        <v>4072</v>
      </c>
      <c r="F307" s="69" t="s">
        <v>2816</v>
      </c>
      <c r="G307" s="69" t="s">
        <v>4073</v>
      </c>
      <c r="H307" s="69" t="s">
        <v>1979</v>
      </c>
    </row>
    <row r="308" spans="1:8" ht="27" customHeight="1">
      <c r="A308" s="69" t="s">
        <v>4074</v>
      </c>
      <c r="B308" s="69" t="s">
        <v>4075</v>
      </c>
      <c r="C308" s="69" t="s">
        <v>4076</v>
      </c>
      <c r="D308" s="69" t="s">
        <v>4077</v>
      </c>
      <c r="E308" s="69" t="s">
        <v>4078</v>
      </c>
      <c r="F308" s="69" t="s">
        <v>2816</v>
      </c>
      <c r="G308" s="69" t="s">
        <v>4079</v>
      </c>
      <c r="H308" s="69" t="s">
        <v>1979</v>
      </c>
    </row>
    <row r="309" spans="1:8" ht="27" customHeight="1">
      <c r="A309" s="69" t="s">
        <v>4080</v>
      </c>
      <c r="B309" s="69" t="s">
        <v>4081</v>
      </c>
      <c r="C309" s="69" t="s">
        <v>3736</v>
      </c>
      <c r="D309" s="69" t="s">
        <v>2985</v>
      </c>
      <c r="E309" s="69" t="s">
        <v>4082</v>
      </c>
      <c r="F309" s="69" t="s">
        <v>2816</v>
      </c>
      <c r="G309" s="69" t="s">
        <v>4083</v>
      </c>
      <c r="H309" s="69" t="s">
        <v>1979</v>
      </c>
    </row>
    <row r="310" spans="1:8" ht="27" customHeight="1">
      <c r="A310" s="69" t="s">
        <v>4084</v>
      </c>
      <c r="B310" s="69" t="s">
        <v>3911</v>
      </c>
      <c r="C310" s="69" t="s">
        <v>3912</v>
      </c>
      <c r="D310" s="69" t="s">
        <v>2985</v>
      </c>
      <c r="E310" s="69" t="s">
        <v>4085</v>
      </c>
      <c r="F310" s="69" t="s">
        <v>2816</v>
      </c>
      <c r="G310" s="69" t="s">
        <v>4086</v>
      </c>
      <c r="H310" s="69" t="s">
        <v>1979</v>
      </c>
    </row>
    <row r="311" spans="1:8" ht="27" customHeight="1">
      <c r="A311" s="69" t="s">
        <v>4087</v>
      </c>
      <c r="B311" s="69" t="s">
        <v>4088</v>
      </c>
      <c r="C311" s="69" t="s">
        <v>4089</v>
      </c>
      <c r="D311" s="69" t="s">
        <v>4036</v>
      </c>
      <c r="E311" s="69" t="s">
        <v>4090</v>
      </c>
      <c r="F311" s="69" t="s">
        <v>2816</v>
      </c>
      <c r="G311" s="69" t="s">
        <v>4091</v>
      </c>
      <c r="H311" s="69" t="s">
        <v>1979</v>
      </c>
    </row>
    <row r="312" spans="1:8" ht="15" customHeight="1">
      <c r="A312" s="69"/>
      <c r="B312" s="69"/>
      <c r="C312" s="69"/>
      <c r="D312" s="69"/>
      <c r="E312" s="69"/>
      <c r="F312" s="69"/>
      <c r="G312" s="69"/>
      <c r="H312" s="69"/>
    </row>
    <row r="313" spans="1:8" ht="148.5" customHeight="1">
      <c r="A313" s="90" t="s">
        <v>4092</v>
      </c>
      <c r="B313" s="69"/>
      <c r="C313" s="69"/>
      <c r="D313" s="69"/>
      <c r="E313" s="69"/>
      <c r="F313" s="69"/>
      <c r="G313" s="69"/>
      <c r="H313" s="69"/>
    </row>
    <row r="314" spans="1:8" ht="15" customHeight="1">
      <c r="A314" s="69" t="s">
        <v>4093</v>
      </c>
      <c r="B314" s="69" t="s">
        <v>3735</v>
      </c>
      <c r="C314" s="69" t="s">
        <v>4094</v>
      </c>
      <c r="D314" s="69" t="s">
        <v>2985</v>
      </c>
      <c r="E314" s="69" t="s">
        <v>4095</v>
      </c>
      <c r="F314" s="69" t="s">
        <v>2822</v>
      </c>
      <c r="G314" s="69">
        <v>46091</v>
      </c>
      <c r="H314" s="69"/>
    </row>
    <row r="315" spans="1:8" ht="27" customHeight="1">
      <c r="A315" s="69" t="s">
        <v>4096</v>
      </c>
      <c r="B315" s="69" t="s">
        <v>3780</v>
      </c>
      <c r="C315" s="69" t="s">
        <v>4097</v>
      </c>
      <c r="D315" s="69" t="s">
        <v>2985</v>
      </c>
      <c r="E315" s="69" t="s">
        <v>4098</v>
      </c>
      <c r="F315" s="69" t="s">
        <v>2822</v>
      </c>
      <c r="G315" s="69">
        <v>46091</v>
      </c>
      <c r="H315" s="69"/>
    </row>
    <row r="316" spans="1:8" ht="27" customHeight="1">
      <c r="A316" s="69" t="s">
        <v>4099</v>
      </c>
      <c r="B316" s="69" t="s">
        <v>3714</v>
      </c>
      <c r="C316" s="69" t="s">
        <v>3489</v>
      </c>
      <c r="D316" s="69" t="s">
        <v>2985</v>
      </c>
      <c r="E316" s="69" t="s">
        <v>4100</v>
      </c>
      <c r="F316" s="69" t="s">
        <v>2822</v>
      </c>
      <c r="G316" s="69">
        <v>46091</v>
      </c>
      <c r="H316" s="69"/>
    </row>
    <row r="317" spans="1:8" ht="15" customHeight="1">
      <c r="A317" s="69" t="s">
        <v>4101</v>
      </c>
      <c r="B317" s="69" t="s">
        <v>3726</v>
      </c>
      <c r="C317" s="69" t="s">
        <v>4102</v>
      </c>
      <c r="D317" s="69" t="s">
        <v>2985</v>
      </c>
      <c r="E317" s="69" t="s">
        <v>4103</v>
      </c>
      <c r="F317" s="69" t="s">
        <v>2822</v>
      </c>
      <c r="G317" s="69">
        <v>46091</v>
      </c>
      <c r="H317" s="69"/>
    </row>
    <row r="318" spans="1:8" ht="15" customHeight="1">
      <c r="A318" s="69" t="s">
        <v>4104</v>
      </c>
      <c r="B318" s="69" t="s">
        <v>3761</v>
      </c>
      <c r="C318" s="69" t="s">
        <v>3553</v>
      </c>
      <c r="D318" s="69" t="s">
        <v>2985</v>
      </c>
      <c r="E318" s="69" t="s">
        <v>4105</v>
      </c>
      <c r="F318" s="69" t="s">
        <v>2822</v>
      </c>
      <c r="G318" s="69">
        <v>46091</v>
      </c>
      <c r="H318" s="69"/>
    </row>
    <row r="319" spans="1:8" ht="15" customHeight="1">
      <c r="A319" s="69" t="s">
        <v>4106</v>
      </c>
      <c r="B319" s="69" t="s">
        <v>3729</v>
      </c>
      <c r="C319" s="69" t="s">
        <v>4107</v>
      </c>
      <c r="D319" s="69" t="s">
        <v>4108</v>
      </c>
      <c r="E319" s="69" t="s">
        <v>4109</v>
      </c>
      <c r="F319" s="69" t="s">
        <v>2822</v>
      </c>
      <c r="G319" s="69">
        <v>46091</v>
      </c>
      <c r="H319" s="69"/>
    </row>
    <row r="320" spans="1:8" ht="15" customHeight="1">
      <c r="A320" s="69" t="s">
        <v>4110</v>
      </c>
      <c r="B320" s="69" t="s">
        <v>3785</v>
      </c>
      <c r="C320" s="69" t="s">
        <v>4111</v>
      </c>
      <c r="D320" s="69" t="s">
        <v>2985</v>
      </c>
      <c r="E320" s="69" t="s">
        <v>4112</v>
      </c>
      <c r="F320" s="69" t="s">
        <v>2822</v>
      </c>
      <c r="G320" s="69">
        <v>46091</v>
      </c>
      <c r="H320" s="69"/>
    </row>
    <row r="321" spans="1:8" ht="27" customHeight="1">
      <c r="A321" s="69" t="s">
        <v>4113</v>
      </c>
      <c r="B321" s="69" t="s">
        <v>3842</v>
      </c>
      <c r="C321" s="69" t="s">
        <v>4114</v>
      </c>
      <c r="D321" s="69" t="s">
        <v>2985</v>
      </c>
      <c r="E321" s="69" t="s">
        <v>4115</v>
      </c>
      <c r="F321" s="69" t="s">
        <v>2822</v>
      </c>
      <c r="G321" s="69">
        <v>46091</v>
      </c>
      <c r="H321" s="69"/>
    </row>
    <row r="322" spans="1:8" ht="15" customHeight="1">
      <c r="A322" s="69" t="s">
        <v>4116</v>
      </c>
      <c r="B322" s="69" t="s">
        <v>3757</v>
      </c>
      <c r="C322" s="69" t="s">
        <v>4117</v>
      </c>
      <c r="D322" s="69" t="s">
        <v>2985</v>
      </c>
      <c r="E322" s="69" t="s">
        <v>4118</v>
      </c>
      <c r="F322" s="69" t="s">
        <v>2822</v>
      </c>
      <c r="G322" s="69">
        <v>46091</v>
      </c>
      <c r="H322" s="69"/>
    </row>
    <row r="323" spans="1:8" ht="15" customHeight="1">
      <c r="A323" s="69" t="s">
        <v>4119</v>
      </c>
      <c r="B323" s="69" t="s">
        <v>3753</v>
      </c>
      <c r="C323" s="69" t="s">
        <v>3572</v>
      </c>
      <c r="D323" s="69" t="s">
        <v>2985</v>
      </c>
      <c r="E323" s="69" t="s">
        <v>4120</v>
      </c>
      <c r="F323" s="69" t="s">
        <v>2822</v>
      </c>
      <c r="G323" s="69">
        <v>46091</v>
      </c>
      <c r="H323" s="69"/>
    </row>
    <row r="324" spans="1:8" ht="15" customHeight="1">
      <c r="A324" s="69" t="s">
        <v>4121</v>
      </c>
      <c r="B324" s="69" t="s">
        <v>3749</v>
      </c>
      <c r="C324" s="69" t="s">
        <v>4122</v>
      </c>
      <c r="D324" s="69" t="s">
        <v>2985</v>
      </c>
      <c r="E324" s="69" t="s">
        <v>4123</v>
      </c>
      <c r="F324" s="69" t="s">
        <v>2822</v>
      </c>
      <c r="G324" s="69">
        <v>46091</v>
      </c>
      <c r="H324" s="69"/>
    </row>
    <row r="325" spans="1:8" ht="15" customHeight="1">
      <c r="A325" s="69" t="s">
        <v>4124</v>
      </c>
      <c r="B325" s="69" t="s">
        <v>3773</v>
      </c>
      <c r="C325" s="69" t="s">
        <v>4125</v>
      </c>
      <c r="D325" s="69" t="s">
        <v>2985</v>
      </c>
      <c r="E325" s="69" t="s">
        <v>4126</v>
      </c>
      <c r="F325" s="69" t="s">
        <v>2822</v>
      </c>
      <c r="G325" s="69">
        <v>46091</v>
      </c>
      <c r="H325" s="69"/>
    </row>
    <row r="326" spans="1:8" ht="27" customHeight="1">
      <c r="A326" s="69" t="s">
        <v>4127</v>
      </c>
      <c r="B326" s="69" t="s">
        <v>3745</v>
      </c>
      <c r="C326" s="69" t="s">
        <v>4128</v>
      </c>
      <c r="D326" s="69" t="s">
        <v>2985</v>
      </c>
      <c r="E326" s="69" t="s">
        <v>4129</v>
      </c>
      <c r="F326" s="69" t="s">
        <v>2822</v>
      </c>
      <c r="G326" s="69">
        <v>46091</v>
      </c>
      <c r="H326" s="69"/>
    </row>
    <row r="327" spans="1:8" ht="27" customHeight="1">
      <c r="A327" s="69" t="s">
        <v>4130</v>
      </c>
      <c r="B327" s="69" t="s">
        <v>1670</v>
      </c>
      <c r="C327" s="69" t="s">
        <v>4131</v>
      </c>
      <c r="D327" s="69" t="s">
        <v>4132</v>
      </c>
      <c r="E327" s="69" t="s">
        <v>4133</v>
      </c>
      <c r="F327" s="69" t="s">
        <v>2822</v>
      </c>
      <c r="G327" s="69">
        <v>46091</v>
      </c>
      <c r="H327" s="69"/>
    </row>
    <row r="328" spans="1:8" ht="15" customHeight="1">
      <c r="A328" s="69" t="s">
        <v>4134</v>
      </c>
      <c r="B328" s="69" t="s">
        <v>3718</v>
      </c>
      <c r="C328" s="69" t="s">
        <v>4135</v>
      </c>
      <c r="D328" s="69" t="s">
        <v>4136</v>
      </c>
      <c r="E328" s="69" t="s">
        <v>4137</v>
      </c>
      <c r="F328" s="69" t="s">
        <v>2822</v>
      </c>
      <c r="G328" s="69">
        <v>46091</v>
      </c>
      <c r="H328" s="69"/>
    </row>
    <row r="329" spans="1:8" ht="15" customHeight="1">
      <c r="A329" s="69" t="s">
        <v>4138</v>
      </c>
      <c r="B329" s="69" t="s">
        <v>3765</v>
      </c>
      <c r="C329" s="69" t="s">
        <v>4139</v>
      </c>
      <c r="D329" s="69" t="s">
        <v>4136</v>
      </c>
      <c r="E329" s="69" t="s">
        <v>4137</v>
      </c>
      <c r="F329" s="69" t="s">
        <v>2822</v>
      </c>
      <c r="G329" s="69">
        <v>46091</v>
      </c>
      <c r="H329" s="69"/>
    </row>
    <row r="330" spans="1:8" ht="15" customHeight="1">
      <c r="A330" s="69" t="s">
        <v>4140</v>
      </c>
      <c r="B330" s="69" t="s">
        <v>3722</v>
      </c>
      <c r="C330" s="69" t="s">
        <v>4141</v>
      </c>
      <c r="D330" s="69" t="s">
        <v>4136</v>
      </c>
      <c r="E330" s="69" t="s">
        <v>4137</v>
      </c>
      <c r="F330" s="69" t="s">
        <v>2822</v>
      </c>
      <c r="G330" s="69">
        <v>46091</v>
      </c>
      <c r="H330" s="69"/>
    </row>
    <row r="331" spans="1:8" ht="15" customHeight="1">
      <c r="A331" s="69" t="s">
        <v>4142</v>
      </c>
      <c r="B331" s="69" t="s">
        <v>3815</v>
      </c>
      <c r="C331" s="69" t="s">
        <v>4143</v>
      </c>
      <c r="D331" s="69" t="s">
        <v>4136</v>
      </c>
      <c r="E331" s="69" t="s">
        <v>4144</v>
      </c>
      <c r="F331" s="69" t="s">
        <v>2822</v>
      </c>
      <c r="G331" s="69">
        <v>46091</v>
      </c>
      <c r="H331" s="69"/>
    </row>
    <row r="332" spans="1:8" ht="15" customHeight="1">
      <c r="A332" s="69"/>
      <c r="B332" s="69"/>
      <c r="C332" s="69"/>
      <c r="D332" s="69"/>
      <c r="E332" s="69"/>
      <c r="F332" s="69"/>
      <c r="G332" s="69"/>
      <c r="H332" s="69"/>
    </row>
    <row r="333" spans="1:8" ht="94.5" customHeight="1">
      <c r="A333" s="69" t="s">
        <v>4145</v>
      </c>
      <c r="B333" s="69" t="s">
        <v>4146</v>
      </c>
      <c r="C333" s="69" t="s">
        <v>4147</v>
      </c>
      <c r="D333" s="69">
        <v>200</v>
      </c>
      <c r="E333" s="69" t="s">
        <v>2985</v>
      </c>
      <c r="F333" s="69" t="s">
        <v>4148</v>
      </c>
      <c r="G333" s="91">
        <v>46091</v>
      </c>
      <c r="H333" s="69"/>
    </row>
    <row r="334" spans="1:8" ht="67.5" customHeight="1">
      <c r="A334" s="69" t="s">
        <v>4149</v>
      </c>
      <c r="B334" s="69" t="s">
        <v>4150</v>
      </c>
      <c r="C334" s="69" t="s">
        <v>4107</v>
      </c>
      <c r="D334" s="69">
        <v>200</v>
      </c>
      <c r="E334" s="69" t="s">
        <v>2985</v>
      </c>
      <c r="F334" s="69" t="s">
        <v>4151</v>
      </c>
      <c r="G334" s="91">
        <v>46091</v>
      </c>
      <c r="H334" s="69"/>
    </row>
    <row r="335" spans="1:8" ht="94.5" customHeight="1">
      <c r="A335" s="69" t="s">
        <v>4152</v>
      </c>
      <c r="B335" s="69" t="s">
        <v>3718</v>
      </c>
      <c r="C335" s="69" t="s">
        <v>4153</v>
      </c>
      <c r="D335" s="69">
        <v>200</v>
      </c>
      <c r="E335" s="69" t="s">
        <v>2985</v>
      </c>
      <c r="F335" s="69" t="s">
        <v>4154</v>
      </c>
      <c r="G335" s="91">
        <v>46091</v>
      </c>
      <c r="H335" s="69"/>
    </row>
    <row r="336" spans="1:8" ht="67.5" customHeight="1">
      <c r="A336" s="69" t="s">
        <v>4155</v>
      </c>
      <c r="B336" s="69" t="s">
        <v>3765</v>
      </c>
      <c r="C336" s="69" t="s">
        <v>4156</v>
      </c>
      <c r="D336" s="69">
        <v>200</v>
      </c>
      <c r="E336" s="69" t="s">
        <v>2985</v>
      </c>
      <c r="F336" s="69" t="s">
        <v>4157</v>
      </c>
      <c r="G336" s="91">
        <v>46091</v>
      </c>
      <c r="H336" s="69"/>
    </row>
    <row r="337" spans="1:8" ht="108" customHeight="1">
      <c r="A337" s="69" t="s">
        <v>4158</v>
      </c>
      <c r="B337" s="69" t="s">
        <v>3722</v>
      </c>
      <c r="C337" s="69" t="s">
        <v>4159</v>
      </c>
      <c r="D337" s="69">
        <v>200</v>
      </c>
      <c r="E337" s="69" t="s">
        <v>2985</v>
      </c>
      <c r="F337" s="69" t="s">
        <v>4160</v>
      </c>
      <c r="G337" s="91">
        <v>46091</v>
      </c>
      <c r="H337" s="69"/>
    </row>
    <row r="338" spans="1:8" ht="148.5" customHeight="1">
      <c r="A338" s="69" t="s">
        <v>4161</v>
      </c>
      <c r="B338" s="69" t="s">
        <v>4162</v>
      </c>
      <c r="C338" s="69" t="s">
        <v>4163</v>
      </c>
      <c r="D338" s="69" t="s">
        <v>915</v>
      </c>
      <c r="E338" s="69" t="s">
        <v>4164</v>
      </c>
      <c r="F338" s="69" t="s">
        <v>4165</v>
      </c>
      <c r="G338" s="91">
        <v>46091</v>
      </c>
      <c r="H338" s="69"/>
    </row>
    <row r="339" spans="1:8" ht="162" customHeight="1">
      <c r="A339" s="69" t="s">
        <v>4166</v>
      </c>
      <c r="B339" s="69" t="s">
        <v>3815</v>
      </c>
      <c r="C339" s="69" t="s">
        <v>3592</v>
      </c>
      <c r="D339" s="69" t="s">
        <v>3633</v>
      </c>
      <c r="E339" s="69" t="s">
        <v>4167</v>
      </c>
      <c r="F339" s="69" t="s">
        <v>4168</v>
      </c>
      <c r="G339" s="91">
        <v>46091</v>
      </c>
      <c r="H339" s="69"/>
    </row>
    <row r="340" spans="1:8" ht="15" customHeight="1">
      <c r="A340" s="69"/>
      <c r="B340" s="69"/>
      <c r="C340" s="69"/>
      <c r="D340" s="69"/>
      <c r="E340" s="69"/>
      <c r="F340" s="69"/>
      <c r="G340" s="69"/>
      <c r="H340" s="69"/>
    </row>
    <row r="341" spans="1:8" ht="54" customHeight="1">
      <c r="A341" s="69" t="s">
        <v>4169</v>
      </c>
      <c r="B341" s="69" t="s">
        <v>4170</v>
      </c>
      <c r="C341" s="69"/>
      <c r="D341" s="69"/>
      <c r="E341" s="69"/>
      <c r="F341" s="69" t="s">
        <v>4171</v>
      </c>
      <c r="G341" s="91">
        <v>46091</v>
      </c>
      <c r="H341" s="69"/>
    </row>
    <row r="342" spans="1:8" ht="15" customHeight="1">
      <c r="A342" s="69"/>
      <c r="B342" s="69"/>
      <c r="C342" s="69"/>
      <c r="D342" s="69"/>
      <c r="E342" s="69"/>
      <c r="F342" s="69"/>
      <c r="G342" s="69"/>
      <c r="H342" s="69"/>
    </row>
    <row r="343" spans="1:8" ht="175.5" customHeight="1">
      <c r="A343" s="69" t="s">
        <v>4172</v>
      </c>
      <c r="B343" s="69" t="s">
        <v>4173</v>
      </c>
      <c r="C343" s="69" t="s">
        <v>4174</v>
      </c>
      <c r="D343" s="69">
        <v>200</v>
      </c>
      <c r="E343" s="69" t="s">
        <v>1327</v>
      </c>
      <c r="F343" s="69" t="s">
        <v>4175</v>
      </c>
      <c r="G343" s="91">
        <v>46091</v>
      </c>
      <c r="H343" s="69"/>
    </row>
    <row r="344" spans="1:8" ht="15" customHeight="1">
      <c r="A344" s="69"/>
      <c r="B344" s="69"/>
      <c r="C344" s="69"/>
      <c r="D344" s="69"/>
      <c r="E344" s="69"/>
      <c r="F344" s="69"/>
      <c r="G344" s="69"/>
      <c r="H344" s="69"/>
    </row>
    <row r="345" spans="1:8" ht="94.5" customHeight="1">
      <c r="A345" s="69" t="s">
        <v>4176</v>
      </c>
      <c r="B345" s="69" t="s">
        <v>4177</v>
      </c>
      <c r="C345" s="69"/>
      <c r="D345" s="69"/>
      <c r="E345" s="69"/>
      <c r="F345" s="69" t="s">
        <v>4178</v>
      </c>
      <c r="G345" s="91">
        <v>46091</v>
      </c>
      <c r="H345" s="69"/>
    </row>
    <row r="346" spans="1:8" ht="15" customHeight="1">
      <c r="A346" s="69"/>
      <c r="B346" s="69"/>
      <c r="C346" s="69"/>
      <c r="D346" s="69"/>
      <c r="E346" s="69"/>
      <c r="F346" s="69"/>
      <c r="G346" s="69"/>
      <c r="H346" s="69"/>
    </row>
    <row r="347" spans="1:8" ht="148.5" customHeight="1">
      <c r="A347" s="69" t="s">
        <v>4179</v>
      </c>
      <c r="B347" s="69" t="s">
        <v>4180</v>
      </c>
      <c r="C347" s="69" t="s">
        <v>4181</v>
      </c>
      <c r="D347" s="69"/>
      <c r="E347" s="69"/>
      <c r="F347" s="69"/>
      <c r="G347" s="69"/>
      <c r="H347" s="69"/>
    </row>
    <row r="348" spans="1:8" ht="15" customHeight="1">
      <c r="A348" s="69" t="s">
        <v>4182</v>
      </c>
      <c r="B348" s="69" t="s">
        <v>2983</v>
      </c>
      <c r="C348" s="69" t="s">
        <v>4025</v>
      </c>
      <c r="D348" s="69" t="s">
        <v>2985</v>
      </c>
      <c r="E348" s="69" t="s">
        <v>4183</v>
      </c>
      <c r="F348" s="69" t="s">
        <v>2832</v>
      </c>
      <c r="G348" s="69">
        <v>46092</v>
      </c>
      <c r="H348" s="69" t="s">
        <v>1979</v>
      </c>
    </row>
    <row r="349" spans="1:8" ht="15" customHeight="1">
      <c r="A349" s="69" t="s">
        <v>4184</v>
      </c>
      <c r="B349" s="69" t="s">
        <v>3488</v>
      </c>
      <c r="C349" s="69" t="s">
        <v>3313</v>
      </c>
      <c r="D349" s="69" t="s">
        <v>2985</v>
      </c>
      <c r="E349" s="69" t="s">
        <v>4185</v>
      </c>
      <c r="F349" s="69" t="s">
        <v>2832</v>
      </c>
      <c r="G349" s="69">
        <v>46092</v>
      </c>
      <c r="H349" s="69" t="s">
        <v>1979</v>
      </c>
    </row>
    <row r="350" spans="1:8" ht="15" customHeight="1">
      <c r="A350" s="69" t="s">
        <v>4186</v>
      </c>
      <c r="B350" s="69" t="s">
        <v>3509</v>
      </c>
      <c r="C350" s="69" t="s">
        <v>3719</v>
      </c>
      <c r="D350" s="69" t="s">
        <v>2985</v>
      </c>
      <c r="E350" s="69" t="s">
        <v>4187</v>
      </c>
      <c r="F350" s="69" t="s">
        <v>2832</v>
      </c>
      <c r="G350" s="69">
        <v>46092</v>
      </c>
      <c r="H350" s="69" t="s">
        <v>1979</v>
      </c>
    </row>
    <row r="351" spans="1:8" ht="15" customHeight="1">
      <c r="A351" s="69" t="s">
        <v>4188</v>
      </c>
      <c r="B351" s="69" t="s">
        <v>3497</v>
      </c>
      <c r="C351" s="69" t="s">
        <v>3723</v>
      </c>
      <c r="D351" s="69" t="s">
        <v>2985</v>
      </c>
      <c r="E351" s="69" t="s">
        <v>4189</v>
      </c>
      <c r="F351" s="69" t="s">
        <v>2832</v>
      </c>
      <c r="G351" s="69">
        <v>46092</v>
      </c>
      <c r="H351" s="69" t="s">
        <v>1979</v>
      </c>
    </row>
    <row r="352" spans="1:8" ht="15" customHeight="1">
      <c r="A352" s="69" t="s">
        <v>4190</v>
      </c>
      <c r="B352" s="69" t="s">
        <v>3538</v>
      </c>
      <c r="C352" s="69" t="s">
        <v>4191</v>
      </c>
      <c r="D352" s="69" t="s">
        <v>2985</v>
      </c>
      <c r="E352" s="69" t="s">
        <v>4192</v>
      </c>
      <c r="F352" s="69" t="s">
        <v>2832</v>
      </c>
      <c r="G352" s="69">
        <v>46092</v>
      </c>
      <c r="H352" s="69" t="s">
        <v>1979</v>
      </c>
    </row>
    <row r="353" spans="1:8" ht="15" customHeight="1">
      <c r="A353" s="69" t="s">
        <v>4193</v>
      </c>
      <c r="B353" s="69" t="s">
        <v>3501</v>
      </c>
      <c r="C353" s="69" t="s">
        <v>4194</v>
      </c>
      <c r="D353" s="69" t="s">
        <v>2985</v>
      </c>
      <c r="E353" s="69" t="s">
        <v>4195</v>
      </c>
      <c r="F353" s="69" t="s">
        <v>2832</v>
      </c>
      <c r="G353" s="69">
        <v>46092</v>
      </c>
      <c r="H353" s="69" t="s">
        <v>1979</v>
      </c>
    </row>
    <row r="354" spans="1:8" ht="15" customHeight="1">
      <c r="A354" s="69" t="s">
        <v>4196</v>
      </c>
      <c r="B354" s="69" t="s">
        <v>3505</v>
      </c>
      <c r="C354" s="69" t="s">
        <v>4197</v>
      </c>
      <c r="D354" s="69" t="s">
        <v>2985</v>
      </c>
      <c r="E354" s="69" t="s">
        <v>4198</v>
      </c>
      <c r="F354" s="69" t="s">
        <v>2832</v>
      </c>
      <c r="G354" s="69">
        <v>46092</v>
      </c>
      <c r="H354" s="69" t="s">
        <v>1979</v>
      </c>
    </row>
    <row r="355" spans="1:8" ht="15" customHeight="1">
      <c r="A355" s="69" t="s">
        <v>4199</v>
      </c>
      <c r="B355" s="69" t="s">
        <v>3602</v>
      </c>
      <c r="C355" s="69" t="s">
        <v>4066</v>
      </c>
      <c r="D355" s="69" t="s">
        <v>2985</v>
      </c>
      <c r="E355" s="69" t="s">
        <v>4200</v>
      </c>
      <c r="F355" s="69" t="s">
        <v>2832</v>
      </c>
      <c r="G355" s="69">
        <v>46092</v>
      </c>
      <c r="H355" s="69" t="s">
        <v>1979</v>
      </c>
    </row>
    <row r="356" spans="1:8" ht="15" customHeight="1">
      <c r="A356" s="69" t="s">
        <v>4201</v>
      </c>
      <c r="B356" s="69" t="s">
        <v>3552</v>
      </c>
      <c r="C356" s="69" t="s">
        <v>4202</v>
      </c>
      <c r="D356" s="69" t="s">
        <v>2985</v>
      </c>
      <c r="E356" s="69" t="s">
        <v>4203</v>
      </c>
      <c r="F356" s="69" t="s">
        <v>2832</v>
      </c>
      <c r="G356" s="69">
        <v>46092</v>
      </c>
      <c r="H356" s="69" t="s">
        <v>1979</v>
      </c>
    </row>
    <row r="357" spans="1:8" ht="15" customHeight="1">
      <c r="A357" s="69" t="s">
        <v>4204</v>
      </c>
      <c r="B357" s="69" t="s">
        <v>3606</v>
      </c>
      <c r="C357" s="69" t="s">
        <v>3766</v>
      </c>
      <c r="D357" s="69" t="s">
        <v>2985</v>
      </c>
      <c r="E357" s="69" t="s">
        <v>4205</v>
      </c>
      <c r="F357" s="69" t="s">
        <v>2832</v>
      </c>
      <c r="G357" s="69">
        <v>46092</v>
      </c>
      <c r="H357" s="69" t="s">
        <v>1979</v>
      </c>
    </row>
    <row r="358" spans="1:8" ht="15" customHeight="1">
      <c r="A358" s="69" t="s">
        <v>4206</v>
      </c>
      <c r="B358" s="69" t="s">
        <v>3513</v>
      </c>
      <c r="C358" s="69" t="s">
        <v>3778</v>
      </c>
      <c r="D358" s="69" t="s">
        <v>2985</v>
      </c>
      <c r="E358" s="69" t="s">
        <v>4207</v>
      </c>
      <c r="F358" s="69" t="s">
        <v>2832</v>
      </c>
      <c r="G358" s="69">
        <v>46092</v>
      </c>
      <c r="H358" s="69" t="s">
        <v>1979</v>
      </c>
    </row>
    <row r="359" spans="1:8" ht="15" customHeight="1">
      <c r="A359" s="69" t="s">
        <v>4208</v>
      </c>
      <c r="B359" s="69" t="s">
        <v>2313</v>
      </c>
      <c r="C359" s="69" t="s">
        <v>3379</v>
      </c>
      <c r="D359" s="69" t="s">
        <v>2985</v>
      </c>
      <c r="E359" s="69" t="s">
        <v>4209</v>
      </c>
      <c r="F359" s="69" t="s">
        <v>2832</v>
      </c>
      <c r="G359" s="69">
        <v>46092</v>
      </c>
      <c r="H359" s="69" t="s">
        <v>1979</v>
      </c>
    </row>
    <row r="360" spans="1:8" ht="15" customHeight="1">
      <c r="A360" s="69" t="s">
        <v>4210</v>
      </c>
      <c r="B360" s="69" t="s">
        <v>3566</v>
      </c>
      <c r="C360" s="69" t="s">
        <v>4211</v>
      </c>
      <c r="D360" s="69" t="s">
        <v>2985</v>
      </c>
      <c r="E360" s="69" t="s">
        <v>4212</v>
      </c>
      <c r="F360" s="69" t="s">
        <v>2832</v>
      </c>
      <c r="G360" s="69">
        <v>46092</v>
      </c>
      <c r="H360" s="69" t="s">
        <v>1979</v>
      </c>
    </row>
    <row r="361" spans="1:8" ht="15" customHeight="1">
      <c r="A361" s="69" t="s">
        <v>4213</v>
      </c>
      <c r="B361" s="69" t="s">
        <v>3576</v>
      </c>
      <c r="C361" s="69" t="s">
        <v>4214</v>
      </c>
      <c r="D361" s="69" t="s">
        <v>2985</v>
      </c>
      <c r="E361" s="69" t="s">
        <v>4215</v>
      </c>
      <c r="F361" s="69" t="s">
        <v>2832</v>
      </c>
      <c r="G361" s="69">
        <v>46092</v>
      </c>
      <c r="H361" s="69" t="s">
        <v>1979</v>
      </c>
    </row>
    <row r="362" spans="1:8" ht="15" customHeight="1">
      <c r="A362" s="69" t="s">
        <v>4216</v>
      </c>
      <c r="B362" s="69" t="s">
        <v>3571</v>
      </c>
      <c r="C362" s="69" t="s">
        <v>4217</v>
      </c>
      <c r="D362" s="69" t="s">
        <v>2985</v>
      </c>
      <c r="E362" s="69" t="s">
        <v>4218</v>
      </c>
      <c r="F362" s="69" t="s">
        <v>2832</v>
      </c>
      <c r="G362" s="69">
        <v>46092</v>
      </c>
      <c r="H362" s="69" t="s">
        <v>1979</v>
      </c>
    </row>
    <row r="363" spans="1:8" ht="15" customHeight="1">
      <c r="A363" s="69" t="s">
        <v>4219</v>
      </c>
      <c r="B363" s="69" t="s">
        <v>3543</v>
      </c>
      <c r="C363" s="69" t="s">
        <v>4220</v>
      </c>
      <c r="D363" s="69" t="s">
        <v>2985</v>
      </c>
      <c r="E363" s="69" t="s">
        <v>4221</v>
      </c>
      <c r="F363" s="69" t="s">
        <v>2832</v>
      </c>
      <c r="G363" s="69">
        <v>46092</v>
      </c>
      <c r="H363" s="69" t="s">
        <v>1979</v>
      </c>
    </row>
    <row r="364" spans="1:8" ht="15" customHeight="1">
      <c r="A364" s="69" t="s">
        <v>4222</v>
      </c>
      <c r="B364" s="69" t="s">
        <v>3556</v>
      </c>
      <c r="C364" s="69" t="s">
        <v>4223</v>
      </c>
      <c r="D364" s="69" t="s">
        <v>2985</v>
      </c>
      <c r="E364" s="69" t="s">
        <v>4224</v>
      </c>
      <c r="F364" s="69" t="s">
        <v>2832</v>
      </c>
      <c r="G364" s="69">
        <v>46092</v>
      </c>
      <c r="H364" s="69" t="s">
        <v>1979</v>
      </c>
    </row>
    <row r="365" spans="1:8" ht="15" customHeight="1">
      <c r="A365" s="69" t="s">
        <v>4225</v>
      </c>
      <c r="B365" s="69" t="s">
        <v>3525</v>
      </c>
      <c r="C365" s="69" t="s">
        <v>4226</v>
      </c>
      <c r="D365" s="69" t="s">
        <v>2985</v>
      </c>
      <c r="E365" s="69" t="s">
        <v>4227</v>
      </c>
      <c r="F365" s="69" t="s">
        <v>2832</v>
      </c>
      <c r="G365" s="69">
        <v>46092</v>
      </c>
      <c r="H365" s="69" t="s">
        <v>4228</v>
      </c>
    </row>
    <row r="366" spans="1:8" ht="15" customHeight="1">
      <c r="A366" s="69" t="s">
        <v>4229</v>
      </c>
      <c r="B366" s="69" t="s">
        <v>4230</v>
      </c>
      <c r="C366" s="69" t="s">
        <v>4231</v>
      </c>
      <c r="D366" s="69" t="s">
        <v>2985</v>
      </c>
      <c r="E366" s="69" t="s">
        <v>4232</v>
      </c>
      <c r="F366" s="69" t="s">
        <v>2832</v>
      </c>
      <c r="G366" s="69">
        <v>46092</v>
      </c>
      <c r="H366" s="69" t="s">
        <v>4233</v>
      </c>
    </row>
    <row r="367" spans="1:8" ht="15" customHeight="1">
      <c r="A367" s="69" t="s">
        <v>4234</v>
      </c>
      <c r="B367" s="69" t="s">
        <v>4235</v>
      </c>
      <c r="C367" s="69" t="s">
        <v>3736</v>
      </c>
      <c r="D367" s="69" t="s">
        <v>2985</v>
      </c>
      <c r="E367" s="69" t="s">
        <v>4236</v>
      </c>
      <c r="F367" s="69" t="s">
        <v>2832</v>
      </c>
      <c r="G367" s="69">
        <v>46092</v>
      </c>
      <c r="H367" s="69" t="s">
        <v>1979</v>
      </c>
    </row>
    <row r="368" spans="1:8" ht="15" customHeight="1">
      <c r="A368" s="69" t="s">
        <v>4237</v>
      </c>
      <c r="B368" s="69" t="s">
        <v>3611</v>
      </c>
      <c r="C368" s="69" t="s">
        <v>4238</v>
      </c>
      <c r="D368" s="69" t="s">
        <v>2985</v>
      </c>
      <c r="E368" s="69" t="s">
        <v>4239</v>
      </c>
      <c r="F368" s="69" t="s">
        <v>2832</v>
      </c>
      <c r="G368" s="69">
        <v>46092</v>
      </c>
      <c r="H368" s="69" t="s">
        <v>4240</v>
      </c>
    </row>
    <row r="369" spans="1:8" ht="27" customHeight="1">
      <c r="A369" s="69" t="s">
        <v>4241</v>
      </c>
      <c r="B369" s="69" t="s">
        <v>3591</v>
      </c>
      <c r="C369" s="69" t="s">
        <v>4242</v>
      </c>
      <c r="D369" s="69" t="s">
        <v>2985</v>
      </c>
      <c r="E369" s="69" t="s">
        <v>4243</v>
      </c>
      <c r="F369" s="69" t="s">
        <v>2832</v>
      </c>
      <c r="G369" s="69">
        <v>46092</v>
      </c>
      <c r="H369" s="69" t="s">
        <v>4240</v>
      </c>
    </row>
    <row r="370" spans="1:8" ht="15" customHeight="1">
      <c r="A370" s="69" t="s">
        <v>4244</v>
      </c>
      <c r="B370" s="69" t="s">
        <v>3529</v>
      </c>
      <c r="C370" s="69" t="s">
        <v>4245</v>
      </c>
      <c r="D370" s="69" t="s">
        <v>2985</v>
      </c>
      <c r="E370" s="69" t="s">
        <v>4246</v>
      </c>
      <c r="F370" s="69" t="s">
        <v>2832</v>
      </c>
      <c r="G370" s="69">
        <v>46092</v>
      </c>
      <c r="H370" s="69" t="s">
        <v>1979</v>
      </c>
    </row>
    <row r="371" spans="1:8" ht="15" customHeight="1">
      <c r="A371" s="69" t="s">
        <v>4247</v>
      </c>
      <c r="B371" s="69" t="s">
        <v>3595</v>
      </c>
      <c r="C371" s="69" t="s">
        <v>4248</v>
      </c>
      <c r="D371" s="69" t="s">
        <v>2985</v>
      </c>
      <c r="E371" s="69" t="s">
        <v>4249</v>
      </c>
      <c r="F371" s="69" t="s">
        <v>2832</v>
      </c>
      <c r="G371" s="69">
        <v>46092</v>
      </c>
      <c r="H371" s="69" t="s">
        <v>4240</v>
      </c>
    </row>
    <row r="372" spans="1:8" ht="15" customHeight="1">
      <c r="A372" s="69" t="s">
        <v>4250</v>
      </c>
      <c r="B372" s="69" t="s">
        <v>3521</v>
      </c>
      <c r="C372" s="69" t="s">
        <v>4251</v>
      </c>
      <c r="D372" s="69" t="s">
        <v>2985</v>
      </c>
      <c r="E372" s="69" t="s">
        <v>4252</v>
      </c>
      <c r="F372" s="69" t="s">
        <v>2832</v>
      </c>
      <c r="G372" s="69">
        <v>46092</v>
      </c>
      <c r="H372" s="69" t="s">
        <v>1979</v>
      </c>
    </row>
    <row r="373" spans="1:8" ht="15" customHeight="1">
      <c r="A373" s="69" t="s">
        <v>4253</v>
      </c>
      <c r="B373" s="69" t="s">
        <v>3615</v>
      </c>
      <c r="C373" s="69" t="s">
        <v>4254</v>
      </c>
      <c r="D373" s="69" t="s">
        <v>2985</v>
      </c>
      <c r="E373" s="69" t="s">
        <v>4255</v>
      </c>
      <c r="F373" s="69" t="s">
        <v>2832</v>
      </c>
      <c r="G373" s="69">
        <v>46092</v>
      </c>
      <c r="H373" s="69" t="s">
        <v>4240</v>
      </c>
    </row>
    <row r="374" spans="1:8" ht="15" customHeight="1">
      <c r="A374" s="69" t="s">
        <v>4256</v>
      </c>
      <c r="B374" s="69" t="s">
        <v>3517</v>
      </c>
      <c r="C374" s="69" t="s">
        <v>4257</v>
      </c>
      <c r="D374" s="69" t="s">
        <v>2985</v>
      </c>
      <c r="E374" s="69" t="s">
        <v>4258</v>
      </c>
      <c r="F374" s="69" t="s">
        <v>2832</v>
      </c>
      <c r="G374" s="69">
        <v>46092</v>
      </c>
      <c r="H374" s="69" t="s">
        <v>1979</v>
      </c>
    </row>
    <row r="375" spans="1:8" ht="27" customHeight="1">
      <c r="A375" s="69" t="s">
        <v>4259</v>
      </c>
      <c r="B375" s="69" t="s">
        <v>3620</v>
      </c>
      <c r="C375" s="69" t="s">
        <v>4260</v>
      </c>
      <c r="D375" s="69" t="s">
        <v>4261</v>
      </c>
      <c r="E375" s="69" t="s">
        <v>4262</v>
      </c>
      <c r="F375" s="69" t="s">
        <v>2832</v>
      </c>
      <c r="G375" s="69">
        <v>46092</v>
      </c>
      <c r="H375" s="69" t="s">
        <v>4263</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4264</v>
      </c>
      <c r="B378" s="69"/>
      <c r="C378" s="69"/>
      <c r="D378" s="69"/>
      <c r="E378" s="69"/>
      <c r="F378" s="69"/>
      <c r="G378" s="69"/>
      <c r="H378" s="69"/>
    </row>
    <row r="379" spans="1:8" ht="27" customHeight="1">
      <c r="A379" s="69" t="s">
        <v>3858</v>
      </c>
      <c r="B379" s="69">
        <v>28</v>
      </c>
      <c r="C379" s="69" t="s">
        <v>2985</v>
      </c>
      <c r="D379" s="69">
        <v>27</v>
      </c>
      <c r="E379" s="69" t="s">
        <v>4265</v>
      </c>
      <c r="F379" s="69">
        <v>1</v>
      </c>
      <c r="G379" s="69"/>
      <c r="H379" s="69"/>
    </row>
    <row r="380" spans="1:8" ht="27" customHeight="1">
      <c r="A380" s="69" t="s">
        <v>4266</v>
      </c>
      <c r="B380" s="235">
        <v>0.96399999999999997</v>
      </c>
      <c r="C380" s="69" t="s">
        <v>4267</v>
      </c>
      <c r="D380" s="236">
        <v>1</v>
      </c>
      <c r="E380" s="69" t="s">
        <v>4268</v>
      </c>
      <c r="F380" s="69"/>
      <c r="G380" s="69"/>
      <c r="H380" s="69"/>
    </row>
    <row r="381" spans="1:8" ht="15" customHeight="1">
      <c r="A381" s="69"/>
      <c r="B381" s="69"/>
      <c r="C381" s="69"/>
      <c r="D381" s="69"/>
      <c r="E381" s="69"/>
      <c r="F381" s="69"/>
      <c r="G381" s="69"/>
      <c r="H381" s="69"/>
    </row>
    <row r="382" spans="1:8" ht="40.5" customHeight="1">
      <c r="A382" s="69" t="s">
        <v>3637</v>
      </c>
      <c r="B382" s="69"/>
      <c r="C382" s="69"/>
      <c r="D382" s="69"/>
      <c r="E382" s="69"/>
      <c r="F382" s="69"/>
      <c r="G382" s="69"/>
      <c r="H382" s="69"/>
    </row>
    <row r="383" spans="1:8" ht="15" customHeight="1">
      <c r="A383" s="69">
        <v>1</v>
      </c>
      <c r="B383" s="69" t="s">
        <v>4269</v>
      </c>
      <c r="C383" s="69" t="s">
        <v>4270</v>
      </c>
      <c r="D383" s="69"/>
      <c r="E383" s="69"/>
      <c r="F383" s="69"/>
      <c r="G383" s="69"/>
      <c r="H383" s="69"/>
    </row>
    <row r="384" spans="1:8" ht="40.5" customHeight="1">
      <c r="A384" s="69">
        <v>2</v>
      </c>
      <c r="B384" s="69" t="s">
        <v>4271</v>
      </c>
      <c r="C384" s="69" t="s">
        <v>4272</v>
      </c>
      <c r="D384" s="69"/>
      <c r="E384" s="69"/>
      <c r="F384" s="69"/>
      <c r="G384" s="69"/>
      <c r="H384" s="69"/>
    </row>
    <row r="385" spans="1:8" ht="40.5" customHeight="1">
      <c r="A385" s="69">
        <v>3</v>
      </c>
      <c r="B385" s="69" t="s">
        <v>4273</v>
      </c>
      <c r="C385" s="69" t="s">
        <v>4274</v>
      </c>
      <c r="D385" s="69"/>
      <c r="E385" s="69"/>
      <c r="F385" s="69"/>
      <c r="G385" s="69"/>
      <c r="H385" s="69"/>
    </row>
    <row r="386" spans="1:8" ht="40.5" customHeight="1">
      <c r="A386" s="69">
        <v>4</v>
      </c>
      <c r="B386" s="69" t="s">
        <v>4275</v>
      </c>
      <c r="C386" s="69" t="s">
        <v>4276</v>
      </c>
      <c r="D386" s="69"/>
      <c r="E386" s="69"/>
      <c r="F386" s="69"/>
      <c r="G386" s="69"/>
      <c r="H386" s="69"/>
    </row>
    <row r="387" spans="1:8" ht="27" customHeight="1">
      <c r="A387" s="69">
        <v>5</v>
      </c>
      <c r="B387" s="69" t="s">
        <v>4277</v>
      </c>
      <c r="C387" s="69" t="s">
        <v>4278</v>
      </c>
      <c r="D387" s="69"/>
      <c r="E387" s="69"/>
      <c r="F387" s="69"/>
      <c r="G387" s="69"/>
      <c r="H387" s="69"/>
    </row>
    <row r="388" spans="1:8" ht="54" customHeight="1">
      <c r="A388" s="69">
        <v>6</v>
      </c>
      <c r="B388" s="69" t="s">
        <v>4279</v>
      </c>
      <c r="C388" s="69" t="s">
        <v>4280</v>
      </c>
      <c r="D388" s="69"/>
      <c r="E388" s="69"/>
      <c r="F388" s="69"/>
      <c r="G388" s="69"/>
      <c r="H388" s="69"/>
    </row>
    <row r="389" spans="1:8" ht="27" customHeight="1">
      <c r="A389" s="69">
        <v>7</v>
      </c>
      <c r="B389" s="69" t="s">
        <v>4281</v>
      </c>
      <c r="C389" s="69" t="s">
        <v>4282</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4283</v>
      </c>
      <c r="B392" s="69"/>
      <c r="C392" s="69"/>
      <c r="D392" s="69"/>
      <c r="E392" s="69"/>
      <c r="F392" s="69"/>
      <c r="G392" s="69"/>
      <c r="H392" s="69"/>
    </row>
    <row r="393" spans="1:8" ht="54" customHeight="1">
      <c r="A393" s="69" t="s">
        <v>4284</v>
      </c>
      <c r="B393" s="69" t="s">
        <v>4285</v>
      </c>
      <c r="C393" s="69" t="s">
        <v>4286</v>
      </c>
      <c r="D393" s="69" t="s">
        <v>4287</v>
      </c>
      <c r="E393" s="69" t="s">
        <v>4288</v>
      </c>
      <c r="F393" s="69" t="s">
        <v>2832</v>
      </c>
      <c r="G393" s="69">
        <v>46092</v>
      </c>
      <c r="H393" s="69" t="s">
        <v>4289</v>
      </c>
    </row>
    <row r="394" spans="1:8" ht="27" customHeight="1">
      <c r="A394" s="69" t="s">
        <v>4290</v>
      </c>
      <c r="B394" s="69" t="s">
        <v>4291</v>
      </c>
      <c r="C394" s="69" t="s">
        <v>4292</v>
      </c>
      <c r="D394" s="69" t="s">
        <v>4293</v>
      </c>
      <c r="E394" s="69" t="s">
        <v>4294</v>
      </c>
      <c r="F394" s="69" t="s">
        <v>2832</v>
      </c>
      <c r="G394" s="69">
        <v>46092</v>
      </c>
      <c r="H394" s="69" t="s">
        <v>1979</v>
      </c>
    </row>
    <row r="395" spans="1:8" ht="40.5" customHeight="1">
      <c r="A395" s="69" t="s">
        <v>4295</v>
      </c>
      <c r="B395" s="69" t="s">
        <v>4296</v>
      </c>
      <c r="C395" s="69" t="s">
        <v>4297</v>
      </c>
      <c r="D395" s="69" t="s">
        <v>4298</v>
      </c>
      <c r="E395" s="69" t="s">
        <v>4299</v>
      </c>
      <c r="F395" s="69" t="s">
        <v>2832</v>
      </c>
      <c r="G395" s="69">
        <v>46092</v>
      </c>
      <c r="H395" s="69" t="s">
        <v>4300</v>
      </c>
    </row>
    <row r="396" spans="1:8" ht="15" customHeight="1">
      <c r="A396" s="69"/>
      <c r="B396" s="69"/>
      <c r="C396" s="69"/>
      <c r="D396" s="69"/>
      <c r="E396" s="69"/>
      <c r="F396" s="69"/>
      <c r="G396" s="69"/>
      <c r="H396" s="69"/>
    </row>
    <row r="397" spans="1:8" ht="108" customHeight="1">
      <c r="A397" s="69" t="s">
        <v>4301</v>
      </c>
      <c r="B397" s="69"/>
      <c r="C397" s="69"/>
      <c r="D397" s="69"/>
      <c r="E397" s="69"/>
      <c r="F397" s="69"/>
      <c r="G397" s="69"/>
      <c r="H397" s="69"/>
    </row>
    <row r="398" spans="1:8" ht="40.5" customHeight="1">
      <c r="A398" s="69" t="s">
        <v>658</v>
      </c>
      <c r="B398" s="69" t="s">
        <v>4302</v>
      </c>
      <c r="C398" s="69"/>
      <c r="D398" s="69"/>
      <c r="E398" s="69"/>
      <c r="F398" s="69"/>
      <c r="G398" s="69"/>
      <c r="H398" s="69"/>
    </row>
    <row r="399" spans="1:8" ht="27" customHeight="1">
      <c r="A399" s="69" t="s">
        <v>4303</v>
      </c>
      <c r="B399" s="69" t="s">
        <v>4304</v>
      </c>
      <c r="C399" s="69"/>
      <c r="D399" s="69"/>
      <c r="E399" s="69"/>
      <c r="F399" s="69"/>
      <c r="G399" s="69"/>
      <c r="H399" s="69"/>
    </row>
    <row r="400" spans="1:8" ht="40.5" customHeight="1">
      <c r="A400" s="69" t="s">
        <v>4305</v>
      </c>
      <c r="B400" s="69" t="s">
        <v>4306</v>
      </c>
      <c r="C400" s="69"/>
      <c r="D400" s="69"/>
      <c r="E400" s="69"/>
      <c r="F400" s="69"/>
      <c r="G400" s="69"/>
      <c r="H400" s="69"/>
    </row>
    <row r="401" spans="1:8" ht="54" customHeight="1">
      <c r="A401" s="69" t="s">
        <v>4307</v>
      </c>
      <c r="B401" s="69" t="s">
        <v>4308</v>
      </c>
      <c r="C401" s="69" t="s">
        <v>4309</v>
      </c>
      <c r="D401" s="69" t="s">
        <v>4310</v>
      </c>
      <c r="E401" s="69" t="s">
        <v>4311</v>
      </c>
      <c r="F401" s="69" t="s">
        <v>2832</v>
      </c>
      <c r="G401" s="69">
        <v>46092</v>
      </c>
      <c r="H401" s="69" t="s">
        <v>4312</v>
      </c>
    </row>
    <row r="402" spans="1:8" ht="15" customHeight="1">
      <c r="A402" s="69"/>
      <c r="B402" s="69"/>
      <c r="C402" s="69"/>
      <c r="D402" s="69"/>
      <c r="E402" s="69"/>
      <c r="F402" s="69"/>
      <c r="G402" s="69"/>
      <c r="H402" s="69"/>
    </row>
    <row r="403" spans="1:8" ht="67.5" customHeight="1">
      <c r="A403" s="69" t="s">
        <v>4313</v>
      </c>
      <c r="B403" s="69"/>
      <c r="C403" s="69"/>
      <c r="D403" s="69"/>
      <c r="E403" s="69"/>
      <c r="F403" s="69"/>
      <c r="G403" s="69"/>
      <c r="H403" s="69"/>
    </row>
    <row r="404" spans="1:8" ht="27" customHeight="1">
      <c r="A404" s="69" t="s">
        <v>4314</v>
      </c>
      <c r="B404" s="69" t="s">
        <v>4315</v>
      </c>
      <c r="C404" s="69"/>
      <c r="D404" s="69"/>
      <c r="E404" s="69"/>
      <c r="F404" s="69"/>
      <c r="G404" s="69"/>
      <c r="H404" s="69"/>
    </row>
    <row r="405" spans="1:8" ht="27" customHeight="1">
      <c r="A405" s="69" t="s">
        <v>4316</v>
      </c>
      <c r="B405" s="69" t="s">
        <v>4317</v>
      </c>
      <c r="C405" s="69"/>
      <c r="D405" s="69"/>
      <c r="E405" s="69"/>
      <c r="F405" s="69"/>
      <c r="G405" s="69"/>
      <c r="H405" s="69"/>
    </row>
    <row r="406" spans="1:8" ht="54" customHeight="1">
      <c r="A406" s="69" t="s">
        <v>1200</v>
      </c>
      <c r="B406" s="69" t="s">
        <v>4318</v>
      </c>
      <c r="C406" s="69"/>
      <c r="D406" s="69"/>
      <c r="E406" s="69"/>
      <c r="F406" s="69"/>
      <c r="G406" s="69"/>
      <c r="H406" s="69"/>
    </row>
    <row r="407" spans="1:8" ht="27" customHeight="1">
      <c r="A407" s="69" t="s">
        <v>4319</v>
      </c>
      <c r="B407" s="69" t="s">
        <v>4320</v>
      </c>
      <c r="C407" s="69" t="s">
        <v>4321</v>
      </c>
      <c r="D407" s="69" t="s">
        <v>4322</v>
      </c>
      <c r="E407" s="69" t="s">
        <v>4323</v>
      </c>
      <c r="F407" s="69" t="s">
        <v>2832</v>
      </c>
      <c r="G407" s="69">
        <v>46092</v>
      </c>
      <c r="H407" s="69" t="s">
        <v>4324</v>
      </c>
    </row>
    <row r="408" spans="1:8" ht="15" customHeight="1">
      <c r="A408" s="69"/>
      <c r="B408" s="69"/>
      <c r="C408" s="69"/>
      <c r="D408" s="69"/>
      <c r="E408" s="69"/>
      <c r="F408" s="69"/>
      <c r="G408" s="69"/>
      <c r="H408" s="69"/>
    </row>
    <row r="409" spans="1:8" ht="121.5" customHeight="1">
      <c r="A409" s="69" t="s">
        <v>4325</v>
      </c>
      <c r="B409" s="69"/>
      <c r="C409" s="69"/>
      <c r="D409" s="69"/>
      <c r="E409" s="69"/>
      <c r="F409" s="69"/>
      <c r="G409" s="69"/>
      <c r="H409" s="69"/>
    </row>
    <row r="410" spans="1:8" ht="54" customHeight="1">
      <c r="A410" s="69" t="s">
        <v>4326</v>
      </c>
      <c r="B410" s="69" t="s">
        <v>4327</v>
      </c>
      <c r="C410" s="69" t="s">
        <v>4328</v>
      </c>
      <c r="D410" s="69"/>
      <c r="E410" s="69"/>
      <c r="F410" s="69"/>
      <c r="G410" s="69"/>
      <c r="H410" s="69"/>
    </row>
    <row r="411" spans="1:8" ht="27" customHeight="1">
      <c r="A411" s="69" t="s">
        <v>4329</v>
      </c>
      <c r="B411" s="69" t="s">
        <v>4330</v>
      </c>
      <c r="C411" s="69" t="s">
        <v>4331</v>
      </c>
      <c r="D411" s="69"/>
      <c r="E411" s="69"/>
      <c r="F411" s="69"/>
      <c r="G411" s="69"/>
      <c r="H411" s="69"/>
    </row>
    <row r="412" spans="1:8" ht="40.5" customHeight="1">
      <c r="A412" s="69" t="s">
        <v>4332</v>
      </c>
      <c r="B412" s="69" t="s">
        <v>4333</v>
      </c>
      <c r="C412" s="69" t="s">
        <v>4334</v>
      </c>
      <c r="D412" s="69"/>
      <c r="E412" s="69"/>
      <c r="F412" s="69"/>
      <c r="G412" s="69"/>
      <c r="H412" s="69"/>
    </row>
    <row r="413" spans="1:8" ht="15" customHeight="1">
      <c r="A413" s="69"/>
      <c r="B413" s="69"/>
      <c r="C413" s="69"/>
      <c r="D413" s="69"/>
      <c r="E413" s="69"/>
      <c r="F413" s="69"/>
      <c r="G413" s="69"/>
      <c r="H413" s="69"/>
    </row>
    <row r="414" spans="1:8" ht="81" customHeight="1">
      <c r="A414" s="69" t="s">
        <v>4335</v>
      </c>
      <c r="B414" s="69" t="s">
        <v>4336</v>
      </c>
      <c r="C414" s="69"/>
      <c r="D414" s="69"/>
      <c r="E414" s="69"/>
      <c r="F414" s="69"/>
      <c r="G414" s="69"/>
      <c r="H414" s="69"/>
    </row>
    <row r="415" spans="1:8" ht="27" customHeight="1">
      <c r="A415" s="69" t="s">
        <v>4337</v>
      </c>
      <c r="B415" s="69" t="s">
        <v>4338</v>
      </c>
      <c r="C415" s="69" t="s">
        <v>4339</v>
      </c>
      <c r="D415" s="69" t="s">
        <v>1327</v>
      </c>
      <c r="E415" s="69" t="s">
        <v>4340</v>
      </c>
      <c r="F415" s="69" t="s">
        <v>2832</v>
      </c>
      <c r="G415" s="69">
        <v>46092</v>
      </c>
      <c r="H415" s="69" t="s">
        <v>4341</v>
      </c>
    </row>
    <row r="416" spans="1:8" ht="27" customHeight="1">
      <c r="A416" s="69" t="s">
        <v>4342</v>
      </c>
      <c r="B416" s="69" t="s">
        <v>4343</v>
      </c>
      <c r="C416" s="69" t="s">
        <v>4344</v>
      </c>
      <c r="D416" s="69" t="s">
        <v>1374</v>
      </c>
      <c r="E416" s="69" t="s">
        <v>4345</v>
      </c>
      <c r="F416" s="69" t="s">
        <v>2832</v>
      </c>
      <c r="G416" s="69">
        <v>46092</v>
      </c>
      <c r="H416" s="69" t="s">
        <v>1979</v>
      </c>
    </row>
    <row r="417" spans="1:8" ht="15" customHeight="1">
      <c r="A417" s="69"/>
      <c r="B417" s="69"/>
      <c r="C417" s="69"/>
      <c r="D417" s="69"/>
      <c r="E417" s="69"/>
      <c r="F417" s="69"/>
      <c r="G417" s="69"/>
      <c r="H417" s="69"/>
    </row>
    <row r="418" spans="1:8" ht="54" customHeight="1">
      <c r="A418" s="69" t="s">
        <v>4346</v>
      </c>
      <c r="B418" s="69"/>
      <c r="C418" s="69"/>
      <c r="D418" s="69"/>
      <c r="E418" s="69"/>
      <c r="F418" s="69"/>
      <c r="G418" s="69"/>
      <c r="H418" s="69"/>
    </row>
    <row r="419" spans="1:8" ht="27" customHeight="1">
      <c r="A419" s="69" t="s">
        <v>4347</v>
      </c>
      <c r="B419" s="69" t="s">
        <v>4348</v>
      </c>
      <c r="C419" s="69"/>
      <c r="D419" s="69"/>
      <c r="E419" s="69"/>
      <c r="F419" s="69"/>
      <c r="G419" s="69"/>
      <c r="H419" s="69"/>
    </row>
    <row r="420" spans="1:8" ht="27" customHeight="1">
      <c r="A420" s="69" t="s">
        <v>4349</v>
      </c>
      <c r="B420" s="69" t="s">
        <v>4350</v>
      </c>
      <c r="C420" s="69"/>
      <c r="D420" s="69"/>
      <c r="E420" s="69"/>
      <c r="F420" s="69"/>
      <c r="G420" s="69"/>
      <c r="H420" s="69"/>
    </row>
    <row r="421" spans="1:8" ht="40.5" customHeight="1">
      <c r="A421" s="69" t="s">
        <v>658</v>
      </c>
      <c r="B421" s="69" t="s">
        <v>4351</v>
      </c>
      <c r="C421" s="69"/>
      <c r="D421" s="69"/>
      <c r="E421" s="69"/>
      <c r="F421" s="69"/>
      <c r="G421" s="69"/>
      <c r="H421" s="69"/>
    </row>
    <row r="422" spans="1:8" ht="15" customHeight="1">
      <c r="A422" s="69" t="s">
        <v>522</v>
      </c>
      <c r="B422" s="69" t="s">
        <v>4352</v>
      </c>
      <c r="C422" s="69"/>
      <c r="D422" s="69"/>
      <c r="E422" s="69"/>
      <c r="F422" s="69"/>
      <c r="G422" s="69"/>
      <c r="H422" s="69"/>
    </row>
    <row r="423" spans="1:8" ht="40.5" customHeight="1">
      <c r="A423" s="69" t="s">
        <v>4353</v>
      </c>
      <c r="B423" s="69" t="s">
        <v>4354</v>
      </c>
      <c r="C423" s="69" t="s">
        <v>4355</v>
      </c>
      <c r="D423" s="69" t="s">
        <v>4356</v>
      </c>
      <c r="E423" s="69" t="s">
        <v>4357</v>
      </c>
      <c r="F423" s="69" t="s">
        <v>2832</v>
      </c>
      <c r="G423" s="69">
        <v>46092</v>
      </c>
      <c r="H423" s="69" t="s">
        <v>4358</v>
      </c>
    </row>
    <row r="424" spans="1:8" ht="15" customHeight="1">
      <c r="A424" s="69"/>
      <c r="B424" s="69"/>
      <c r="C424" s="69"/>
      <c r="D424" s="69"/>
      <c r="E424" s="69"/>
      <c r="F424" s="69"/>
      <c r="G424" s="69"/>
      <c r="H424" s="69"/>
    </row>
    <row r="425" spans="1:8" ht="67.5" customHeight="1">
      <c r="A425" s="69" t="s">
        <v>4359</v>
      </c>
      <c r="B425" s="69"/>
      <c r="C425" s="69"/>
      <c r="D425" s="69"/>
      <c r="E425" s="69"/>
      <c r="F425" s="69"/>
      <c r="G425" s="69"/>
      <c r="H425" s="69"/>
    </row>
    <row r="426" spans="1:8" ht="27" customHeight="1">
      <c r="A426" s="69" t="s">
        <v>4360</v>
      </c>
      <c r="B426" s="69" t="s">
        <v>4361</v>
      </c>
      <c r="C426" s="69"/>
      <c r="D426" s="69"/>
      <c r="E426" s="69"/>
      <c r="F426" s="69"/>
      <c r="G426" s="69"/>
      <c r="H426" s="69"/>
    </row>
    <row r="427" spans="1:8" ht="27" customHeight="1">
      <c r="A427" s="69" t="s">
        <v>4362</v>
      </c>
      <c r="B427" s="69" t="s">
        <v>4363</v>
      </c>
      <c r="C427" s="69"/>
      <c r="D427" s="69"/>
      <c r="E427" s="69"/>
      <c r="F427" s="69"/>
      <c r="G427" s="69"/>
      <c r="H427" s="69"/>
    </row>
    <row r="428" spans="1:8" ht="40.5" customHeight="1">
      <c r="A428" s="69" t="s">
        <v>4364</v>
      </c>
      <c r="B428" s="69" t="s">
        <v>4365</v>
      </c>
      <c r="C428" s="69"/>
      <c r="D428" s="69"/>
      <c r="E428" s="69"/>
      <c r="F428" s="69"/>
      <c r="G428" s="69"/>
      <c r="H428" s="69"/>
    </row>
    <row r="429" spans="1:8" ht="27" customHeight="1">
      <c r="A429" s="69" t="s">
        <v>4366</v>
      </c>
      <c r="B429" s="69" t="s">
        <v>4367</v>
      </c>
      <c r="C429" s="69" t="s">
        <v>4368</v>
      </c>
      <c r="D429" s="69" t="s">
        <v>4369</v>
      </c>
      <c r="E429" s="69" t="s">
        <v>4370</v>
      </c>
      <c r="F429" s="69" t="s">
        <v>2832</v>
      </c>
      <c r="G429" s="69">
        <v>46092</v>
      </c>
      <c r="H429" s="69" t="s">
        <v>4371</v>
      </c>
    </row>
    <row r="430" spans="1:8" ht="15" customHeight="1">
      <c r="A430" s="69"/>
      <c r="B430" s="69"/>
      <c r="C430" s="69"/>
      <c r="D430" s="69"/>
      <c r="E430" s="69"/>
      <c r="F430" s="69"/>
      <c r="G430" s="69"/>
      <c r="H430" s="69"/>
    </row>
    <row r="431" spans="1:8" ht="189" customHeight="1">
      <c r="A431" s="69" t="s">
        <v>4372</v>
      </c>
      <c r="B431" s="69"/>
      <c r="C431" s="69"/>
      <c r="D431" s="69"/>
      <c r="E431" s="69"/>
      <c r="F431" s="69"/>
      <c r="G431" s="69"/>
      <c r="H431" s="69"/>
    </row>
    <row r="432" spans="1:8" ht="94.5" customHeight="1">
      <c r="A432" s="90" t="s">
        <v>4373</v>
      </c>
      <c r="B432" s="69"/>
      <c r="C432" s="69"/>
      <c r="D432" s="69"/>
      <c r="E432" s="69"/>
      <c r="F432" s="69"/>
      <c r="G432" s="69"/>
      <c r="H432" s="69"/>
    </row>
    <row r="433" spans="1:8" ht="15" customHeight="1">
      <c r="A433" s="69" t="s">
        <v>4374</v>
      </c>
      <c r="B433" s="69" t="s">
        <v>4375</v>
      </c>
      <c r="C433" s="69" t="s">
        <v>4376</v>
      </c>
      <c r="D433" s="69" t="s">
        <v>2985</v>
      </c>
      <c r="E433" s="69" t="s">
        <v>4377</v>
      </c>
      <c r="F433" s="69" t="s">
        <v>2832</v>
      </c>
      <c r="G433" s="69">
        <v>46092</v>
      </c>
      <c r="H433" s="69" t="s">
        <v>4378</v>
      </c>
    </row>
    <row r="434" spans="1:8" ht="15" customHeight="1">
      <c r="A434" s="69" t="s">
        <v>4379</v>
      </c>
      <c r="B434" s="69" t="s">
        <v>4380</v>
      </c>
      <c r="C434" s="69" t="s">
        <v>4381</v>
      </c>
      <c r="D434" s="69" t="s">
        <v>2985</v>
      </c>
      <c r="E434" s="69" t="s">
        <v>4382</v>
      </c>
      <c r="F434" s="69" t="s">
        <v>2832</v>
      </c>
      <c r="G434" s="69">
        <v>46092</v>
      </c>
      <c r="H434" s="69" t="s">
        <v>1979</v>
      </c>
    </row>
    <row r="435" spans="1:8" ht="15" customHeight="1">
      <c r="A435" s="69" t="s">
        <v>4383</v>
      </c>
      <c r="B435" s="69" t="s">
        <v>4384</v>
      </c>
      <c r="C435" s="69" t="s">
        <v>4385</v>
      </c>
      <c r="D435" s="69" t="s">
        <v>2985</v>
      </c>
      <c r="E435" s="69" t="s">
        <v>4386</v>
      </c>
      <c r="F435" s="69" t="s">
        <v>2832</v>
      </c>
      <c r="G435" s="69">
        <v>46092</v>
      </c>
      <c r="H435" s="69" t="s">
        <v>1979</v>
      </c>
    </row>
    <row r="436" spans="1:8" ht="15" customHeight="1">
      <c r="A436" s="69" t="s">
        <v>4387</v>
      </c>
      <c r="B436" s="69" t="s">
        <v>4388</v>
      </c>
      <c r="C436" s="69" t="s">
        <v>4389</v>
      </c>
      <c r="D436" s="69" t="s">
        <v>2985</v>
      </c>
      <c r="E436" s="69" t="s">
        <v>4390</v>
      </c>
      <c r="F436" s="69" t="s">
        <v>2832</v>
      </c>
      <c r="G436" s="69">
        <v>46092</v>
      </c>
      <c r="H436" s="69" t="s">
        <v>1979</v>
      </c>
    </row>
    <row r="437" spans="1:8" ht="15" customHeight="1">
      <c r="A437" s="69" t="s">
        <v>4391</v>
      </c>
      <c r="B437" s="69" t="s">
        <v>4392</v>
      </c>
      <c r="C437" s="69" t="s">
        <v>4393</v>
      </c>
      <c r="D437" s="69" t="s">
        <v>4394</v>
      </c>
      <c r="E437" s="69" t="s">
        <v>4395</v>
      </c>
      <c r="F437" s="69" t="s">
        <v>2832</v>
      </c>
      <c r="G437" s="69">
        <v>46092</v>
      </c>
      <c r="H437" s="69" t="s">
        <v>1979</v>
      </c>
    </row>
    <row r="438" spans="1:8" ht="15" customHeight="1">
      <c r="A438" s="69" t="s">
        <v>4396</v>
      </c>
      <c r="B438" s="69" t="s">
        <v>4397</v>
      </c>
      <c r="C438" s="69" t="s">
        <v>4398</v>
      </c>
      <c r="D438" s="69" t="s">
        <v>4394</v>
      </c>
      <c r="E438" s="69" t="s">
        <v>4395</v>
      </c>
      <c r="F438" s="69" t="s">
        <v>2832</v>
      </c>
      <c r="G438" s="69">
        <v>46092</v>
      </c>
      <c r="H438" s="69" t="s">
        <v>1979</v>
      </c>
    </row>
    <row r="439" spans="1:8" ht="15" customHeight="1">
      <c r="A439" s="69" t="s">
        <v>4399</v>
      </c>
      <c r="B439" s="69" t="s">
        <v>4400</v>
      </c>
      <c r="C439" s="69" t="s">
        <v>4401</v>
      </c>
      <c r="D439" s="69" t="s">
        <v>4394</v>
      </c>
      <c r="E439" s="69" t="s">
        <v>4395</v>
      </c>
      <c r="F439" s="69" t="s">
        <v>2832</v>
      </c>
      <c r="G439" s="69">
        <v>46092</v>
      </c>
      <c r="H439" s="69" t="s">
        <v>1979</v>
      </c>
    </row>
    <row r="440" spans="1:8" ht="15" customHeight="1">
      <c r="A440" s="69" t="s">
        <v>4402</v>
      </c>
      <c r="B440" s="69" t="s">
        <v>4403</v>
      </c>
      <c r="C440" s="69" t="s">
        <v>4404</v>
      </c>
      <c r="D440" s="69" t="s">
        <v>4394</v>
      </c>
      <c r="E440" s="69" t="s">
        <v>4395</v>
      </c>
      <c r="F440" s="69" t="s">
        <v>2832</v>
      </c>
      <c r="G440" s="69">
        <v>46092</v>
      </c>
      <c r="H440" s="69" t="s">
        <v>1979</v>
      </c>
    </row>
    <row r="441" spans="1:8" ht="15" customHeight="1">
      <c r="A441" s="69" t="s">
        <v>4405</v>
      </c>
      <c r="B441" s="69" t="s">
        <v>4406</v>
      </c>
      <c r="C441" s="69" t="s">
        <v>4407</v>
      </c>
      <c r="D441" s="69" t="s">
        <v>4369</v>
      </c>
      <c r="E441" s="69" t="s">
        <v>4408</v>
      </c>
      <c r="F441" s="69" t="s">
        <v>2832</v>
      </c>
      <c r="G441" s="69">
        <v>46092</v>
      </c>
      <c r="H441" s="69" t="s">
        <v>1979</v>
      </c>
    </row>
    <row r="442" spans="1:8" ht="15" customHeight="1">
      <c r="A442" s="69" t="s">
        <v>4409</v>
      </c>
      <c r="B442" s="69" t="s">
        <v>4410</v>
      </c>
      <c r="C442" s="69" t="s">
        <v>4411</v>
      </c>
      <c r="D442" s="69" t="s">
        <v>4369</v>
      </c>
      <c r="E442" s="69" t="s">
        <v>4412</v>
      </c>
      <c r="F442" s="69" t="s">
        <v>2832</v>
      </c>
      <c r="G442" s="69">
        <v>46092</v>
      </c>
      <c r="H442" s="69" t="s">
        <v>1979</v>
      </c>
    </row>
    <row r="443" spans="1:8" ht="15" customHeight="1">
      <c r="A443" s="69" t="s">
        <v>4413</v>
      </c>
      <c r="B443" s="69" t="s">
        <v>4414</v>
      </c>
      <c r="C443" s="69" t="s">
        <v>4415</v>
      </c>
      <c r="D443" s="69" t="s">
        <v>4369</v>
      </c>
      <c r="E443" s="69" t="s">
        <v>4416</v>
      </c>
      <c r="F443" s="69" t="s">
        <v>2832</v>
      </c>
      <c r="G443" s="69">
        <v>46092</v>
      </c>
      <c r="H443" s="69" t="s">
        <v>1979</v>
      </c>
    </row>
    <row r="444" spans="1:8" ht="15" customHeight="1">
      <c r="A444" s="69" t="s">
        <v>4417</v>
      </c>
      <c r="B444" s="69" t="s">
        <v>4418</v>
      </c>
      <c r="C444" s="69" t="s">
        <v>4419</v>
      </c>
      <c r="D444" s="69" t="s">
        <v>4369</v>
      </c>
      <c r="E444" s="69" t="s">
        <v>4420</v>
      </c>
      <c r="F444" s="69" t="s">
        <v>2832</v>
      </c>
      <c r="G444" s="69">
        <v>46092</v>
      </c>
      <c r="H444" s="69" t="s">
        <v>1979</v>
      </c>
    </row>
    <row r="445" spans="1:8" ht="15" customHeight="1">
      <c r="A445" s="69" t="s">
        <v>4421</v>
      </c>
      <c r="B445" s="69" t="s">
        <v>4422</v>
      </c>
      <c r="C445" s="69" t="s">
        <v>4423</v>
      </c>
      <c r="D445" s="69" t="s">
        <v>4369</v>
      </c>
      <c r="E445" s="69" t="s">
        <v>4424</v>
      </c>
      <c r="F445" s="69" t="s">
        <v>2832</v>
      </c>
      <c r="G445" s="69">
        <v>46092</v>
      </c>
      <c r="H445" s="69" t="s">
        <v>1979</v>
      </c>
    </row>
    <row r="446" spans="1:8" ht="15" customHeight="1">
      <c r="A446" s="69" t="s">
        <v>4425</v>
      </c>
      <c r="B446" s="69" t="s">
        <v>4426</v>
      </c>
      <c r="C446" s="69" t="s">
        <v>4427</v>
      </c>
      <c r="D446" s="69" t="s">
        <v>4428</v>
      </c>
      <c r="E446" s="69" t="s">
        <v>4429</v>
      </c>
      <c r="F446" s="69" t="s">
        <v>2832</v>
      </c>
      <c r="G446" s="69">
        <v>46092</v>
      </c>
      <c r="H446" s="69" t="s">
        <v>488</v>
      </c>
    </row>
    <row r="447" spans="1:8" ht="15" customHeight="1">
      <c r="A447" s="69"/>
      <c r="B447" s="69"/>
      <c r="C447" s="69"/>
      <c r="D447" s="69"/>
      <c r="E447" s="69"/>
      <c r="F447" s="69"/>
      <c r="G447" s="69"/>
      <c r="H447" s="69"/>
    </row>
    <row r="448" spans="1:8" ht="67.5" customHeight="1">
      <c r="A448" s="90" t="s">
        <v>4430</v>
      </c>
      <c r="B448" s="69"/>
      <c r="C448" s="69"/>
      <c r="D448" s="69"/>
      <c r="E448" s="69"/>
      <c r="F448" s="69"/>
      <c r="G448" s="69"/>
      <c r="H448" s="69"/>
    </row>
    <row r="449" spans="1:8" ht="15" customHeight="1">
      <c r="A449" s="69" t="s">
        <v>38</v>
      </c>
      <c r="B449" s="69" t="s">
        <v>4431</v>
      </c>
      <c r="C449" s="69"/>
      <c r="D449" s="69"/>
      <c r="E449" s="69"/>
      <c r="F449" s="69"/>
      <c r="G449" s="69"/>
      <c r="H449" s="69"/>
    </row>
    <row r="450" spans="1:8" ht="15" customHeight="1">
      <c r="A450" s="69" t="s">
        <v>1909</v>
      </c>
      <c r="B450" s="69" t="s">
        <v>4432</v>
      </c>
      <c r="C450" s="69"/>
      <c r="D450" s="69"/>
      <c r="E450" s="69"/>
      <c r="F450" s="69"/>
      <c r="G450" s="69"/>
      <c r="H450" s="69"/>
    </row>
    <row r="451" spans="1:8" ht="15" customHeight="1">
      <c r="A451" s="69" t="s">
        <v>671</v>
      </c>
      <c r="B451" s="69" t="s">
        <v>4433</v>
      </c>
      <c r="C451" s="69"/>
      <c r="D451" s="69"/>
      <c r="E451" s="69"/>
      <c r="F451" s="69"/>
      <c r="G451" s="69"/>
      <c r="H451" s="69"/>
    </row>
    <row r="452" spans="1:8" ht="15" customHeight="1">
      <c r="A452" s="69"/>
      <c r="B452" s="69"/>
      <c r="C452" s="69"/>
      <c r="D452" s="69"/>
      <c r="E452" s="69"/>
      <c r="F452" s="69"/>
      <c r="G452" s="69"/>
      <c r="H452" s="69"/>
    </row>
    <row r="453" spans="1:8" ht="81" customHeight="1">
      <c r="A453" s="69" t="s">
        <v>4434</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4435</v>
      </c>
      <c r="B455" s="69"/>
      <c r="C455" s="69"/>
      <c r="D455" s="69"/>
      <c r="E455" s="69"/>
      <c r="F455" s="69"/>
      <c r="G455" s="69"/>
      <c r="H455" s="69"/>
    </row>
    <row r="456" spans="1:8" ht="15" customHeight="1">
      <c r="A456" s="69" t="s">
        <v>4436</v>
      </c>
      <c r="B456" s="69" t="s">
        <v>4437</v>
      </c>
      <c r="C456" s="69" t="s">
        <v>4438</v>
      </c>
      <c r="D456" s="69" t="s">
        <v>2062</v>
      </c>
      <c r="E456" s="69" t="s">
        <v>4439</v>
      </c>
      <c r="F456" s="69" t="s">
        <v>2832</v>
      </c>
      <c r="G456" s="69">
        <v>46092</v>
      </c>
      <c r="H456" s="69" t="s">
        <v>1979</v>
      </c>
    </row>
    <row r="457" spans="1:8" ht="15" customHeight="1">
      <c r="A457" s="69" t="s">
        <v>4440</v>
      </c>
      <c r="B457" s="69" t="s">
        <v>4441</v>
      </c>
      <c r="C457" s="69" t="s">
        <v>4442</v>
      </c>
      <c r="D457" s="69" t="s">
        <v>4443</v>
      </c>
      <c r="E457" s="69" t="s">
        <v>4444</v>
      </c>
      <c r="F457" s="69" t="s">
        <v>2832</v>
      </c>
      <c r="G457" s="69">
        <v>46092</v>
      </c>
      <c r="H457" s="69" t="s">
        <v>4445</v>
      </c>
    </row>
    <row r="458" spans="1:8" ht="15" customHeight="1">
      <c r="A458" s="69" t="s">
        <v>4446</v>
      </c>
      <c r="B458" s="69" t="s">
        <v>4447</v>
      </c>
      <c r="C458" s="69" t="s">
        <v>4448</v>
      </c>
      <c r="D458" s="69" t="s">
        <v>4449</v>
      </c>
      <c r="E458" s="69" t="s">
        <v>4450</v>
      </c>
      <c r="F458" s="69" t="s">
        <v>2832</v>
      </c>
      <c r="G458" s="69">
        <v>46092</v>
      </c>
      <c r="H458" s="69" t="s">
        <v>2941</v>
      </c>
    </row>
    <row r="459" spans="1:8" ht="15" customHeight="1">
      <c r="A459" s="69" t="s">
        <v>4451</v>
      </c>
      <c r="B459" s="69" t="s">
        <v>4452</v>
      </c>
      <c r="C459" s="69" t="s">
        <v>4453</v>
      </c>
      <c r="D459" s="69" t="s">
        <v>4449</v>
      </c>
      <c r="E459" s="69" t="s">
        <v>4454</v>
      </c>
      <c r="F459" s="69" t="s">
        <v>2832</v>
      </c>
      <c r="G459" s="69">
        <v>46092</v>
      </c>
      <c r="H459" s="69" t="s">
        <v>2941</v>
      </c>
    </row>
    <row r="460" spans="1:8" ht="15" customHeight="1">
      <c r="A460" s="69"/>
      <c r="B460" s="69"/>
      <c r="C460" s="69"/>
      <c r="D460" s="69"/>
      <c r="E460" s="69"/>
      <c r="F460" s="69"/>
      <c r="G460" s="69"/>
      <c r="H460" s="69"/>
    </row>
    <row r="461" spans="1:8" ht="54" customHeight="1">
      <c r="A461" s="90" t="s">
        <v>4455</v>
      </c>
      <c r="B461" s="69"/>
      <c r="C461" s="69"/>
      <c r="D461" s="69"/>
      <c r="E461" s="69"/>
      <c r="F461" s="69"/>
      <c r="G461" s="69"/>
      <c r="H461" s="69"/>
    </row>
    <row r="462" spans="1:8" ht="229.5" customHeight="1">
      <c r="A462" s="69" t="s">
        <v>4456</v>
      </c>
      <c r="B462" s="69"/>
      <c r="C462" s="69"/>
      <c r="D462" s="69"/>
      <c r="E462" s="69"/>
      <c r="F462" s="69"/>
      <c r="G462" s="69"/>
      <c r="H462" s="69"/>
    </row>
    <row r="463" spans="1:8" ht="15" customHeight="1">
      <c r="A463" s="69" t="s">
        <v>4457</v>
      </c>
      <c r="B463" s="69" t="s">
        <v>4458</v>
      </c>
      <c r="C463" s="69" t="s">
        <v>4459</v>
      </c>
      <c r="D463" s="69" t="s">
        <v>1327</v>
      </c>
      <c r="E463" s="69" t="s">
        <v>4460</v>
      </c>
      <c r="F463" s="69" t="s">
        <v>2832</v>
      </c>
      <c r="G463" s="69">
        <v>46092</v>
      </c>
      <c r="H463" s="69" t="s">
        <v>1979</v>
      </c>
    </row>
    <row r="464" spans="1:8" ht="15" customHeight="1">
      <c r="A464" s="69" t="s">
        <v>4461</v>
      </c>
      <c r="B464" s="69" t="s">
        <v>4462</v>
      </c>
      <c r="C464" s="69" t="s">
        <v>4463</v>
      </c>
      <c r="D464" s="69" t="s">
        <v>1327</v>
      </c>
      <c r="E464" s="69" t="s">
        <v>4464</v>
      </c>
      <c r="F464" s="69" t="s">
        <v>2832</v>
      </c>
      <c r="G464" s="69">
        <v>46092</v>
      </c>
      <c r="H464" s="69" t="s">
        <v>1979</v>
      </c>
    </row>
    <row r="465" spans="1:8" ht="15" customHeight="1">
      <c r="A465" s="69"/>
      <c r="B465" s="69"/>
      <c r="C465" s="69"/>
      <c r="D465" s="69"/>
      <c r="E465" s="69"/>
      <c r="F465" s="69"/>
      <c r="G465" s="69"/>
      <c r="H465" s="69"/>
    </row>
    <row r="466" spans="1:8" ht="40.5" customHeight="1">
      <c r="A466" s="90" t="s">
        <v>4465</v>
      </c>
      <c r="B466" s="69"/>
      <c r="C466" s="69"/>
      <c r="D466" s="69"/>
      <c r="E466" s="69"/>
      <c r="F466" s="69"/>
      <c r="G466" s="69"/>
      <c r="H466" s="69"/>
    </row>
    <row r="467" spans="1:8" ht="27" customHeight="1">
      <c r="A467" s="69" t="s">
        <v>4466</v>
      </c>
      <c r="B467" s="69" t="s">
        <v>4467</v>
      </c>
      <c r="C467" s="69"/>
      <c r="D467" s="69"/>
      <c r="E467" s="69"/>
      <c r="F467" s="69"/>
      <c r="G467" s="69"/>
      <c r="H467" s="69"/>
    </row>
    <row r="468" spans="1:8" ht="27" customHeight="1">
      <c r="A468" s="69" t="s">
        <v>4468</v>
      </c>
      <c r="B468" s="69" t="s">
        <v>4469</v>
      </c>
      <c r="C468" s="69"/>
      <c r="D468" s="69"/>
      <c r="E468" s="69"/>
      <c r="F468" s="69"/>
      <c r="G468" s="69"/>
      <c r="H468" s="69"/>
    </row>
    <row r="469" spans="1:8" ht="15" customHeight="1">
      <c r="A469" s="69" t="s">
        <v>4470</v>
      </c>
      <c r="B469" s="69" t="s">
        <v>4471</v>
      </c>
      <c r="C469" s="69"/>
      <c r="D469" s="69"/>
      <c r="E469" s="69"/>
      <c r="F469" s="69"/>
      <c r="G469" s="69"/>
      <c r="H469" s="69"/>
    </row>
    <row r="470" spans="1:8" ht="27" customHeight="1">
      <c r="A470" s="69" t="s">
        <v>4472</v>
      </c>
      <c r="B470" s="69" t="s">
        <v>4473</v>
      </c>
      <c r="C470" s="69"/>
      <c r="D470" s="69"/>
      <c r="E470" s="69"/>
      <c r="F470" s="69"/>
      <c r="G470" s="69"/>
      <c r="H470" s="69"/>
    </row>
    <row r="471" spans="1:8" ht="15" customHeight="1">
      <c r="A471" s="69" t="s">
        <v>3665</v>
      </c>
      <c r="B471" s="237" t="s">
        <v>4474</v>
      </c>
      <c r="C471" s="69"/>
      <c r="D471" s="69"/>
      <c r="E471" s="69"/>
      <c r="F471" s="69"/>
      <c r="G471" s="69"/>
      <c r="H471" s="69"/>
    </row>
    <row r="472" spans="1:8" ht="15" customHeight="1">
      <c r="A472" s="69" t="s">
        <v>4475</v>
      </c>
      <c r="B472" s="69" t="s">
        <v>4476</v>
      </c>
      <c r="C472" s="69" t="s">
        <v>4477</v>
      </c>
      <c r="D472" s="69" t="s">
        <v>1327</v>
      </c>
      <c r="E472" s="69" t="s">
        <v>4478</v>
      </c>
      <c r="F472" s="69" t="s">
        <v>2832</v>
      </c>
      <c r="G472" s="69">
        <v>46092</v>
      </c>
      <c r="H472" s="69" t="s">
        <v>4479</v>
      </c>
    </row>
    <row r="473" spans="1:8" ht="15" customHeight="1">
      <c r="A473" s="69"/>
      <c r="B473" s="69"/>
      <c r="C473" s="69"/>
      <c r="D473" s="69"/>
      <c r="E473" s="69"/>
      <c r="F473" s="69"/>
      <c r="G473" s="69"/>
      <c r="H473" s="69"/>
    </row>
    <row r="474" spans="1:8" ht="54" customHeight="1">
      <c r="A474" s="90" t="s">
        <v>4480</v>
      </c>
      <c r="B474" s="69"/>
      <c r="C474" s="69"/>
      <c r="D474" s="69"/>
      <c r="E474" s="69"/>
      <c r="F474" s="69"/>
      <c r="G474" s="69"/>
      <c r="H474" s="69"/>
    </row>
    <row r="475" spans="1:8" ht="15" customHeight="1">
      <c r="A475" s="69">
        <v>1</v>
      </c>
      <c r="B475" s="69" t="s">
        <v>4481</v>
      </c>
      <c r="C475" s="69"/>
      <c r="D475" s="69"/>
      <c r="E475" s="69"/>
      <c r="F475" s="69"/>
      <c r="G475" s="69"/>
      <c r="H475" s="69"/>
    </row>
    <row r="476" spans="1:8" ht="15" customHeight="1">
      <c r="A476" s="69">
        <v>2</v>
      </c>
      <c r="B476" s="237" t="s">
        <v>4482</v>
      </c>
      <c r="C476" s="69"/>
      <c r="D476" s="69"/>
      <c r="E476" s="69"/>
      <c r="F476" s="69"/>
      <c r="G476" s="69"/>
      <c r="H476" s="69"/>
    </row>
    <row r="477" spans="1:8" ht="15" customHeight="1">
      <c r="A477" s="69">
        <v>3</v>
      </c>
      <c r="B477" s="69" t="s">
        <v>4483</v>
      </c>
      <c r="C477" s="69"/>
      <c r="D477" s="69"/>
      <c r="E477" s="69"/>
      <c r="F477" s="69"/>
      <c r="G477" s="69"/>
      <c r="H477" s="69"/>
    </row>
    <row r="478" spans="1:8" ht="15" customHeight="1">
      <c r="A478" s="69">
        <v>4</v>
      </c>
      <c r="B478" s="69" t="s">
        <v>4484</v>
      </c>
      <c r="C478" s="69"/>
      <c r="D478" s="69"/>
      <c r="E478" s="69"/>
      <c r="F478" s="69"/>
      <c r="G478" s="69"/>
      <c r="H478" s="69"/>
    </row>
    <row r="479" spans="1:8" ht="15" customHeight="1">
      <c r="A479" s="69" t="s">
        <v>4485</v>
      </c>
      <c r="B479" s="69" t="s">
        <v>4486</v>
      </c>
      <c r="C479" s="69"/>
      <c r="D479" s="69"/>
      <c r="E479" s="69"/>
      <c r="F479" s="69"/>
      <c r="G479" s="69"/>
      <c r="H479" s="69"/>
    </row>
    <row r="480" spans="1:8" ht="15" customHeight="1">
      <c r="A480" s="69"/>
      <c r="B480" s="69"/>
      <c r="C480" s="69"/>
      <c r="D480" s="69"/>
      <c r="E480" s="69"/>
      <c r="F480" s="69"/>
      <c r="G480" s="69"/>
      <c r="H480" s="69"/>
    </row>
    <row r="481" spans="1:8" ht="67.5" customHeight="1">
      <c r="A481" s="90" t="s">
        <v>4487</v>
      </c>
      <c r="B481" s="69"/>
      <c r="C481" s="69"/>
      <c r="D481" s="69"/>
      <c r="E481" s="69"/>
      <c r="F481" s="69"/>
      <c r="G481" s="69"/>
      <c r="H481" s="69"/>
    </row>
    <row r="482" spans="1:8" ht="15" customHeight="1">
      <c r="A482" s="69" t="s">
        <v>4488</v>
      </c>
      <c r="B482" s="69" t="s">
        <v>4489</v>
      </c>
      <c r="C482" s="69" t="s">
        <v>4490</v>
      </c>
      <c r="D482" s="69" t="s">
        <v>4369</v>
      </c>
      <c r="E482" s="69" t="s">
        <v>4491</v>
      </c>
      <c r="F482" s="69" t="s">
        <v>2832</v>
      </c>
      <c r="G482" s="69">
        <v>46092</v>
      </c>
      <c r="H482" s="69" t="s">
        <v>4492</v>
      </c>
    </row>
    <row r="483" spans="1:8" ht="15" customHeight="1">
      <c r="A483" s="69" t="s">
        <v>4493</v>
      </c>
      <c r="B483" s="69" t="s">
        <v>4494</v>
      </c>
      <c r="C483" s="69" t="s">
        <v>4495</v>
      </c>
      <c r="D483" s="69" t="s">
        <v>4369</v>
      </c>
      <c r="E483" s="69" t="s">
        <v>4496</v>
      </c>
      <c r="F483" s="69" t="s">
        <v>2832</v>
      </c>
      <c r="G483" s="69">
        <v>46092</v>
      </c>
      <c r="H483" s="69" t="s">
        <v>1979</v>
      </c>
    </row>
    <row r="484" spans="1:8" ht="15" customHeight="1">
      <c r="A484" s="69" t="s">
        <v>4497</v>
      </c>
      <c r="B484" s="69" t="s">
        <v>4498</v>
      </c>
      <c r="C484" s="69" t="s">
        <v>4499</v>
      </c>
      <c r="D484" s="69" t="s">
        <v>4369</v>
      </c>
      <c r="E484" s="69" t="s">
        <v>4500</v>
      </c>
      <c r="F484" s="69" t="s">
        <v>2832</v>
      </c>
      <c r="G484" s="69">
        <v>46092</v>
      </c>
      <c r="H484" s="69" t="s">
        <v>1979</v>
      </c>
    </row>
    <row r="485" spans="1:8" ht="15" customHeight="1">
      <c r="A485" s="69" t="s">
        <v>4501</v>
      </c>
      <c r="B485" s="69" t="s">
        <v>4502</v>
      </c>
      <c r="C485" s="69" t="s">
        <v>4503</v>
      </c>
      <c r="D485" s="69" t="s">
        <v>2021</v>
      </c>
      <c r="E485" s="69" t="s">
        <v>4504</v>
      </c>
      <c r="F485" s="69" t="s">
        <v>2832</v>
      </c>
      <c r="G485" s="69">
        <v>46092</v>
      </c>
      <c r="H485" s="69" t="s">
        <v>1979</v>
      </c>
    </row>
    <row r="486" spans="1:8" ht="27" customHeight="1">
      <c r="A486" s="69" t="s">
        <v>4505</v>
      </c>
      <c r="B486" s="69" t="s">
        <v>4506</v>
      </c>
      <c r="C486" s="69" t="s">
        <v>4507</v>
      </c>
      <c r="D486" s="69" t="s">
        <v>3134</v>
      </c>
      <c r="E486" s="69" t="s">
        <v>4508</v>
      </c>
      <c r="F486" s="69" t="s">
        <v>2832</v>
      </c>
      <c r="G486" s="69">
        <v>46092</v>
      </c>
      <c r="H486" s="69" t="s">
        <v>4509</v>
      </c>
    </row>
    <row r="487" spans="1:8" ht="15" customHeight="1">
      <c r="A487" s="69"/>
      <c r="B487" s="69"/>
      <c r="C487" s="69"/>
      <c r="D487" s="69"/>
      <c r="E487" s="69"/>
      <c r="F487" s="69"/>
      <c r="G487" s="69"/>
      <c r="H487" s="69"/>
    </row>
    <row r="488" spans="1:8" ht="162" customHeight="1">
      <c r="A488" s="69" t="s">
        <v>4510</v>
      </c>
      <c r="B488" s="69"/>
      <c r="C488" s="69"/>
      <c r="D488" s="69"/>
      <c r="E488" s="69"/>
      <c r="F488" s="69"/>
      <c r="G488" s="69"/>
      <c r="H488" s="69"/>
    </row>
    <row r="489" spans="1:8" ht="175.5" customHeight="1">
      <c r="A489" s="69" t="s">
        <v>4511</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4512</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4513</v>
      </c>
      <c r="B493" s="69" t="s">
        <v>4514</v>
      </c>
      <c r="C493" s="69" t="s">
        <v>4515</v>
      </c>
      <c r="D493" s="69" t="s">
        <v>4516</v>
      </c>
      <c r="E493" s="69" t="s">
        <v>4517</v>
      </c>
      <c r="F493" s="69" t="s">
        <v>2832</v>
      </c>
      <c r="G493" s="69">
        <v>46092</v>
      </c>
      <c r="H493" s="69" t="s">
        <v>1979</v>
      </c>
    </row>
    <row r="494" spans="1:8" ht="15" customHeight="1">
      <c r="A494" s="69"/>
      <c r="B494" s="69"/>
      <c r="C494" s="69"/>
      <c r="D494" s="69"/>
      <c r="E494" s="69"/>
      <c r="F494" s="69"/>
      <c r="G494" s="69"/>
      <c r="H494" s="69"/>
    </row>
    <row r="495" spans="1:8" ht="94.5" customHeight="1">
      <c r="A495" s="90" t="s">
        <v>4518</v>
      </c>
      <c r="B495" s="69"/>
      <c r="C495" s="69"/>
      <c r="D495" s="69"/>
      <c r="E495" s="69"/>
      <c r="F495" s="69"/>
      <c r="G495" s="69"/>
      <c r="H495" s="69"/>
    </row>
    <row r="496" spans="1:8" ht="27" customHeight="1">
      <c r="A496" s="69">
        <v>1</v>
      </c>
      <c r="B496" s="69" t="s">
        <v>4519</v>
      </c>
      <c r="C496" s="69"/>
      <c r="D496" s="69"/>
      <c r="E496" s="69"/>
      <c r="F496" s="69"/>
      <c r="G496" s="69"/>
      <c r="H496" s="69"/>
    </row>
    <row r="497" spans="1:8" ht="27" customHeight="1">
      <c r="A497" s="69">
        <v>2</v>
      </c>
      <c r="B497" s="69" t="s">
        <v>4520</v>
      </c>
      <c r="C497" s="69"/>
      <c r="D497" s="69"/>
      <c r="E497" s="69"/>
      <c r="F497" s="69"/>
      <c r="G497" s="69"/>
      <c r="H497" s="69"/>
    </row>
    <row r="498" spans="1:8" ht="27" customHeight="1">
      <c r="A498" s="69">
        <v>3</v>
      </c>
      <c r="B498" s="69" t="s">
        <v>4521</v>
      </c>
      <c r="C498" s="69"/>
      <c r="D498" s="69"/>
      <c r="E498" s="69"/>
      <c r="F498" s="69"/>
      <c r="G498" s="69"/>
      <c r="H498" s="69"/>
    </row>
    <row r="499" spans="1:8" ht="27" customHeight="1">
      <c r="A499" s="69">
        <v>4</v>
      </c>
      <c r="B499" s="69" t="s">
        <v>4522</v>
      </c>
      <c r="C499" s="69"/>
      <c r="D499" s="69"/>
      <c r="E499" s="69"/>
      <c r="F499" s="69"/>
      <c r="G499" s="69"/>
      <c r="H499" s="69"/>
    </row>
    <row r="500" spans="1:8" ht="27" customHeight="1">
      <c r="A500" s="69">
        <v>5</v>
      </c>
      <c r="B500" s="69" t="s">
        <v>4523</v>
      </c>
      <c r="C500" s="69"/>
      <c r="D500" s="69"/>
      <c r="E500" s="69"/>
      <c r="F500" s="69"/>
      <c r="G500" s="69"/>
      <c r="H500" s="69"/>
    </row>
    <row r="501" spans="1:8" ht="15" customHeight="1">
      <c r="A501" s="69"/>
      <c r="B501" s="69"/>
      <c r="C501" s="69"/>
      <c r="D501" s="69"/>
      <c r="E501" s="69"/>
      <c r="F501" s="69"/>
      <c r="G501" s="69"/>
      <c r="H501" s="69"/>
    </row>
    <row r="502" spans="1:8" ht="67.5" customHeight="1">
      <c r="A502" s="90" t="s">
        <v>4524</v>
      </c>
      <c r="B502" s="69"/>
      <c r="C502" s="69"/>
      <c r="D502" s="69"/>
      <c r="E502" s="69"/>
      <c r="F502" s="69"/>
      <c r="G502" s="69"/>
      <c r="H502" s="69"/>
    </row>
    <row r="503" spans="1:8" ht="15" customHeight="1">
      <c r="A503" s="69" t="s">
        <v>324</v>
      </c>
      <c r="B503" s="69" t="s">
        <v>4525</v>
      </c>
      <c r="C503" s="69"/>
      <c r="D503" s="69"/>
      <c r="E503" s="69"/>
      <c r="F503" s="69"/>
      <c r="G503" s="69"/>
      <c r="H503" s="69"/>
    </row>
    <row r="504" spans="1:8" ht="27" customHeight="1">
      <c r="A504" s="69" t="s">
        <v>671</v>
      </c>
      <c r="B504" s="69" t="s">
        <v>4526</v>
      </c>
      <c r="C504" s="69"/>
      <c r="D504" s="69"/>
      <c r="E504" s="69"/>
      <c r="F504" s="69"/>
      <c r="G504" s="69"/>
      <c r="H504" s="69"/>
    </row>
    <row r="505" spans="1:8" ht="15" customHeight="1">
      <c r="A505" s="69"/>
      <c r="B505" s="69"/>
      <c r="C505" s="69"/>
      <c r="D505" s="69"/>
      <c r="E505" s="69"/>
      <c r="F505" s="69"/>
      <c r="G505" s="69"/>
      <c r="H505" s="69"/>
    </row>
    <row r="506" spans="1:8" ht="94.5" customHeight="1">
      <c r="A506" s="69" t="s">
        <v>4527</v>
      </c>
      <c r="B506" s="69"/>
      <c r="C506" s="69" t="s">
        <v>4528</v>
      </c>
      <c r="D506" s="69"/>
      <c r="E506" s="69"/>
      <c r="F506" s="69"/>
      <c r="G506" s="69"/>
      <c r="H506" s="69"/>
    </row>
    <row r="507" spans="1:8" ht="40.5" customHeight="1">
      <c r="A507" s="69" t="s">
        <v>4529</v>
      </c>
      <c r="B507" s="69" t="s">
        <v>4530</v>
      </c>
      <c r="C507" s="69" t="s">
        <v>4531</v>
      </c>
      <c r="D507" s="69" t="s">
        <v>4532</v>
      </c>
      <c r="E507" s="69" t="s">
        <v>4533</v>
      </c>
      <c r="F507" s="69" t="s">
        <v>2836</v>
      </c>
      <c r="G507" s="69">
        <v>46092</v>
      </c>
      <c r="H507" s="69"/>
    </row>
    <row r="508" spans="1:8" ht="40.5" customHeight="1">
      <c r="A508" s="69" t="s">
        <v>4534</v>
      </c>
      <c r="B508" s="69" t="s">
        <v>4535</v>
      </c>
      <c r="C508" s="69" t="s">
        <v>4536</v>
      </c>
      <c r="D508" s="69" t="s">
        <v>1327</v>
      </c>
      <c r="E508" s="69" t="s">
        <v>4537</v>
      </c>
      <c r="F508" s="69" t="s">
        <v>2836</v>
      </c>
      <c r="G508" s="69">
        <v>46092</v>
      </c>
      <c r="H508" s="69"/>
    </row>
    <row r="509" spans="1:8" ht="15" customHeight="1">
      <c r="A509" s="69" t="s">
        <v>4538</v>
      </c>
      <c r="B509" s="69" t="s">
        <v>4539</v>
      </c>
      <c r="C509" s="69" t="s">
        <v>4540</v>
      </c>
      <c r="D509" s="69" t="s">
        <v>4541</v>
      </c>
      <c r="E509" s="69" t="s">
        <v>4542</v>
      </c>
      <c r="F509" s="69" t="s">
        <v>2836</v>
      </c>
      <c r="G509" s="69">
        <v>46092</v>
      </c>
      <c r="H509" s="69"/>
    </row>
    <row r="510" spans="1:8" ht="15" customHeight="1">
      <c r="A510" s="69"/>
      <c r="B510" s="69"/>
      <c r="C510" s="69"/>
      <c r="D510" s="69"/>
      <c r="E510" s="69"/>
      <c r="F510" s="69"/>
      <c r="G510" s="69"/>
      <c r="H510" s="69"/>
    </row>
    <row r="511" spans="1:8" ht="67.5" customHeight="1">
      <c r="A511" s="69" t="s">
        <v>4543</v>
      </c>
      <c r="B511" s="69"/>
      <c r="C511" s="69"/>
      <c r="D511" s="69"/>
      <c r="E511" s="69"/>
      <c r="F511" s="69"/>
      <c r="G511" s="69"/>
      <c r="H511" s="69"/>
    </row>
    <row r="512" spans="1:8" ht="27" customHeight="1">
      <c r="A512" s="69">
        <v>1</v>
      </c>
      <c r="B512" s="69" t="s">
        <v>4544</v>
      </c>
      <c r="C512" s="69"/>
      <c r="D512" s="69"/>
      <c r="E512" s="69"/>
      <c r="F512" s="69"/>
      <c r="G512" s="69"/>
      <c r="H512" s="69"/>
    </row>
    <row r="513" spans="1:8" ht="15" customHeight="1">
      <c r="A513" s="69"/>
      <c r="B513" s="69"/>
      <c r="C513" s="69"/>
      <c r="D513" s="69"/>
      <c r="E513" s="69"/>
      <c r="F513" s="69"/>
      <c r="G513" s="69"/>
      <c r="H513" s="69"/>
    </row>
    <row r="514" spans="1:8" ht="27" customHeight="1">
      <c r="A514" s="69" t="s">
        <v>4545</v>
      </c>
      <c r="B514" s="69" t="s">
        <v>4546</v>
      </c>
      <c r="C514" s="69"/>
      <c r="D514" s="69"/>
      <c r="E514" s="69"/>
      <c r="F514" s="69"/>
      <c r="G514" s="69"/>
      <c r="H514" s="69"/>
    </row>
    <row r="515" spans="1:8" ht="27" customHeight="1">
      <c r="A515" s="69" t="s">
        <v>4547</v>
      </c>
      <c r="B515" s="69" t="s">
        <v>4548</v>
      </c>
      <c r="C515" s="69" t="s">
        <v>4549</v>
      </c>
      <c r="D515" s="69" t="s">
        <v>1327</v>
      </c>
      <c r="E515" s="69" t="s">
        <v>4550</v>
      </c>
      <c r="F515" s="69" t="s">
        <v>2836</v>
      </c>
      <c r="G515" s="69">
        <v>46092</v>
      </c>
      <c r="H515" s="69"/>
    </row>
    <row r="516" spans="1:8" ht="15" customHeight="1">
      <c r="A516" s="69" t="s">
        <v>4551</v>
      </c>
      <c r="B516" s="69" t="s">
        <v>4539</v>
      </c>
      <c r="C516" s="69" t="s">
        <v>4552</v>
      </c>
      <c r="D516" s="69" t="s">
        <v>4541</v>
      </c>
      <c r="E516" s="69" t="s">
        <v>4553</v>
      </c>
      <c r="F516" s="69" t="s">
        <v>2836</v>
      </c>
      <c r="G516" s="69">
        <v>46092</v>
      </c>
      <c r="H516" s="69"/>
    </row>
    <row r="517" spans="1:8" ht="15" customHeight="1">
      <c r="A517" s="69"/>
      <c r="B517" s="69"/>
      <c r="C517" s="69"/>
      <c r="D517" s="69"/>
      <c r="E517" s="69"/>
      <c r="F517" s="69"/>
      <c r="G517" s="69"/>
      <c r="H517" s="69"/>
    </row>
    <row r="518" spans="1:8" ht="27" customHeight="1">
      <c r="A518" s="69"/>
      <c r="B518" s="69" t="s">
        <v>4554</v>
      </c>
      <c r="C518" s="69"/>
      <c r="D518" s="69"/>
      <c r="E518" s="69"/>
      <c r="F518" s="69"/>
      <c r="G518" s="69"/>
      <c r="H518" s="69"/>
    </row>
    <row r="519" spans="1:8" ht="27" customHeight="1">
      <c r="A519" s="69" t="s">
        <v>4555</v>
      </c>
      <c r="B519" s="69" t="s">
        <v>4556</v>
      </c>
      <c r="C519" s="69" t="s">
        <v>4557</v>
      </c>
      <c r="D519" s="69" t="s">
        <v>1327</v>
      </c>
      <c r="E519" s="69" t="s">
        <v>4558</v>
      </c>
      <c r="F519" s="69" t="s">
        <v>2836</v>
      </c>
      <c r="G519" s="69">
        <v>46092</v>
      </c>
      <c r="H519" s="69"/>
    </row>
    <row r="520" spans="1:8" ht="27" customHeight="1">
      <c r="A520" s="69" t="s">
        <v>4559</v>
      </c>
      <c r="B520" s="69" t="s">
        <v>4560</v>
      </c>
      <c r="C520" s="69" t="s">
        <v>4561</v>
      </c>
      <c r="D520" s="69" t="s">
        <v>1327</v>
      </c>
      <c r="E520" s="69" t="s">
        <v>4562</v>
      </c>
      <c r="F520" s="69" t="s">
        <v>2836</v>
      </c>
      <c r="G520" s="69">
        <v>46092</v>
      </c>
      <c r="H520" s="69"/>
    </row>
    <row r="521" spans="1:8" ht="27" customHeight="1">
      <c r="A521" s="69" t="s">
        <v>4563</v>
      </c>
      <c r="B521" s="69" t="s">
        <v>4564</v>
      </c>
      <c r="C521" s="69" t="s">
        <v>4565</v>
      </c>
      <c r="D521" s="69" t="s">
        <v>1327</v>
      </c>
      <c r="E521" s="69" t="s">
        <v>4566</v>
      </c>
      <c r="F521" s="69" t="s">
        <v>2836</v>
      </c>
      <c r="G521" s="69">
        <v>46092</v>
      </c>
      <c r="H521" s="69"/>
    </row>
    <row r="522" spans="1:8" ht="27" customHeight="1">
      <c r="A522" s="69" t="s">
        <v>4567</v>
      </c>
      <c r="B522" s="69" t="s">
        <v>4568</v>
      </c>
      <c r="C522" s="69" t="s">
        <v>4569</v>
      </c>
      <c r="D522" s="69" t="s">
        <v>4570</v>
      </c>
      <c r="E522" s="69" t="s">
        <v>4571</v>
      </c>
      <c r="F522" s="69" t="s">
        <v>2836</v>
      </c>
      <c r="G522" s="69">
        <v>46092</v>
      </c>
      <c r="H522" s="69"/>
    </row>
    <row r="523" spans="1:8" ht="27" customHeight="1">
      <c r="A523" s="69" t="s">
        <v>4572</v>
      </c>
      <c r="B523" s="69" t="s">
        <v>4573</v>
      </c>
      <c r="C523" s="69" t="s">
        <v>4574</v>
      </c>
      <c r="D523" s="69" t="s">
        <v>4570</v>
      </c>
      <c r="E523" s="69" t="s">
        <v>4575</v>
      </c>
      <c r="F523" s="69" t="s">
        <v>2836</v>
      </c>
      <c r="G523" s="69">
        <v>46092</v>
      </c>
      <c r="H523" s="69"/>
    </row>
    <row r="524" spans="1:8" ht="27" customHeight="1">
      <c r="A524" s="69" t="s">
        <v>4576</v>
      </c>
      <c r="B524" s="69" t="s">
        <v>4577</v>
      </c>
      <c r="C524" s="69" t="s">
        <v>4578</v>
      </c>
      <c r="D524" s="69" t="s">
        <v>1327</v>
      </c>
      <c r="E524" s="69" t="s">
        <v>4579</v>
      </c>
      <c r="F524" s="69" t="s">
        <v>2836</v>
      </c>
      <c r="G524" s="69">
        <v>46092</v>
      </c>
      <c r="H524" s="69"/>
    </row>
    <row r="525" spans="1:8" ht="40.5" customHeight="1">
      <c r="A525" s="69" t="s">
        <v>4580</v>
      </c>
      <c r="B525" s="69" t="s">
        <v>4581</v>
      </c>
      <c r="C525" s="69" t="s">
        <v>4582</v>
      </c>
      <c r="D525" s="69" t="s">
        <v>1327</v>
      </c>
      <c r="E525" s="69" t="s">
        <v>4583</v>
      </c>
      <c r="F525" s="69" t="s">
        <v>2836</v>
      </c>
      <c r="G525" s="69">
        <v>46092</v>
      </c>
      <c r="H525" s="69"/>
    </row>
    <row r="526" spans="1:8" ht="40.5" customHeight="1">
      <c r="A526" s="69" t="s">
        <v>4584</v>
      </c>
      <c r="B526" s="69" t="s">
        <v>4585</v>
      </c>
      <c r="C526" s="69" t="s">
        <v>4586</v>
      </c>
      <c r="D526" s="69" t="s">
        <v>1374</v>
      </c>
      <c r="E526" s="69" t="s">
        <v>4587</v>
      </c>
      <c r="F526" s="69" t="s">
        <v>2836</v>
      </c>
      <c r="G526" s="69">
        <v>46092</v>
      </c>
      <c r="H526" s="69"/>
    </row>
    <row r="527" spans="1:8" ht="15" customHeight="1">
      <c r="A527" s="69"/>
      <c r="B527" s="69"/>
      <c r="C527" s="69"/>
      <c r="D527" s="69"/>
      <c r="E527" s="69"/>
      <c r="F527" s="69"/>
      <c r="G527" s="69"/>
      <c r="H527" s="69"/>
    </row>
    <row r="528" spans="1:8" ht="81" customHeight="1">
      <c r="A528" s="69" t="s">
        <v>4588</v>
      </c>
      <c r="B528" s="69"/>
      <c r="C528" s="69"/>
      <c r="D528" s="69"/>
      <c r="E528" s="69"/>
      <c r="F528" s="69"/>
      <c r="G528" s="69"/>
      <c r="H528" s="69"/>
    </row>
    <row r="529" spans="1:8" ht="27" customHeight="1">
      <c r="A529" s="69" t="s">
        <v>4589</v>
      </c>
      <c r="B529" s="69" t="s">
        <v>4590</v>
      </c>
      <c r="C529" s="69"/>
      <c r="D529" s="69"/>
      <c r="E529" s="69"/>
      <c r="F529" s="69"/>
      <c r="G529" s="69"/>
      <c r="H529" s="69"/>
    </row>
    <row r="530" spans="1:8" ht="15" customHeight="1">
      <c r="A530" s="69" t="s">
        <v>4591</v>
      </c>
      <c r="B530" s="69" t="s">
        <v>4592</v>
      </c>
      <c r="C530" s="69"/>
      <c r="D530" s="69"/>
      <c r="E530" s="69"/>
      <c r="F530" s="69"/>
      <c r="G530" s="69"/>
      <c r="H530" s="69"/>
    </row>
    <row r="531" spans="1:8" ht="27" customHeight="1">
      <c r="A531" s="69" t="s">
        <v>4593</v>
      </c>
      <c r="B531" s="69" t="s">
        <v>4594</v>
      </c>
      <c r="C531" s="69"/>
      <c r="D531" s="69"/>
      <c r="E531" s="69"/>
      <c r="F531" s="69"/>
      <c r="G531" s="69"/>
      <c r="H531" s="69"/>
    </row>
    <row r="532" spans="1:8" ht="15" customHeight="1">
      <c r="A532" s="69" t="s">
        <v>4595</v>
      </c>
      <c r="B532" s="69" t="s">
        <v>4596</v>
      </c>
      <c r="C532" s="69"/>
      <c r="D532" s="69"/>
      <c r="E532" s="69"/>
      <c r="F532" s="69"/>
      <c r="G532" s="69"/>
      <c r="H532" s="69"/>
    </row>
    <row r="533" spans="1:8" ht="15" customHeight="1">
      <c r="A533" s="69" t="s">
        <v>4597</v>
      </c>
      <c r="B533" s="69" t="s">
        <v>4598</v>
      </c>
      <c r="C533" s="69"/>
      <c r="D533" s="69"/>
      <c r="E533" s="69"/>
      <c r="F533" s="69"/>
      <c r="G533" s="69"/>
      <c r="H533" s="69"/>
    </row>
    <row r="534" spans="1:8" ht="27" customHeight="1">
      <c r="A534" s="69" t="s">
        <v>4599</v>
      </c>
      <c r="B534" s="69" t="s">
        <v>4600</v>
      </c>
      <c r="C534" s="69"/>
      <c r="D534" s="69"/>
      <c r="E534" s="69"/>
      <c r="F534" s="69"/>
      <c r="G534" s="69"/>
      <c r="H534" s="69"/>
    </row>
    <row r="535" spans="1:8" ht="15" customHeight="1">
      <c r="A535" s="69" t="s">
        <v>4601</v>
      </c>
      <c r="B535" s="69" t="s">
        <v>4602</v>
      </c>
      <c r="C535" s="69"/>
      <c r="D535" s="69"/>
      <c r="E535" s="69"/>
      <c r="F535" s="69"/>
      <c r="G535" s="69"/>
      <c r="H535" s="69"/>
    </row>
    <row r="536" spans="1:8" ht="27" customHeight="1">
      <c r="A536" s="69" t="s">
        <v>4603</v>
      </c>
      <c r="B536" s="69" t="s">
        <v>4604</v>
      </c>
      <c r="C536" s="69"/>
      <c r="D536" s="69"/>
      <c r="E536" s="69"/>
      <c r="F536" s="69"/>
      <c r="G536" s="69"/>
      <c r="H536" s="69"/>
    </row>
    <row r="537" spans="1:8" ht="15" customHeight="1">
      <c r="A537" s="69"/>
      <c r="B537" s="69"/>
      <c r="C537" s="69"/>
      <c r="D537" s="69"/>
      <c r="E537" s="69"/>
      <c r="F537" s="69"/>
      <c r="G537" s="69"/>
      <c r="H537" s="69"/>
    </row>
    <row r="538" spans="1:8" ht="54" customHeight="1">
      <c r="A538" s="69" t="s">
        <v>4605</v>
      </c>
      <c r="B538" s="69" t="s">
        <v>4606</v>
      </c>
      <c r="C538" s="69" t="s">
        <v>4607</v>
      </c>
      <c r="D538" s="69" t="s">
        <v>1327</v>
      </c>
      <c r="E538" s="69" t="s">
        <v>4608</v>
      </c>
      <c r="F538" s="69" t="s">
        <v>2836</v>
      </c>
      <c r="G538" s="69">
        <v>46092</v>
      </c>
      <c r="H538" s="69"/>
    </row>
    <row r="539" spans="1:8" ht="27" customHeight="1">
      <c r="A539" s="69" t="s">
        <v>4609</v>
      </c>
      <c r="B539" s="69" t="s">
        <v>4610</v>
      </c>
      <c r="C539" s="69" t="s">
        <v>4611</v>
      </c>
      <c r="D539" s="69" t="s">
        <v>1327</v>
      </c>
      <c r="E539" s="69" t="s">
        <v>4612</v>
      </c>
      <c r="F539" s="69" t="s">
        <v>2836</v>
      </c>
      <c r="G539" s="69">
        <v>46092</v>
      </c>
      <c r="H539" s="69"/>
    </row>
    <row r="540" spans="1:8" ht="40.5" customHeight="1">
      <c r="A540" s="69" t="s">
        <v>4613</v>
      </c>
      <c r="B540" s="69" t="s">
        <v>4614</v>
      </c>
      <c r="C540" s="69" t="s">
        <v>4615</v>
      </c>
      <c r="D540" s="69" t="s">
        <v>1327</v>
      </c>
      <c r="E540" s="69" t="s">
        <v>4616</v>
      </c>
      <c r="F540" s="69" t="s">
        <v>2836</v>
      </c>
      <c r="G540" s="69">
        <v>46092</v>
      </c>
      <c r="H540" s="69"/>
    </row>
    <row r="541" spans="1:8" ht="27" customHeight="1">
      <c r="A541" s="69" t="s">
        <v>4617</v>
      </c>
      <c r="B541" s="69" t="s">
        <v>4618</v>
      </c>
      <c r="C541" s="69" t="s">
        <v>4619</v>
      </c>
      <c r="D541" s="69" t="s">
        <v>4541</v>
      </c>
      <c r="E541" s="69" t="s">
        <v>4620</v>
      </c>
      <c r="F541" s="69" t="s">
        <v>2836</v>
      </c>
      <c r="G541" s="69">
        <v>46092</v>
      </c>
      <c r="H541" s="69"/>
    </row>
  </sheetData>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18" width="9.140625" style="47" customWidth="1"/>
    <col min="19" max="16384" width="9.140625" style="47"/>
  </cols>
  <sheetData>
    <row r="1" spans="1:11" s="96" customFormat="1" ht="30" customHeight="1">
      <c r="A1" s="136" t="s">
        <v>4621</v>
      </c>
      <c r="B1" s="240"/>
      <c r="C1" s="240"/>
      <c r="D1" s="240"/>
      <c r="E1" s="240"/>
      <c r="F1" s="240"/>
      <c r="G1" s="240"/>
      <c r="H1" s="240"/>
      <c r="I1" s="240"/>
      <c r="J1" s="240"/>
      <c r="K1" s="240"/>
    </row>
    <row r="2" spans="1:11" ht="21.75" customHeight="1">
      <c r="A2" s="241">
        <v>1</v>
      </c>
      <c r="B2" s="50" t="s">
        <v>4622</v>
      </c>
      <c r="C2" s="225" t="s">
        <v>4623</v>
      </c>
      <c r="D2" s="50"/>
      <c r="E2" s="50"/>
      <c r="F2" s="50"/>
      <c r="G2" s="50"/>
      <c r="H2" s="50"/>
      <c r="I2" s="50"/>
      <c r="J2" s="50"/>
      <c r="K2" s="50"/>
    </row>
    <row r="3" spans="1:11" ht="21.75" customHeight="1">
      <c r="A3" s="242">
        <v>2</v>
      </c>
      <c r="B3" s="55" t="s">
        <v>4624</v>
      </c>
      <c r="C3" s="228" t="s">
        <v>4625</v>
      </c>
      <c r="D3" s="55"/>
      <c r="E3" s="55"/>
      <c r="F3" s="55"/>
      <c r="G3" s="55"/>
      <c r="H3" s="55"/>
      <c r="I3" s="55"/>
      <c r="J3" s="55"/>
      <c r="K3" s="55"/>
    </row>
    <row r="4" spans="1:11" ht="21.75" customHeight="1">
      <c r="A4" s="241">
        <v>3</v>
      </c>
      <c r="B4" s="50" t="s">
        <v>4626</v>
      </c>
      <c r="C4" s="225" t="s">
        <v>4627</v>
      </c>
      <c r="D4" s="50"/>
      <c r="E4" s="50"/>
      <c r="F4" s="50"/>
      <c r="G4" s="50"/>
      <c r="H4" s="50"/>
      <c r="I4" s="50"/>
      <c r="J4" s="50"/>
      <c r="K4" s="50"/>
    </row>
    <row r="5" spans="1:11" ht="21.75" customHeight="1">
      <c r="A5" s="243"/>
      <c r="B5" s="243" t="s">
        <v>4628</v>
      </c>
      <c r="C5" s="243"/>
      <c r="D5" s="243"/>
      <c r="E5" s="243"/>
      <c r="F5" s="243"/>
      <c r="G5" s="243"/>
      <c r="H5" s="243"/>
      <c r="I5" s="243"/>
      <c r="J5" s="243"/>
      <c r="K5" s="243"/>
    </row>
    <row r="6" spans="1:11" ht="15" customHeight="1">
      <c r="A6" s="48" t="s">
        <v>4629</v>
      </c>
      <c r="B6" s="48" t="s">
        <v>4630</v>
      </c>
      <c r="C6" s="48" t="s">
        <v>4631</v>
      </c>
      <c r="D6" s="48"/>
      <c r="E6" s="48"/>
      <c r="F6" s="48"/>
      <c r="G6" s="48"/>
      <c r="H6" s="48"/>
      <c r="I6" s="48"/>
      <c r="J6" s="48"/>
      <c r="K6" s="48"/>
    </row>
    <row r="7" spans="1:11" ht="27.75" customHeight="1">
      <c r="A7" s="244" t="s">
        <v>2102</v>
      </c>
      <c r="B7" s="244" t="s">
        <v>4632</v>
      </c>
      <c r="C7" s="244" t="s">
        <v>355</v>
      </c>
      <c r="D7" s="245" t="s">
        <v>4633</v>
      </c>
      <c r="E7" s="245" t="s">
        <v>4634</v>
      </c>
      <c r="F7" s="245" t="s">
        <v>4635</v>
      </c>
      <c r="G7" s="245" t="s">
        <v>4636</v>
      </c>
      <c r="H7" s="245" t="s">
        <v>4636</v>
      </c>
      <c r="I7" s="245" t="s">
        <v>4636</v>
      </c>
      <c r="J7" s="245" t="s">
        <v>4636</v>
      </c>
      <c r="K7" s="245" t="s">
        <v>4636</v>
      </c>
    </row>
    <row r="8" spans="1:11" ht="19.5" customHeight="1">
      <c r="A8" s="246" t="s">
        <v>4637</v>
      </c>
      <c r="B8" s="247" t="s">
        <v>4638</v>
      </c>
      <c r="C8" s="247" t="s">
        <v>4639</v>
      </c>
      <c r="D8" s="50" t="s">
        <v>4640</v>
      </c>
      <c r="E8" s="50"/>
      <c r="F8" s="50"/>
      <c r="G8" s="50"/>
      <c r="H8" s="50"/>
      <c r="I8" s="50"/>
      <c r="J8" s="50"/>
      <c r="K8" s="50"/>
    </row>
    <row r="9" spans="1:11" ht="19.5" customHeight="1">
      <c r="A9" s="248" t="s">
        <v>4641</v>
      </c>
      <c r="B9" s="249" t="s">
        <v>4642</v>
      </c>
      <c r="C9" s="249" t="s">
        <v>4643</v>
      </c>
      <c r="D9" s="250" t="s">
        <v>4644</v>
      </c>
      <c r="E9" s="250" t="s">
        <v>4645</v>
      </c>
      <c r="F9" s="55"/>
      <c r="G9" s="55"/>
      <c r="H9" s="55"/>
      <c r="I9" s="55"/>
      <c r="J9" s="55"/>
      <c r="K9" s="55"/>
    </row>
    <row r="10" spans="1:11" ht="19.5" customHeight="1">
      <c r="A10" s="251" t="s">
        <v>4646</v>
      </c>
      <c r="B10" s="252" t="s">
        <v>4647</v>
      </c>
      <c r="C10" s="252"/>
      <c r="D10" s="50"/>
      <c r="E10" s="50"/>
      <c r="F10" s="50"/>
      <c r="G10" s="50"/>
      <c r="H10" s="50"/>
      <c r="I10" s="50"/>
      <c r="J10" s="50"/>
      <c r="K10" s="50"/>
    </row>
    <row r="11" spans="1:11" ht="19.5" customHeight="1">
      <c r="A11" s="248">
        <v>4</v>
      </c>
      <c r="B11" s="249" t="s">
        <v>4648</v>
      </c>
      <c r="C11" s="249" t="s">
        <v>4649</v>
      </c>
      <c r="D11" s="55"/>
      <c r="E11" s="55"/>
      <c r="F11" s="55"/>
      <c r="G11" s="55"/>
      <c r="H11" s="55"/>
      <c r="I11" s="55"/>
      <c r="J11" s="55"/>
      <c r="K11" s="55"/>
    </row>
    <row r="12" spans="1:11" ht="19.5" customHeight="1">
      <c r="A12" s="251">
        <v>5</v>
      </c>
      <c r="B12" s="252" t="s">
        <v>4650</v>
      </c>
      <c r="C12" s="252" t="s">
        <v>4651</v>
      </c>
      <c r="D12" s="50"/>
      <c r="E12" s="50"/>
      <c r="F12" s="50"/>
      <c r="G12" s="50"/>
      <c r="H12" s="50"/>
      <c r="I12" s="50"/>
      <c r="J12" s="50"/>
      <c r="K12" s="50"/>
    </row>
    <row r="13" spans="1:11" ht="19.5" customHeight="1">
      <c r="A13" s="248">
        <v>6</v>
      </c>
      <c r="B13" s="249" t="s">
        <v>4652</v>
      </c>
      <c r="C13" s="249" t="s">
        <v>4653</v>
      </c>
      <c r="D13" s="55"/>
      <c r="E13" s="55"/>
      <c r="F13" s="55"/>
      <c r="G13" s="55"/>
      <c r="H13" s="55"/>
      <c r="I13" s="55"/>
      <c r="J13" s="55"/>
      <c r="K13" s="55"/>
    </row>
    <row r="14" spans="1:11" ht="19.5" customHeight="1">
      <c r="A14" s="251">
        <v>7</v>
      </c>
      <c r="B14" s="252" t="s">
        <v>4654</v>
      </c>
      <c r="C14" s="252" t="s">
        <v>4655</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4656</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4657</v>
      </c>
      <c r="C34" s="252"/>
      <c r="D34" s="225"/>
      <c r="E34" s="50"/>
      <c r="F34" s="50"/>
      <c r="G34" s="50"/>
      <c r="H34" s="50"/>
      <c r="I34" s="50"/>
      <c r="J34" s="50"/>
      <c r="K34" s="50"/>
    </row>
    <row r="35" spans="1:11" ht="19.5" customHeight="1">
      <c r="A35" s="248" t="s">
        <v>604</v>
      </c>
      <c r="B35" s="255" t="s">
        <v>4658</v>
      </c>
      <c r="C35" s="255" t="s">
        <v>4659</v>
      </c>
      <c r="D35" s="232" t="s">
        <v>4660</v>
      </c>
      <c r="E35" s="232" t="s">
        <v>3383</v>
      </c>
      <c r="F35" s="55"/>
      <c r="G35" s="55"/>
      <c r="H35" s="55"/>
      <c r="I35" s="55"/>
      <c r="J35" s="55"/>
      <c r="K35" s="55"/>
    </row>
    <row r="36" spans="1:11" ht="19.5" customHeight="1">
      <c r="A36" s="251" t="s">
        <v>4661</v>
      </c>
      <c r="B36" s="252" t="s">
        <v>4662</v>
      </c>
      <c r="C36" s="252" t="s">
        <v>4663</v>
      </c>
      <c r="D36" s="50" t="s">
        <v>4664</v>
      </c>
      <c r="E36" s="50" t="s">
        <v>4665</v>
      </c>
      <c r="F36" s="50"/>
      <c r="G36" s="50"/>
      <c r="H36" s="50"/>
      <c r="I36" s="50"/>
      <c r="J36" s="50"/>
      <c r="K36" s="50"/>
    </row>
    <row r="37" spans="1:11" ht="19.5" customHeight="1">
      <c r="A37" s="248" t="s">
        <v>4666</v>
      </c>
      <c r="B37" s="249" t="s">
        <v>4667</v>
      </c>
      <c r="C37" s="249" t="s">
        <v>4668</v>
      </c>
      <c r="D37" s="55" t="s">
        <v>4664</v>
      </c>
      <c r="E37" s="55" t="s">
        <v>4665</v>
      </c>
      <c r="F37" s="55"/>
      <c r="G37" s="55"/>
      <c r="H37" s="55"/>
      <c r="I37" s="55"/>
      <c r="J37" s="55"/>
      <c r="K37" s="55"/>
    </row>
    <row r="38" spans="1:11" ht="19.5" customHeight="1">
      <c r="A38" s="251" t="s">
        <v>4669</v>
      </c>
      <c r="B38" s="252" t="s">
        <v>4670</v>
      </c>
      <c r="C38" s="252" t="s">
        <v>4671</v>
      </c>
      <c r="D38" s="50" t="s">
        <v>4664</v>
      </c>
      <c r="E38" s="50" t="s">
        <v>4665</v>
      </c>
      <c r="F38" s="50"/>
      <c r="G38" s="50"/>
      <c r="H38" s="50"/>
      <c r="I38" s="50"/>
      <c r="J38" s="50"/>
      <c r="K38" s="50"/>
    </row>
    <row r="39" spans="1:11" ht="19.5" customHeight="1">
      <c r="A39" s="248" t="s">
        <v>4672</v>
      </c>
      <c r="B39" s="249" t="s">
        <v>4673</v>
      </c>
      <c r="C39" s="249" t="s">
        <v>4674</v>
      </c>
      <c r="D39" s="55" t="s">
        <v>4664</v>
      </c>
      <c r="E39" s="55" t="s">
        <v>1505</v>
      </c>
      <c r="F39" s="55"/>
      <c r="G39" s="55"/>
      <c r="H39" s="55"/>
      <c r="I39" s="55"/>
      <c r="J39" s="55"/>
      <c r="K39" s="55"/>
    </row>
    <row r="40" spans="1:11" ht="19.5" customHeight="1">
      <c r="A40" s="251" t="s">
        <v>4675</v>
      </c>
      <c r="B40" s="252" t="s">
        <v>4676</v>
      </c>
      <c r="C40" s="252" t="s">
        <v>4677</v>
      </c>
      <c r="D40" s="50" t="s">
        <v>4664</v>
      </c>
      <c r="E40" s="50" t="s">
        <v>4665</v>
      </c>
      <c r="F40" s="50"/>
      <c r="G40" s="50"/>
      <c r="H40" s="50"/>
      <c r="I40" s="50"/>
      <c r="J40" s="50"/>
      <c r="K40" s="50"/>
    </row>
    <row r="41" spans="1:11" ht="19.5" customHeight="1">
      <c r="A41" s="248" t="s">
        <v>4678</v>
      </c>
      <c r="B41" s="249" t="s">
        <v>4679</v>
      </c>
      <c r="C41" s="249" t="s">
        <v>4680</v>
      </c>
      <c r="D41" s="55" t="s">
        <v>4664</v>
      </c>
      <c r="E41" s="55" t="s">
        <v>4681</v>
      </c>
      <c r="F41" s="55"/>
      <c r="G41" s="55"/>
      <c r="H41" s="55"/>
      <c r="I41" s="55"/>
      <c r="J41" s="55"/>
      <c r="K41" s="55"/>
    </row>
    <row r="42" spans="1:11" ht="19.5" customHeight="1">
      <c r="A42" s="251" t="s">
        <v>4682</v>
      </c>
      <c r="B42" s="252" t="s">
        <v>4683</v>
      </c>
      <c r="C42" s="252" t="s">
        <v>4684</v>
      </c>
      <c r="D42" s="50" t="s">
        <v>4664</v>
      </c>
      <c r="E42" s="50" t="s">
        <v>4685</v>
      </c>
      <c r="F42" s="50"/>
      <c r="G42" s="50"/>
      <c r="H42" s="50"/>
      <c r="I42" s="50"/>
      <c r="J42" s="50"/>
      <c r="K42" s="50"/>
    </row>
    <row r="43" spans="1:11" ht="19.5" customHeight="1">
      <c r="A43" s="248" t="s">
        <v>4686</v>
      </c>
      <c r="B43" s="249" t="s">
        <v>4687</v>
      </c>
      <c r="C43" s="249" t="s">
        <v>4688</v>
      </c>
      <c r="D43" s="55" t="s">
        <v>4664</v>
      </c>
      <c r="E43" s="55" t="s">
        <v>4689</v>
      </c>
      <c r="F43" s="55"/>
      <c r="G43" s="55"/>
      <c r="H43" s="55"/>
      <c r="I43" s="55"/>
      <c r="J43" s="55"/>
      <c r="K43" s="55"/>
    </row>
    <row r="44" spans="1:11" ht="19.5" customHeight="1">
      <c r="A44" s="251" t="s">
        <v>4690</v>
      </c>
      <c r="B44" s="252" t="s">
        <v>4691</v>
      </c>
      <c r="C44" s="252" t="s">
        <v>4692</v>
      </c>
      <c r="D44" s="50" t="s">
        <v>4693</v>
      </c>
      <c r="E44" s="50" t="s">
        <v>1505</v>
      </c>
      <c r="F44" s="50"/>
      <c r="G44" s="50"/>
      <c r="H44" s="50"/>
      <c r="I44" s="50"/>
      <c r="J44" s="50"/>
      <c r="K44" s="50"/>
    </row>
    <row r="45" spans="1:11" ht="19.5" customHeight="1">
      <c r="A45" s="248" t="s">
        <v>4694</v>
      </c>
      <c r="B45" s="249" t="s">
        <v>4695</v>
      </c>
      <c r="C45" s="249" t="s">
        <v>4696</v>
      </c>
      <c r="D45" s="55" t="s">
        <v>4693</v>
      </c>
      <c r="E45" s="55" t="s">
        <v>4697</v>
      </c>
      <c r="F45" s="55"/>
      <c r="G45" s="55"/>
      <c r="H45" s="55"/>
      <c r="I45" s="55"/>
      <c r="J45" s="55"/>
      <c r="K45" s="55"/>
    </row>
    <row r="46" spans="1:11" ht="19.5" customHeight="1">
      <c r="A46" s="251" t="s">
        <v>4698</v>
      </c>
      <c r="B46" s="252" t="s">
        <v>4699</v>
      </c>
      <c r="C46" s="252" t="s">
        <v>4700</v>
      </c>
      <c r="D46" s="50" t="s">
        <v>4693</v>
      </c>
      <c r="E46" s="50" t="s">
        <v>4701</v>
      </c>
      <c r="F46" s="50"/>
      <c r="G46" s="50"/>
      <c r="H46" s="50"/>
      <c r="I46" s="50"/>
      <c r="J46" s="50"/>
      <c r="K46" s="50"/>
    </row>
    <row r="47" spans="1:11" ht="19.5" customHeight="1">
      <c r="A47" s="248" t="s">
        <v>4702</v>
      </c>
      <c r="B47" s="249" t="s">
        <v>4703</v>
      </c>
      <c r="C47" s="249" t="s">
        <v>4704</v>
      </c>
      <c r="D47" s="55" t="s">
        <v>4705</v>
      </c>
      <c r="E47" s="55" t="s">
        <v>4706</v>
      </c>
      <c r="F47" s="55"/>
      <c r="G47" s="55"/>
      <c r="H47" s="55"/>
      <c r="I47" s="55"/>
      <c r="J47" s="55"/>
      <c r="K47" s="55"/>
    </row>
    <row r="48" spans="1:11" ht="19.5" customHeight="1">
      <c r="A48" s="251" t="s">
        <v>4707</v>
      </c>
      <c r="B48" s="252" t="s">
        <v>4708</v>
      </c>
      <c r="C48" s="252" t="s">
        <v>4709</v>
      </c>
      <c r="D48" s="50" t="s">
        <v>4705</v>
      </c>
      <c r="E48" s="50" t="s">
        <v>4710</v>
      </c>
      <c r="F48" s="50"/>
      <c r="G48" s="50"/>
      <c r="H48" s="50"/>
      <c r="I48" s="50"/>
      <c r="J48" s="50"/>
      <c r="K48" s="50"/>
    </row>
    <row r="49" spans="1:11" ht="19.5" customHeight="1">
      <c r="A49" s="248" t="s">
        <v>4711</v>
      </c>
      <c r="B49" s="249" t="s">
        <v>4712</v>
      </c>
      <c r="C49" s="249" t="s">
        <v>4713</v>
      </c>
      <c r="D49" s="55" t="s">
        <v>4714</v>
      </c>
      <c r="E49" s="55" t="s">
        <v>4715</v>
      </c>
      <c r="F49" s="55"/>
      <c r="G49" s="55"/>
      <c r="H49" s="55"/>
      <c r="I49" s="55"/>
      <c r="J49" s="55"/>
      <c r="K49" s="55"/>
    </row>
    <row r="50" spans="1:11" ht="19.5" customHeight="1">
      <c r="A50" s="251" t="s">
        <v>4716</v>
      </c>
      <c r="B50" s="252" t="s">
        <v>4717</v>
      </c>
      <c r="C50" s="252" t="s">
        <v>4718</v>
      </c>
      <c r="D50" s="50" t="s">
        <v>4719</v>
      </c>
      <c r="E50" s="50" t="s">
        <v>4720</v>
      </c>
      <c r="F50" s="50"/>
      <c r="G50" s="50"/>
      <c r="H50" s="50"/>
      <c r="I50" s="50"/>
      <c r="J50" s="50"/>
      <c r="K50" s="50"/>
    </row>
    <row r="51" spans="1:11" ht="19.5" customHeight="1">
      <c r="A51" s="248" t="s">
        <v>4721</v>
      </c>
      <c r="B51" s="249" t="s">
        <v>4722</v>
      </c>
      <c r="C51" s="249" t="s">
        <v>4723</v>
      </c>
      <c r="D51" s="55" t="s">
        <v>4719</v>
      </c>
      <c r="E51" s="55" t="s">
        <v>4724</v>
      </c>
      <c r="F51" s="55"/>
      <c r="G51" s="55"/>
      <c r="H51" s="55"/>
      <c r="I51" s="55"/>
      <c r="J51" s="55"/>
      <c r="K51" s="55"/>
    </row>
    <row r="52" spans="1:11" ht="19.5" customHeight="1">
      <c r="A52" s="251" t="s">
        <v>4725</v>
      </c>
      <c r="B52" s="252" t="s">
        <v>4726</v>
      </c>
      <c r="C52" s="252" t="s">
        <v>4727</v>
      </c>
      <c r="D52" s="50" t="s">
        <v>156</v>
      </c>
      <c r="E52" s="50" t="s">
        <v>4681</v>
      </c>
      <c r="F52" s="50"/>
      <c r="G52" s="50"/>
      <c r="H52" s="50"/>
      <c r="I52" s="50"/>
      <c r="J52" s="50"/>
      <c r="K52" s="50"/>
    </row>
    <row r="53" spans="1:11" ht="19.5" customHeight="1">
      <c r="A53" s="248" t="s">
        <v>4728</v>
      </c>
      <c r="B53" s="249" t="s">
        <v>4729</v>
      </c>
      <c r="C53" s="249" t="s">
        <v>4730</v>
      </c>
      <c r="D53" s="55" t="s">
        <v>156</v>
      </c>
      <c r="E53" s="55" t="s">
        <v>4710</v>
      </c>
      <c r="F53" s="55"/>
      <c r="G53" s="55"/>
      <c r="H53" s="55"/>
      <c r="I53" s="55"/>
      <c r="J53" s="55"/>
      <c r="K53" s="55"/>
    </row>
    <row r="54" spans="1:11" ht="19.5" customHeight="1">
      <c r="A54" s="251" t="s">
        <v>4731</v>
      </c>
      <c r="B54" s="252" t="s">
        <v>4732</v>
      </c>
      <c r="C54" s="252" t="s">
        <v>4733</v>
      </c>
      <c r="D54" s="50" t="s">
        <v>156</v>
      </c>
      <c r="E54" s="50" t="s">
        <v>4734</v>
      </c>
      <c r="F54" s="50"/>
      <c r="G54" s="50"/>
      <c r="H54" s="50"/>
      <c r="I54" s="50"/>
      <c r="J54" s="50"/>
      <c r="K54" s="50"/>
    </row>
    <row r="55" spans="1:11" ht="39" customHeight="1">
      <c r="A55" s="248" t="s">
        <v>4735</v>
      </c>
      <c r="B55" s="249" t="s">
        <v>4736</v>
      </c>
      <c r="C55" s="249" t="s">
        <v>4737</v>
      </c>
      <c r="D55" s="55" t="s">
        <v>156</v>
      </c>
      <c r="E55" s="55" t="s">
        <v>4738</v>
      </c>
      <c r="F55" s="55"/>
      <c r="G55" s="55"/>
      <c r="H55" s="55"/>
      <c r="I55" s="55"/>
      <c r="J55" s="55"/>
      <c r="K55" s="55"/>
    </row>
    <row r="56" spans="1:11" ht="26.25" customHeight="1">
      <c r="A56" s="251" t="s">
        <v>4739</v>
      </c>
      <c r="B56" s="252" t="s">
        <v>4740</v>
      </c>
      <c r="C56" s="252" t="s">
        <v>4741</v>
      </c>
      <c r="D56" s="50" t="s">
        <v>4742</v>
      </c>
      <c r="E56" s="50" t="s">
        <v>4743</v>
      </c>
      <c r="F56" s="50"/>
      <c r="G56" s="50"/>
      <c r="H56" s="50"/>
      <c r="I56" s="50"/>
      <c r="J56" s="50"/>
      <c r="K56" s="50"/>
    </row>
    <row r="57" spans="1:11" ht="15" customHeight="1">
      <c r="A57" s="251"/>
      <c r="B57" s="256">
        <v>46094</v>
      </c>
      <c r="C57" s="252" t="s">
        <v>4744</v>
      </c>
      <c r="D57" s="50"/>
      <c r="E57" s="50"/>
      <c r="F57" s="50"/>
      <c r="G57" s="50"/>
      <c r="H57" s="50"/>
      <c r="I57" s="50"/>
      <c r="J57" s="50"/>
      <c r="K57" s="50"/>
    </row>
    <row r="58" spans="1:11" ht="15" customHeight="1">
      <c r="A58" s="251" t="s">
        <v>4745</v>
      </c>
      <c r="B58" s="249" t="s">
        <v>4746</v>
      </c>
      <c r="C58" s="249" t="s">
        <v>4747</v>
      </c>
      <c r="D58" s="55"/>
      <c r="E58" s="55"/>
      <c r="F58" s="55"/>
      <c r="G58" s="55"/>
      <c r="H58" s="55"/>
      <c r="I58" s="55"/>
      <c r="J58" s="55"/>
      <c r="K58" s="55"/>
    </row>
    <row r="59" spans="1:11" ht="26.25" customHeight="1">
      <c r="A59" s="251" t="s">
        <v>4748</v>
      </c>
      <c r="B59" s="252" t="s">
        <v>4749</v>
      </c>
      <c r="C59" s="252" t="s">
        <v>4750</v>
      </c>
      <c r="D59" s="50"/>
      <c r="E59" s="50"/>
      <c r="F59" s="50"/>
      <c r="G59" s="50"/>
      <c r="H59" s="50"/>
      <c r="I59" s="50"/>
      <c r="J59" s="50"/>
      <c r="K59" s="50"/>
    </row>
    <row r="60" spans="1:11" ht="15" customHeight="1">
      <c r="A60" s="251" t="s">
        <v>4751</v>
      </c>
      <c r="B60" s="249" t="s">
        <v>4752</v>
      </c>
      <c r="C60" s="249" t="s">
        <v>4753</v>
      </c>
      <c r="D60" s="55"/>
      <c r="E60" s="55"/>
      <c r="F60" s="55"/>
      <c r="G60" s="55"/>
      <c r="H60" s="55"/>
      <c r="I60" s="55"/>
      <c r="J60" s="55"/>
      <c r="K60" s="55"/>
    </row>
    <row r="61" spans="1:11" ht="26.25" customHeight="1">
      <c r="A61" s="251" t="s">
        <v>4754</v>
      </c>
      <c r="B61" s="252" t="s">
        <v>4755</v>
      </c>
      <c r="C61" s="252" t="s">
        <v>4756</v>
      </c>
      <c r="D61" s="50"/>
      <c r="E61" s="50"/>
      <c r="F61" s="50"/>
      <c r="G61" s="50"/>
      <c r="H61" s="50"/>
      <c r="I61" s="50"/>
      <c r="J61" s="50"/>
      <c r="K61" s="50"/>
    </row>
    <row r="62" spans="1:11" ht="26.25" customHeight="1">
      <c r="A62" s="251" t="s">
        <v>4757</v>
      </c>
      <c r="B62" s="249" t="s">
        <v>4758</v>
      </c>
      <c r="C62" s="249" t="s">
        <v>4759</v>
      </c>
      <c r="D62" s="55"/>
      <c r="E62" s="55"/>
      <c r="F62" s="55"/>
      <c r="G62" s="55"/>
      <c r="H62" s="55"/>
      <c r="I62" s="55"/>
      <c r="J62" s="55"/>
      <c r="K62" s="55"/>
    </row>
    <row r="63" spans="1:11" ht="26.25" customHeight="1">
      <c r="A63" s="251" t="s">
        <v>4760</v>
      </c>
      <c r="B63" s="252" t="s">
        <v>4761</v>
      </c>
      <c r="C63" s="252" t="s">
        <v>4762</v>
      </c>
      <c r="D63" s="50"/>
      <c r="E63" s="50"/>
      <c r="F63" s="50"/>
      <c r="G63" s="50"/>
      <c r="H63" s="50"/>
      <c r="I63" s="50"/>
      <c r="J63" s="50"/>
      <c r="K63" s="50"/>
    </row>
    <row r="64" spans="1:11" ht="26.25" customHeight="1" outlineLevel="1">
      <c r="A64" s="251" t="s">
        <v>4763</v>
      </c>
      <c r="B64" s="50" t="s">
        <v>4764</v>
      </c>
      <c r="C64" s="50" t="s">
        <v>4765</v>
      </c>
      <c r="D64" s="50"/>
      <c r="E64" s="50"/>
      <c r="F64" s="50"/>
      <c r="G64" s="50"/>
      <c r="H64" s="50"/>
      <c r="I64" s="50"/>
      <c r="J64" s="50"/>
      <c r="K64" s="50"/>
    </row>
    <row r="65" spans="1:11" ht="26.25" customHeight="1" outlineLevel="1">
      <c r="A65" s="251" t="s">
        <v>4766</v>
      </c>
      <c r="B65" s="55" t="s">
        <v>4767</v>
      </c>
      <c r="C65" s="55" t="s">
        <v>4768</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4769</v>
      </c>
      <c r="C72" s="252" t="s">
        <v>4770</v>
      </c>
      <c r="D72" s="50"/>
      <c r="E72" s="50"/>
      <c r="F72" s="50"/>
      <c r="G72" s="50"/>
      <c r="H72" s="50"/>
      <c r="I72" s="50"/>
      <c r="J72" s="50"/>
      <c r="K72" s="50"/>
    </row>
    <row r="73" spans="1:11" ht="19.5" customHeight="1">
      <c r="A73" s="248">
        <v>11</v>
      </c>
      <c r="B73" s="249" t="s">
        <v>4771</v>
      </c>
      <c r="C73" s="249" t="s">
        <v>4772</v>
      </c>
      <c r="D73" s="55"/>
      <c r="E73" s="55"/>
      <c r="F73" s="55"/>
      <c r="G73" s="55"/>
      <c r="H73" s="55"/>
      <c r="I73" s="55"/>
      <c r="J73" s="55"/>
      <c r="K73" s="55"/>
    </row>
    <row r="74" spans="1:11" ht="19.5" customHeight="1">
      <c r="A74" s="251"/>
      <c r="B74" s="254" t="s">
        <v>4773</v>
      </c>
      <c r="C74" s="252"/>
      <c r="D74" s="50"/>
      <c r="E74" s="50"/>
      <c r="F74" s="50"/>
      <c r="G74" s="50"/>
      <c r="H74" s="50"/>
      <c r="I74" s="50"/>
      <c r="J74" s="50"/>
      <c r="K74" s="50"/>
    </row>
    <row r="75" spans="1:11" ht="19.5" customHeight="1">
      <c r="A75" s="248">
        <v>12</v>
      </c>
      <c r="B75" s="257" t="s">
        <v>4774</v>
      </c>
      <c r="C75" s="249" t="s">
        <v>4775</v>
      </c>
      <c r="D75" s="55"/>
      <c r="E75" s="55"/>
      <c r="F75" s="55"/>
      <c r="G75" s="55"/>
      <c r="H75" s="55"/>
      <c r="I75" s="55"/>
      <c r="J75" s="55"/>
      <c r="K75" s="55"/>
    </row>
    <row r="76" spans="1:11" ht="19.5" customHeight="1">
      <c r="A76" s="251">
        <v>13</v>
      </c>
      <c r="B76" s="252" t="s">
        <v>4776</v>
      </c>
      <c r="C76" s="252" t="s">
        <v>4777</v>
      </c>
      <c r="D76" s="50"/>
      <c r="E76" s="50"/>
      <c r="F76" s="50"/>
      <c r="G76" s="50"/>
      <c r="H76" s="50"/>
      <c r="I76" s="50"/>
      <c r="J76" s="50"/>
      <c r="K76" s="50"/>
    </row>
    <row r="77" spans="1:11" ht="19.5" customHeight="1">
      <c r="A77" s="248">
        <v>14</v>
      </c>
      <c r="B77" s="249" t="s">
        <v>4778</v>
      </c>
      <c r="C77" s="249" t="s">
        <v>4779</v>
      </c>
      <c r="D77" s="55"/>
      <c r="E77" s="55"/>
      <c r="F77" s="55"/>
      <c r="G77" s="55"/>
      <c r="H77" s="55"/>
      <c r="I77" s="55"/>
      <c r="J77" s="55"/>
      <c r="K77" s="55"/>
    </row>
    <row r="78" spans="1:11" ht="19.5" customHeight="1">
      <c r="A78" s="251">
        <v>15</v>
      </c>
      <c r="B78" s="252" t="s">
        <v>4780</v>
      </c>
      <c r="C78" s="252" t="s">
        <v>4781</v>
      </c>
      <c r="D78" s="50"/>
      <c r="E78" s="50"/>
      <c r="F78" s="50"/>
      <c r="G78" s="50"/>
      <c r="H78" s="50"/>
      <c r="I78" s="50"/>
      <c r="J78" s="50"/>
      <c r="K78" s="50"/>
    </row>
    <row r="79" spans="1:11" ht="19.5" customHeight="1">
      <c r="A79" s="248">
        <v>16</v>
      </c>
      <c r="B79" s="249" t="s">
        <v>4782</v>
      </c>
      <c r="C79" s="249" t="s">
        <v>4783</v>
      </c>
      <c r="D79" s="55"/>
      <c r="E79" s="55"/>
      <c r="F79" s="55"/>
      <c r="G79" s="55"/>
      <c r="H79" s="55"/>
      <c r="I79" s="55"/>
      <c r="J79" s="55"/>
      <c r="K79" s="55"/>
    </row>
    <row r="80" spans="1:11" ht="19.5" customHeight="1">
      <c r="A80" s="251">
        <v>17</v>
      </c>
      <c r="B80" s="252" t="s">
        <v>4784</v>
      </c>
      <c r="C80" s="252" t="s">
        <v>4785</v>
      </c>
      <c r="D80" s="50"/>
      <c r="E80" s="50"/>
      <c r="F80" s="50"/>
      <c r="G80" s="50"/>
      <c r="H80" s="50"/>
      <c r="I80" s="50"/>
      <c r="J80" s="50"/>
      <c r="K80" s="50"/>
    </row>
    <row r="81" spans="1:11" ht="19.5" customHeight="1">
      <c r="A81" s="248">
        <v>18</v>
      </c>
      <c r="B81" s="249" t="s">
        <v>4786</v>
      </c>
      <c r="C81" s="249" t="s">
        <v>4787</v>
      </c>
      <c r="D81" s="55"/>
      <c r="E81" s="55"/>
      <c r="F81" s="55"/>
      <c r="G81" s="55"/>
      <c r="H81" s="55"/>
      <c r="I81" s="55"/>
      <c r="J81" s="55"/>
      <c r="K81" s="55"/>
    </row>
    <row r="82" spans="1:11" ht="19.5" customHeight="1">
      <c r="A82" s="251">
        <v>19</v>
      </c>
      <c r="B82" s="252" t="s">
        <v>4788</v>
      </c>
      <c r="C82" s="252" t="s">
        <v>4789</v>
      </c>
      <c r="D82" s="50"/>
      <c r="E82" s="50"/>
      <c r="F82" s="50"/>
      <c r="G82" s="50"/>
      <c r="H82" s="50"/>
      <c r="I82" s="50"/>
      <c r="J82" s="50"/>
      <c r="K82" s="50"/>
    </row>
    <row r="83" spans="1:11" ht="19.5" customHeight="1">
      <c r="A83" s="248">
        <v>20</v>
      </c>
      <c r="B83" s="249" t="s">
        <v>4790</v>
      </c>
      <c r="C83" s="249" t="s">
        <v>4791</v>
      </c>
      <c r="D83" s="55"/>
      <c r="E83" s="55"/>
      <c r="F83" s="55"/>
      <c r="G83" s="55"/>
      <c r="H83" s="55"/>
      <c r="I83" s="55"/>
      <c r="J83" s="55"/>
      <c r="K83" s="55"/>
    </row>
    <row r="84" spans="1:11" ht="19.5" customHeight="1">
      <c r="A84" s="251">
        <v>21</v>
      </c>
      <c r="B84" s="252" t="s">
        <v>4792</v>
      </c>
      <c r="C84" s="252" t="s">
        <v>4793</v>
      </c>
      <c r="D84" s="50"/>
      <c r="E84" s="50"/>
      <c r="F84" s="50"/>
      <c r="G84" s="50"/>
      <c r="H84" s="50"/>
      <c r="I84" s="50"/>
      <c r="J84" s="50"/>
      <c r="K84" s="50"/>
    </row>
    <row r="85" spans="1:11" ht="19.5" customHeight="1">
      <c r="A85" s="248">
        <v>22</v>
      </c>
      <c r="B85" s="249" t="s">
        <v>4794</v>
      </c>
      <c r="C85" s="249" t="s">
        <v>4795</v>
      </c>
      <c r="D85" s="55"/>
      <c r="E85" s="55"/>
      <c r="F85" s="55"/>
      <c r="G85" s="55"/>
      <c r="H85" s="55"/>
      <c r="I85" s="55"/>
      <c r="J85" s="55"/>
      <c r="K85" s="55"/>
    </row>
    <row r="86" spans="1:11" ht="19.5" customHeight="1">
      <c r="A86" s="251"/>
      <c r="B86" s="254" t="s">
        <v>4796</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4797</v>
      </c>
      <c r="B128" s="254" t="s">
        <v>4798</v>
      </c>
      <c r="C128" s="254" t="s">
        <v>4799</v>
      </c>
      <c r="D128" s="50"/>
      <c r="E128" s="50"/>
      <c r="F128" s="50"/>
      <c r="G128" s="50"/>
      <c r="H128" s="50"/>
      <c r="I128" s="50"/>
      <c r="J128" s="50"/>
      <c r="K128" s="50"/>
    </row>
    <row r="129" spans="1:11" ht="19.5" customHeight="1">
      <c r="A129" s="248" t="s">
        <v>285</v>
      </c>
      <c r="B129" s="255" t="s">
        <v>2981</v>
      </c>
      <c r="C129" s="255" t="s">
        <v>243</v>
      </c>
      <c r="D129" s="55"/>
      <c r="E129" s="55"/>
      <c r="F129" s="55"/>
      <c r="G129" s="55"/>
      <c r="H129" s="55"/>
      <c r="I129" s="55"/>
      <c r="J129" s="55"/>
      <c r="K129" s="55"/>
    </row>
    <row r="130" spans="1:11" ht="19.5" customHeight="1">
      <c r="A130" s="251">
        <v>1</v>
      </c>
      <c r="B130" s="252" t="s">
        <v>4800</v>
      </c>
      <c r="C130" s="252" t="s">
        <v>1327</v>
      </c>
      <c r="D130" s="50"/>
      <c r="E130" s="50"/>
      <c r="F130" s="50"/>
      <c r="G130" s="50"/>
      <c r="H130" s="50"/>
      <c r="I130" s="50"/>
      <c r="J130" s="50"/>
      <c r="K130" s="50"/>
    </row>
    <row r="131" spans="1:11" ht="19.5" customHeight="1">
      <c r="A131" s="248">
        <v>2</v>
      </c>
      <c r="B131" s="249" t="s">
        <v>4801</v>
      </c>
      <c r="C131" s="249" t="s">
        <v>1327</v>
      </c>
      <c r="D131" s="55"/>
      <c r="E131" s="55"/>
      <c r="F131" s="55"/>
      <c r="G131" s="55"/>
      <c r="H131" s="55"/>
      <c r="I131" s="55"/>
      <c r="J131" s="55"/>
      <c r="K131" s="55"/>
    </row>
    <row r="132" spans="1:11" ht="19.5" customHeight="1">
      <c r="A132" s="251">
        <v>3</v>
      </c>
      <c r="B132" s="252" t="s">
        <v>4802</v>
      </c>
      <c r="C132" s="252" t="s">
        <v>1327</v>
      </c>
      <c r="D132" s="50"/>
      <c r="E132" s="50"/>
      <c r="F132" s="50"/>
      <c r="G132" s="50"/>
      <c r="H132" s="50"/>
      <c r="I132" s="50"/>
      <c r="J132" s="50"/>
      <c r="K132" s="50"/>
    </row>
    <row r="133" spans="1:11" ht="19.5" customHeight="1">
      <c r="A133" s="248">
        <v>4</v>
      </c>
      <c r="B133" s="249" t="s">
        <v>4803</v>
      </c>
      <c r="C133" s="249" t="s">
        <v>1327</v>
      </c>
      <c r="D133" s="55"/>
      <c r="E133" s="55"/>
      <c r="F133" s="55"/>
      <c r="G133" s="55"/>
      <c r="H133" s="55"/>
      <c r="I133" s="55"/>
      <c r="J133" s="55"/>
      <c r="K133" s="55"/>
    </row>
    <row r="134" spans="1:11" ht="19.5" customHeight="1">
      <c r="A134" s="251">
        <v>5</v>
      </c>
      <c r="B134" s="252" t="s">
        <v>4804</v>
      </c>
      <c r="C134" s="252" t="s">
        <v>1327</v>
      </c>
      <c r="D134" s="50"/>
      <c r="E134" s="50"/>
      <c r="F134" s="50"/>
      <c r="G134" s="50"/>
      <c r="H134" s="50"/>
      <c r="I134" s="50"/>
      <c r="J134" s="50"/>
      <c r="K134" s="50"/>
    </row>
    <row r="135" spans="1:11" ht="19.5" customHeight="1">
      <c r="A135" s="248">
        <v>6</v>
      </c>
      <c r="B135" s="249" t="s">
        <v>4805</v>
      </c>
      <c r="C135" s="249" t="s">
        <v>1327</v>
      </c>
      <c r="D135" s="55"/>
      <c r="E135" s="55"/>
      <c r="F135" s="55"/>
      <c r="G135" s="55"/>
      <c r="H135" s="55"/>
      <c r="I135" s="55"/>
      <c r="J135" s="55"/>
      <c r="K135" s="55"/>
    </row>
    <row r="136" spans="1:11" ht="19.5" customHeight="1">
      <c r="A136" s="251">
        <v>7</v>
      </c>
      <c r="B136" s="252" t="s">
        <v>4806</v>
      </c>
      <c r="C136" s="252" t="s">
        <v>1327</v>
      </c>
      <c r="D136" s="50"/>
      <c r="E136" s="50"/>
      <c r="F136" s="50"/>
      <c r="G136" s="50"/>
      <c r="H136" s="50"/>
      <c r="I136" s="50"/>
      <c r="J136" s="50"/>
      <c r="K136" s="50"/>
    </row>
    <row r="137" spans="1:11" ht="19.5" customHeight="1">
      <c r="A137" s="248">
        <v>8</v>
      </c>
      <c r="B137" s="249" t="s">
        <v>4807</v>
      </c>
      <c r="C137" s="249" t="s">
        <v>1327</v>
      </c>
      <c r="D137" s="55"/>
      <c r="E137" s="55"/>
      <c r="F137" s="55"/>
      <c r="G137" s="55"/>
      <c r="H137" s="55"/>
      <c r="I137" s="55"/>
      <c r="J137" s="55"/>
      <c r="K137" s="55"/>
    </row>
    <row r="138" spans="1:11" ht="19.5" customHeight="1">
      <c r="A138" s="251">
        <v>9</v>
      </c>
      <c r="B138" s="252" t="s">
        <v>4808</v>
      </c>
      <c r="C138" s="252" t="s">
        <v>1327</v>
      </c>
      <c r="D138" s="50"/>
      <c r="E138" s="50"/>
      <c r="F138" s="50"/>
      <c r="G138" s="50"/>
      <c r="H138" s="50"/>
      <c r="I138" s="50"/>
      <c r="J138" s="50"/>
      <c r="K138" s="50"/>
    </row>
    <row r="139" spans="1:11" ht="19.5" customHeight="1">
      <c r="A139" s="248">
        <v>10</v>
      </c>
      <c r="B139" s="249" t="s">
        <v>4809</v>
      </c>
      <c r="C139" s="249" t="s">
        <v>1327</v>
      </c>
      <c r="D139" s="55"/>
      <c r="E139" s="55"/>
      <c r="F139" s="55"/>
      <c r="G139" s="55"/>
      <c r="H139" s="55"/>
      <c r="I139" s="55"/>
      <c r="J139" s="55"/>
      <c r="K139" s="55"/>
    </row>
    <row r="140" spans="1:11" ht="19.5" customHeight="1">
      <c r="A140" s="251">
        <v>11</v>
      </c>
      <c r="B140" s="252" t="s">
        <v>4810</v>
      </c>
      <c r="C140" s="252" t="s">
        <v>1327</v>
      </c>
      <c r="D140" s="50"/>
      <c r="E140" s="50"/>
      <c r="F140" s="50"/>
      <c r="G140" s="50"/>
      <c r="H140" s="50"/>
      <c r="I140" s="50"/>
      <c r="J140" s="50"/>
      <c r="K140" s="50"/>
    </row>
    <row r="141" spans="1:11" ht="19.5" customHeight="1">
      <c r="A141" s="248">
        <v>12</v>
      </c>
      <c r="B141" s="249" t="s">
        <v>4811</v>
      </c>
      <c r="C141" s="249" t="s">
        <v>1327</v>
      </c>
      <c r="D141" s="55"/>
      <c r="E141" s="55"/>
      <c r="F141" s="55"/>
      <c r="G141" s="55"/>
      <c r="H141" s="55"/>
      <c r="I141" s="55"/>
      <c r="J141" s="55"/>
      <c r="K141" s="55"/>
    </row>
    <row r="142" spans="1:11" ht="19.5" customHeight="1">
      <c r="A142" s="251"/>
      <c r="B142" s="252" t="s">
        <v>4812</v>
      </c>
      <c r="C142" s="252" t="s">
        <v>4813</v>
      </c>
      <c r="D142" s="50"/>
      <c r="E142" s="50"/>
      <c r="F142" s="50"/>
      <c r="G142" s="50"/>
      <c r="H142" s="50"/>
      <c r="I142" s="50"/>
      <c r="J142" s="50"/>
      <c r="K142" s="50"/>
    </row>
    <row r="143" spans="1:11" ht="19.5" customHeight="1">
      <c r="A143" s="248"/>
      <c r="B143" s="249" t="s">
        <v>4814</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4815</v>
      </c>
      <c r="B145" s="249" t="s">
        <v>4816</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4817</v>
      </c>
      <c r="B147" s="255" t="s">
        <v>392</v>
      </c>
      <c r="C147" s="255" t="s">
        <v>243</v>
      </c>
      <c r="D147" s="55"/>
      <c r="E147" s="55"/>
      <c r="F147" s="55"/>
      <c r="G147" s="55"/>
      <c r="H147" s="55"/>
      <c r="I147" s="55"/>
      <c r="J147" s="55"/>
      <c r="K147" s="55"/>
    </row>
    <row r="148" spans="1:11" ht="19.5" customHeight="1">
      <c r="A148" s="251" t="s">
        <v>4818</v>
      </c>
      <c r="B148" s="252" t="s">
        <v>4819</v>
      </c>
      <c r="C148" s="252" t="s">
        <v>4820</v>
      </c>
      <c r="D148" s="50"/>
      <c r="E148" s="50"/>
      <c r="F148" s="50"/>
      <c r="G148" s="50"/>
      <c r="H148" s="50"/>
      <c r="I148" s="50"/>
      <c r="J148" s="50"/>
      <c r="K148" s="50"/>
    </row>
    <row r="149" spans="1:11" ht="19.5" customHeight="1">
      <c r="A149" s="248" t="s">
        <v>4821</v>
      </c>
      <c r="B149" s="249" t="s">
        <v>4822</v>
      </c>
      <c r="C149" s="249" t="s">
        <v>4823</v>
      </c>
      <c r="D149" s="55"/>
      <c r="E149" s="55"/>
      <c r="F149" s="55"/>
      <c r="G149" s="55"/>
      <c r="H149" s="55"/>
      <c r="I149" s="55"/>
      <c r="J149" s="55"/>
      <c r="K149" s="55"/>
    </row>
    <row r="150" spans="1:11" ht="19.5" customHeight="1">
      <c r="A150" s="251" t="s">
        <v>4824</v>
      </c>
      <c r="B150" s="252" t="s">
        <v>4825</v>
      </c>
      <c r="C150" s="252" t="s">
        <v>4826</v>
      </c>
      <c r="D150" s="50"/>
      <c r="E150" s="50"/>
      <c r="F150" s="50"/>
      <c r="G150" s="50"/>
      <c r="H150" s="50"/>
      <c r="I150" s="50"/>
      <c r="J150" s="50"/>
      <c r="K150" s="50"/>
    </row>
    <row r="151" spans="1:11" ht="19.5" customHeight="1">
      <c r="A151" s="248" t="s">
        <v>4827</v>
      </c>
      <c r="B151" s="249" t="s">
        <v>4828</v>
      </c>
      <c r="C151" s="249" t="s">
        <v>4829</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4830</v>
      </c>
      <c r="B153" s="249"/>
      <c r="C153" s="258" t="s">
        <v>4831</v>
      </c>
      <c r="D153" s="55"/>
      <c r="E153" s="55"/>
      <c r="F153" s="55"/>
      <c r="G153" s="55"/>
      <c r="H153" s="55"/>
      <c r="I153" s="55"/>
      <c r="J153" s="55"/>
      <c r="K153" s="55"/>
    </row>
    <row r="154" spans="1:11" ht="19.5" customHeight="1">
      <c r="A154" s="251" t="s">
        <v>4832</v>
      </c>
      <c r="B154" s="259" t="s">
        <v>534</v>
      </c>
      <c r="C154" s="259" t="s">
        <v>243</v>
      </c>
      <c r="D154" s="50"/>
      <c r="E154" s="50"/>
      <c r="F154" s="50"/>
      <c r="G154" s="50"/>
      <c r="H154" s="50"/>
      <c r="I154" s="50"/>
      <c r="J154" s="50"/>
      <c r="K154" s="50"/>
    </row>
    <row r="155" spans="1:11" ht="19.5" customHeight="1">
      <c r="A155" s="248" t="s">
        <v>4833</v>
      </c>
      <c r="B155" s="249" t="s">
        <v>4834</v>
      </c>
      <c r="C155" s="249" t="s">
        <v>1327</v>
      </c>
      <c r="D155" s="55"/>
      <c r="E155" s="55"/>
      <c r="F155" s="55"/>
      <c r="G155" s="55"/>
      <c r="H155" s="55"/>
      <c r="I155" s="55"/>
      <c r="J155" s="55"/>
      <c r="K155" s="55"/>
    </row>
    <row r="156" spans="1:11" ht="19.5" customHeight="1">
      <c r="A156" s="251" t="s">
        <v>4835</v>
      </c>
      <c r="B156" s="252" t="s">
        <v>4836</v>
      </c>
      <c r="C156" s="252" t="s">
        <v>1327</v>
      </c>
      <c r="D156" s="50"/>
      <c r="E156" s="50"/>
      <c r="F156" s="50"/>
      <c r="G156" s="50"/>
      <c r="H156" s="50"/>
      <c r="I156" s="50"/>
      <c r="J156" s="50"/>
      <c r="K156" s="50"/>
    </row>
    <row r="157" spans="1:11" ht="19.5" customHeight="1">
      <c r="A157" s="248" t="s">
        <v>4837</v>
      </c>
      <c r="B157" s="249" t="s">
        <v>4838</v>
      </c>
      <c r="C157" s="249" t="s">
        <v>1327</v>
      </c>
      <c r="D157" s="55"/>
      <c r="E157" s="55"/>
      <c r="F157" s="55"/>
      <c r="G157" s="55"/>
      <c r="H157" s="55"/>
      <c r="I157" s="55"/>
      <c r="J157" s="55"/>
      <c r="K157" s="55"/>
    </row>
    <row r="158" spans="1:11" ht="19.5" customHeight="1">
      <c r="A158" s="251" t="s">
        <v>4839</v>
      </c>
      <c r="B158" s="252" t="s">
        <v>4840</v>
      </c>
      <c r="C158" s="252" t="s">
        <v>1327</v>
      </c>
      <c r="D158" s="50"/>
      <c r="E158" s="50"/>
      <c r="F158" s="50"/>
      <c r="G158" s="50"/>
      <c r="H158" s="50"/>
      <c r="I158" s="50"/>
      <c r="J158" s="50"/>
      <c r="K158" s="50"/>
    </row>
    <row r="159" spans="1:11" ht="19.5" customHeight="1">
      <c r="A159" s="248" t="s">
        <v>4841</v>
      </c>
      <c r="B159" s="249" t="s">
        <v>4842</v>
      </c>
      <c r="C159" s="249" t="s">
        <v>1327</v>
      </c>
      <c r="D159" s="55"/>
      <c r="E159" s="55"/>
      <c r="F159" s="55"/>
      <c r="G159" s="55"/>
      <c r="H159" s="55"/>
      <c r="I159" s="55"/>
      <c r="J159" s="55"/>
      <c r="K159" s="55"/>
    </row>
    <row r="160" spans="1:11" ht="19.5" customHeight="1">
      <c r="A160" s="251" t="s">
        <v>4843</v>
      </c>
      <c r="B160" s="252" t="s">
        <v>4844</v>
      </c>
      <c r="C160" s="252" t="s">
        <v>1327</v>
      </c>
      <c r="D160" s="50"/>
      <c r="E160" s="50"/>
      <c r="F160" s="50"/>
      <c r="G160" s="50"/>
      <c r="H160" s="50"/>
      <c r="I160" s="50"/>
      <c r="J160" s="50"/>
      <c r="K160" s="50"/>
    </row>
    <row r="161" spans="1:11" ht="19.5" customHeight="1">
      <c r="A161" s="248" t="s">
        <v>4845</v>
      </c>
      <c r="B161" s="249" t="s">
        <v>4846</v>
      </c>
      <c r="C161" s="249" t="s">
        <v>1327</v>
      </c>
      <c r="D161" s="55"/>
      <c r="E161" s="55"/>
      <c r="F161" s="55"/>
      <c r="G161" s="55"/>
      <c r="H161" s="55"/>
      <c r="I161" s="55"/>
      <c r="J161" s="55"/>
      <c r="K161" s="55"/>
    </row>
    <row r="162" spans="1:11" ht="19.5" customHeight="1">
      <c r="A162" s="251" t="s">
        <v>4847</v>
      </c>
      <c r="B162" s="252" t="s">
        <v>4848</v>
      </c>
      <c r="C162" s="252" t="s">
        <v>1327</v>
      </c>
      <c r="D162" s="50"/>
      <c r="E162" s="50"/>
      <c r="F162" s="50"/>
      <c r="G162" s="50"/>
      <c r="H162" s="50"/>
      <c r="I162" s="50"/>
      <c r="J162" s="50"/>
      <c r="K162" s="50"/>
    </row>
    <row r="163" spans="1:11" ht="19.5" customHeight="1">
      <c r="A163" s="248" t="s">
        <v>4849</v>
      </c>
      <c r="B163" s="249" t="s">
        <v>4850</v>
      </c>
      <c r="C163" s="249" t="s">
        <v>1327</v>
      </c>
      <c r="D163" s="55"/>
      <c r="E163" s="55"/>
      <c r="F163" s="55"/>
      <c r="G163" s="55"/>
      <c r="H163" s="55"/>
      <c r="I163" s="55"/>
      <c r="J163" s="55"/>
      <c r="K163" s="55"/>
    </row>
    <row r="164" spans="1:11" ht="19.5" customHeight="1">
      <c r="A164" s="251" t="s">
        <v>4851</v>
      </c>
      <c r="B164" s="252" t="s">
        <v>4852</v>
      </c>
      <c r="C164" s="252" t="s">
        <v>1327</v>
      </c>
      <c r="D164" s="50"/>
      <c r="E164" s="50"/>
      <c r="F164" s="50"/>
      <c r="G164" s="50"/>
      <c r="H164" s="50"/>
      <c r="I164" s="50"/>
      <c r="J164" s="50"/>
      <c r="K164" s="50"/>
    </row>
    <row r="165" spans="1:11" ht="19.5" customHeight="1">
      <c r="A165" s="248" t="s">
        <v>4853</v>
      </c>
      <c r="B165" s="249" t="s">
        <v>4854</v>
      </c>
      <c r="C165" s="249" t="s">
        <v>1327</v>
      </c>
      <c r="D165" s="55"/>
      <c r="E165" s="55"/>
      <c r="F165" s="55"/>
      <c r="G165" s="55"/>
      <c r="H165" s="55"/>
      <c r="I165" s="55"/>
      <c r="J165" s="55"/>
      <c r="K165" s="55"/>
    </row>
    <row r="166" spans="1:11" ht="19.5" customHeight="1">
      <c r="A166" s="251" t="s">
        <v>4855</v>
      </c>
      <c r="B166" s="252" t="s">
        <v>4856</v>
      </c>
      <c r="C166" s="252" t="s">
        <v>1327</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4857</v>
      </c>
      <c r="B168" s="252"/>
      <c r="C168" s="252"/>
      <c r="D168" s="50"/>
      <c r="E168" s="50"/>
      <c r="F168" s="50"/>
      <c r="G168" s="50"/>
      <c r="H168" s="50"/>
      <c r="I168" s="50"/>
      <c r="J168" s="50"/>
      <c r="K168" s="50"/>
    </row>
    <row r="169" spans="1:11" ht="19.5" customHeight="1">
      <c r="A169" s="248" t="s">
        <v>4858</v>
      </c>
      <c r="B169" s="249" t="s">
        <v>4859</v>
      </c>
      <c r="C169" s="249" t="s">
        <v>2139</v>
      </c>
      <c r="D169" s="55"/>
      <c r="E169" s="55"/>
      <c r="F169" s="55"/>
      <c r="G169" s="55"/>
      <c r="H169" s="55"/>
      <c r="I169" s="55"/>
      <c r="J169" s="55"/>
      <c r="K169" s="55"/>
    </row>
    <row r="170" spans="1:11" ht="19.5" customHeight="1">
      <c r="A170" s="251" t="s">
        <v>4860</v>
      </c>
      <c r="B170" s="252" t="s">
        <v>4861</v>
      </c>
      <c r="C170" s="252" t="s">
        <v>2139</v>
      </c>
      <c r="D170" s="50"/>
      <c r="E170" s="50"/>
      <c r="F170" s="50"/>
      <c r="G170" s="50"/>
      <c r="H170" s="50"/>
      <c r="I170" s="50"/>
      <c r="J170" s="50"/>
      <c r="K170" s="50"/>
    </row>
    <row r="171" spans="1:11" ht="19.5" customHeight="1">
      <c r="A171" s="248" t="s">
        <v>1963</v>
      </c>
      <c r="B171" s="258" t="s">
        <v>4862</v>
      </c>
      <c r="C171" s="249" t="s">
        <v>4863</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4864</v>
      </c>
      <c r="B173" s="258" t="s">
        <v>392</v>
      </c>
      <c r="C173" s="249"/>
      <c r="D173" s="55"/>
      <c r="E173" s="55"/>
      <c r="F173" s="55"/>
      <c r="G173" s="55"/>
      <c r="H173" s="55"/>
      <c r="I173" s="55"/>
      <c r="J173" s="55"/>
      <c r="K173" s="55"/>
    </row>
    <row r="174" spans="1:11" ht="19.5" customHeight="1">
      <c r="A174" s="251">
        <v>1</v>
      </c>
      <c r="B174" s="252" t="s">
        <v>4865</v>
      </c>
      <c r="C174" s="252"/>
      <c r="D174" s="50"/>
      <c r="E174" s="50"/>
      <c r="F174" s="50"/>
      <c r="G174" s="50"/>
      <c r="H174" s="50"/>
      <c r="I174" s="50"/>
      <c r="J174" s="50"/>
      <c r="K174" s="50"/>
    </row>
    <row r="175" spans="1:11" ht="19.5" customHeight="1">
      <c r="A175" s="248">
        <v>2</v>
      </c>
      <c r="B175" s="249" t="s">
        <v>4866</v>
      </c>
      <c r="C175" s="249"/>
      <c r="D175" s="55"/>
      <c r="E175" s="55"/>
      <c r="F175" s="55"/>
      <c r="G175" s="55"/>
      <c r="H175" s="55"/>
      <c r="I175" s="55"/>
      <c r="J175" s="55"/>
      <c r="K175" s="55"/>
    </row>
    <row r="176" spans="1:11" ht="19.5" customHeight="1">
      <c r="A176" s="251">
        <v>3</v>
      </c>
      <c r="B176" s="252" t="s">
        <v>4867</v>
      </c>
      <c r="C176" s="252"/>
      <c r="D176" s="50"/>
      <c r="E176" s="50"/>
      <c r="F176" s="50"/>
      <c r="G176" s="50"/>
      <c r="H176" s="50"/>
      <c r="I176" s="50"/>
      <c r="J176" s="50"/>
      <c r="K176" s="50"/>
    </row>
    <row r="177" spans="1:11" ht="19.5" customHeight="1">
      <c r="A177" s="248">
        <v>4</v>
      </c>
      <c r="B177" s="249" t="s">
        <v>4868</v>
      </c>
      <c r="C177" s="249"/>
      <c r="D177" s="55"/>
      <c r="E177" s="55"/>
      <c r="F177" s="55"/>
      <c r="G177" s="55"/>
      <c r="H177" s="55"/>
      <c r="I177" s="55"/>
      <c r="J177" s="55"/>
      <c r="K177" s="55"/>
    </row>
    <row r="178" spans="1:11" ht="19.5" customHeight="1">
      <c r="A178" s="251">
        <v>5</v>
      </c>
      <c r="B178" s="252" t="s">
        <v>4869</v>
      </c>
      <c r="C178" s="252"/>
      <c r="D178" s="50"/>
      <c r="E178" s="50"/>
      <c r="F178" s="50"/>
      <c r="G178" s="50"/>
      <c r="H178" s="50"/>
      <c r="I178" s="50"/>
      <c r="J178" s="50"/>
      <c r="K178" s="50"/>
    </row>
    <row r="179" spans="1:11" ht="19.5" customHeight="1">
      <c r="A179" s="248">
        <v>6</v>
      </c>
      <c r="B179" s="249" t="s">
        <v>4870</v>
      </c>
      <c r="C179" s="249"/>
      <c r="D179" s="55"/>
      <c r="E179" s="55"/>
      <c r="F179" s="55"/>
      <c r="G179" s="55"/>
      <c r="H179" s="55"/>
      <c r="I179" s="55"/>
      <c r="J179" s="55"/>
      <c r="K179" s="55"/>
    </row>
    <row r="180" spans="1:11" ht="19.5" customHeight="1">
      <c r="A180" s="251">
        <v>7</v>
      </c>
      <c r="B180" s="252" t="s">
        <v>4871</v>
      </c>
      <c r="C180" s="252"/>
      <c r="D180" s="50"/>
      <c r="E180" s="50"/>
      <c r="F180" s="50"/>
      <c r="G180" s="50"/>
      <c r="H180" s="50"/>
      <c r="I180" s="50"/>
      <c r="J180" s="50"/>
      <c r="K180" s="50"/>
    </row>
    <row r="181" spans="1:11" ht="19.5" customHeight="1">
      <c r="A181" s="248">
        <v>8</v>
      </c>
      <c r="B181" s="249" t="s">
        <v>4872</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4873</v>
      </c>
      <c r="B1" s="261"/>
      <c r="C1" s="261"/>
      <c r="D1" s="261"/>
      <c r="E1" s="261"/>
      <c r="F1" s="261"/>
    </row>
    <row r="2" spans="1:6" ht="21.75" customHeight="1">
      <c r="A2" s="262" t="s">
        <v>4874</v>
      </c>
      <c r="B2" s="263"/>
      <c r="C2" s="263"/>
      <c r="D2" s="263"/>
      <c r="E2" s="263"/>
      <c r="F2" s="263"/>
    </row>
    <row r="3" spans="1:6" ht="27.75" customHeight="1">
      <c r="A3" s="264" t="s">
        <v>4875</v>
      </c>
      <c r="B3" s="69"/>
      <c r="C3" s="69"/>
      <c r="D3" s="69"/>
      <c r="E3" s="69"/>
      <c r="F3" s="69"/>
    </row>
    <row r="4" spans="1:6" ht="19.5" customHeight="1">
      <c r="A4" s="265" t="s">
        <v>4876</v>
      </c>
      <c r="B4" s="266"/>
      <c r="C4" s="266"/>
      <c r="D4" s="266"/>
      <c r="E4" s="266"/>
      <c r="F4" s="266"/>
    </row>
    <row r="5" spans="1:6" ht="19.5" customHeight="1">
      <c r="A5" s="267" t="s">
        <v>242</v>
      </c>
      <c r="B5" s="267" t="s">
        <v>4877</v>
      </c>
      <c r="C5" s="268" t="s">
        <v>243</v>
      </c>
      <c r="D5" s="69"/>
      <c r="E5" s="69"/>
      <c r="F5" s="69"/>
    </row>
    <row r="6" spans="1:6" ht="19.5" customHeight="1">
      <c r="A6" s="269" t="s">
        <v>1646</v>
      </c>
      <c r="B6" s="269" t="s">
        <v>4878</v>
      </c>
      <c r="C6" s="270" t="s">
        <v>4879</v>
      </c>
      <c r="D6" s="69"/>
      <c r="E6" s="69"/>
      <c r="F6" s="69"/>
    </row>
    <row r="7" spans="1:6" ht="19.5" customHeight="1">
      <c r="A7" s="271" t="s">
        <v>4880</v>
      </c>
      <c r="B7" s="271" t="s">
        <v>4881</v>
      </c>
      <c r="C7" s="271" t="s">
        <v>4882</v>
      </c>
      <c r="D7" s="271"/>
      <c r="E7" s="271"/>
      <c r="F7" s="271"/>
    </row>
    <row r="8" spans="1:6" ht="19.5" customHeight="1">
      <c r="A8" s="269" t="s">
        <v>1996</v>
      </c>
      <c r="B8" s="269" t="s">
        <v>4883</v>
      </c>
      <c r="C8" s="270" t="s">
        <v>351</v>
      </c>
      <c r="D8" s="69"/>
      <c r="E8" s="69"/>
      <c r="F8" s="69"/>
    </row>
    <row r="9" spans="1:6" ht="19.5" customHeight="1">
      <c r="A9" s="269" t="s">
        <v>2000</v>
      </c>
      <c r="B9" s="269" t="s">
        <v>4884</v>
      </c>
      <c r="C9" s="270" t="s">
        <v>351</v>
      </c>
      <c r="D9" s="69"/>
      <c r="E9" s="69"/>
      <c r="F9" s="69"/>
    </row>
    <row r="10" spans="1:6" ht="19.5" customHeight="1">
      <c r="A10" s="269" t="s">
        <v>4885</v>
      </c>
      <c r="B10" s="269" t="s">
        <v>4886</v>
      </c>
      <c r="C10" s="270" t="s">
        <v>334</v>
      </c>
      <c r="D10" s="69"/>
      <c r="E10" s="69"/>
      <c r="F10" s="69"/>
    </row>
    <row r="11" spans="1:6" ht="19.5" customHeight="1">
      <c r="A11" s="269" t="s">
        <v>4887</v>
      </c>
      <c r="B11" s="269" t="s">
        <v>4888</v>
      </c>
      <c r="C11" s="270" t="s">
        <v>334</v>
      </c>
      <c r="D11" s="69"/>
      <c r="E11" s="69"/>
      <c r="F11" s="69"/>
    </row>
    <row r="12" spans="1:6" ht="19.5" customHeight="1">
      <c r="A12" s="269" t="s">
        <v>4889</v>
      </c>
      <c r="B12" s="269" t="s">
        <v>4890</v>
      </c>
      <c r="C12" s="270" t="s">
        <v>334</v>
      </c>
      <c r="D12" s="69"/>
      <c r="E12" s="69"/>
      <c r="F12" s="69"/>
    </row>
    <row r="13" spans="1:6" ht="19.5" customHeight="1">
      <c r="A13" s="269" t="s">
        <v>4891</v>
      </c>
      <c r="B13" s="269" t="s">
        <v>4892</v>
      </c>
      <c r="C13" s="270" t="s">
        <v>334</v>
      </c>
      <c r="D13" s="69"/>
      <c r="E13" s="69"/>
      <c r="F13" s="69"/>
    </row>
    <row r="14" spans="1:6" ht="19.5" customHeight="1">
      <c r="A14" s="269" t="s">
        <v>1917</v>
      </c>
      <c r="B14" s="269" t="s">
        <v>4893</v>
      </c>
      <c r="C14" s="272" t="s">
        <v>4894</v>
      </c>
      <c r="D14" s="69"/>
      <c r="E14" s="69"/>
      <c r="F14" s="69"/>
    </row>
    <row r="15" spans="1:6" ht="19.5" customHeight="1">
      <c r="A15" s="269" t="s">
        <v>4895</v>
      </c>
      <c r="B15" s="269" t="s">
        <v>4896</v>
      </c>
      <c r="C15" s="270" t="s">
        <v>334</v>
      </c>
      <c r="D15" s="69"/>
      <c r="E15" s="69"/>
      <c r="F15" s="69"/>
    </row>
    <row r="16" spans="1:6" ht="19.5" customHeight="1">
      <c r="A16" s="269" t="s">
        <v>4897</v>
      </c>
      <c r="B16" s="269" t="s">
        <v>4898</v>
      </c>
      <c r="C16" s="273" t="s">
        <v>4899</v>
      </c>
      <c r="D16" s="69"/>
      <c r="E16" s="69"/>
      <c r="F16" s="69"/>
    </row>
    <row r="17" spans="1:6" ht="19.5" customHeight="1">
      <c r="A17" s="274" t="s">
        <v>4900</v>
      </c>
      <c r="B17" s="274" t="s">
        <v>4901</v>
      </c>
      <c r="C17" s="275" t="s">
        <v>4902</v>
      </c>
      <c r="D17" s="69"/>
      <c r="E17" s="69"/>
      <c r="F17" s="69"/>
    </row>
    <row r="18" spans="1:6" ht="19.5" customHeight="1">
      <c r="A18" s="69"/>
      <c r="B18" s="69"/>
      <c r="C18" s="69"/>
      <c r="D18" s="69"/>
      <c r="E18" s="69"/>
      <c r="F18" s="69"/>
    </row>
    <row r="19" spans="1:6" ht="19.5" customHeight="1">
      <c r="A19" s="265" t="s">
        <v>4903</v>
      </c>
      <c r="B19" s="266"/>
      <c r="C19" s="266"/>
      <c r="D19" s="266"/>
      <c r="E19" s="266"/>
      <c r="F19" s="266"/>
    </row>
    <row r="20" spans="1:6" ht="19.5" customHeight="1">
      <c r="A20" s="267" t="s">
        <v>4904</v>
      </c>
      <c r="B20" s="267" t="s">
        <v>604</v>
      </c>
      <c r="C20" s="268" t="s">
        <v>243</v>
      </c>
      <c r="D20" s="267" t="s">
        <v>3383</v>
      </c>
      <c r="E20" s="268" t="s">
        <v>4905</v>
      </c>
      <c r="F20" s="267" t="s">
        <v>244</v>
      </c>
    </row>
    <row r="21" spans="1:6" ht="19.5" customHeight="1">
      <c r="A21" s="269" t="s">
        <v>3374</v>
      </c>
      <c r="B21" s="269" t="s">
        <v>4906</v>
      </c>
      <c r="C21" s="270" t="s">
        <v>2790</v>
      </c>
      <c r="D21" s="269" t="s">
        <v>4907</v>
      </c>
      <c r="E21" s="276">
        <v>20</v>
      </c>
      <c r="F21" s="269" t="s">
        <v>4908</v>
      </c>
    </row>
    <row r="22" spans="1:6" ht="19.5" customHeight="1">
      <c r="A22" s="269" t="s">
        <v>4909</v>
      </c>
      <c r="B22" s="269" t="s">
        <v>4910</v>
      </c>
      <c r="C22" s="270" t="s">
        <v>2790</v>
      </c>
      <c r="D22" s="269" t="s">
        <v>4907</v>
      </c>
      <c r="E22" s="276">
        <v>12</v>
      </c>
      <c r="F22" s="269" t="s">
        <v>4911</v>
      </c>
    </row>
    <row r="23" spans="1:6" ht="19.5" customHeight="1">
      <c r="A23" s="269" t="s">
        <v>237</v>
      </c>
      <c r="B23" s="269" t="s">
        <v>335</v>
      </c>
      <c r="C23" s="270" t="s">
        <v>2790</v>
      </c>
      <c r="D23" s="269" t="s">
        <v>236</v>
      </c>
      <c r="E23" s="276">
        <v>4</v>
      </c>
      <c r="F23" s="269" t="s">
        <v>4912</v>
      </c>
    </row>
    <row r="24" spans="1:6" ht="19.5" customHeight="1">
      <c r="A24" s="269" t="s">
        <v>4913</v>
      </c>
      <c r="B24" s="269" t="s">
        <v>4914</v>
      </c>
      <c r="C24" s="270" t="s">
        <v>2790</v>
      </c>
      <c r="D24" s="269" t="s">
        <v>236</v>
      </c>
      <c r="E24" s="276">
        <v>4</v>
      </c>
      <c r="F24" s="269" t="s">
        <v>4915</v>
      </c>
    </row>
    <row r="25" spans="1:6" ht="19.5" customHeight="1">
      <c r="A25" s="269" t="s">
        <v>4916</v>
      </c>
      <c r="B25" s="269" t="s">
        <v>4917</v>
      </c>
      <c r="C25" s="270" t="s">
        <v>2790</v>
      </c>
      <c r="D25" s="269" t="s">
        <v>236</v>
      </c>
      <c r="E25" s="276">
        <v>6</v>
      </c>
      <c r="F25" s="269" t="s">
        <v>4918</v>
      </c>
    </row>
    <row r="26" spans="1:6" ht="19.5" customHeight="1">
      <c r="A26" s="269" t="s">
        <v>4919</v>
      </c>
      <c r="B26" s="269" t="s">
        <v>4920</v>
      </c>
      <c r="C26" s="270" t="s">
        <v>2790</v>
      </c>
      <c r="D26" s="269" t="s">
        <v>236</v>
      </c>
      <c r="E26" s="276">
        <v>4</v>
      </c>
      <c r="F26" s="269" t="s">
        <v>4921</v>
      </c>
    </row>
    <row r="27" spans="1:6" ht="19.5" customHeight="1">
      <c r="A27" s="269" t="s">
        <v>4922</v>
      </c>
      <c r="B27" s="269" t="s">
        <v>4923</v>
      </c>
      <c r="C27" s="270" t="s">
        <v>2790</v>
      </c>
      <c r="D27" s="269" t="s">
        <v>236</v>
      </c>
      <c r="E27" s="276">
        <v>3</v>
      </c>
      <c r="F27" s="269" t="s">
        <v>4924</v>
      </c>
    </row>
    <row r="28" spans="1:6" ht="19.5" customHeight="1">
      <c r="A28" s="269" t="s">
        <v>4925</v>
      </c>
      <c r="B28" s="269" t="s">
        <v>4926</v>
      </c>
      <c r="C28" s="270" t="s">
        <v>2790</v>
      </c>
      <c r="D28" s="269" t="s">
        <v>236</v>
      </c>
      <c r="E28" s="276">
        <v>3</v>
      </c>
      <c r="F28" s="269" t="s">
        <v>4927</v>
      </c>
    </row>
    <row r="29" spans="1:6" ht="19.5" customHeight="1">
      <c r="A29" s="269" t="s">
        <v>4928</v>
      </c>
      <c r="B29" s="269" t="s">
        <v>4929</v>
      </c>
      <c r="C29" s="270" t="s">
        <v>2790</v>
      </c>
      <c r="D29" s="269" t="s">
        <v>236</v>
      </c>
      <c r="E29" s="276">
        <v>5</v>
      </c>
      <c r="F29" s="269" t="s">
        <v>4930</v>
      </c>
    </row>
    <row r="30" spans="1:6" ht="19.5" customHeight="1">
      <c r="A30" s="269" t="s">
        <v>4931</v>
      </c>
      <c r="B30" s="269" t="s">
        <v>4932</v>
      </c>
      <c r="C30" s="270" t="s">
        <v>2790</v>
      </c>
      <c r="D30" s="269" t="s">
        <v>236</v>
      </c>
      <c r="E30" s="276">
        <v>3</v>
      </c>
      <c r="F30" s="269" t="s">
        <v>4933</v>
      </c>
    </row>
    <row r="31" spans="1:6" ht="19.5" customHeight="1">
      <c r="A31" s="269" t="s">
        <v>4934</v>
      </c>
      <c r="B31" s="269" t="s">
        <v>4935</v>
      </c>
      <c r="C31" s="270" t="s">
        <v>2790</v>
      </c>
      <c r="D31" s="269" t="s">
        <v>236</v>
      </c>
      <c r="E31" s="276">
        <v>3</v>
      </c>
      <c r="F31" s="269" t="s">
        <v>4936</v>
      </c>
    </row>
    <row r="32" spans="1:6" ht="19.5" customHeight="1">
      <c r="A32" s="269" t="s">
        <v>4937</v>
      </c>
      <c r="B32" s="269" t="s">
        <v>4938</v>
      </c>
      <c r="C32" s="270" t="s">
        <v>2790</v>
      </c>
      <c r="D32" s="269" t="s">
        <v>236</v>
      </c>
      <c r="E32" s="276">
        <v>3</v>
      </c>
      <c r="F32" s="269" t="s">
        <v>4939</v>
      </c>
    </row>
    <row r="33" spans="1:6" ht="19.5" customHeight="1">
      <c r="A33" s="269" t="s">
        <v>4940</v>
      </c>
      <c r="B33" s="269" t="s">
        <v>4941</v>
      </c>
      <c r="C33" s="270" t="s">
        <v>2790</v>
      </c>
      <c r="D33" s="269" t="s">
        <v>236</v>
      </c>
      <c r="E33" s="276">
        <v>3</v>
      </c>
      <c r="F33" s="269" t="s">
        <v>4942</v>
      </c>
    </row>
    <row r="34" spans="1:6" ht="19.5" customHeight="1">
      <c r="A34" s="269" t="s">
        <v>4943</v>
      </c>
      <c r="B34" s="269" t="s">
        <v>4944</v>
      </c>
      <c r="C34" s="270" t="s">
        <v>2790</v>
      </c>
      <c r="D34" s="269" t="s">
        <v>4945</v>
      </c>
      <c r="E34" s="276">
        <v>3</v>
      </c>
      <c r="F34" s="269" t="s">
        <v>4946</v>
      </c>
    </row>
    <row r="35" spans="1:6" ht="19.5" customHeight="1">
      <c r="A35" s="269" t="s">
        <v>4947</v>
      </c>
      <c r="B35" s="269" t="s">
        <v>4948</v>
      </c>
      <c r="C35" s="270" t="s">
        <v>2790</v>
      </c>
      <c r="D35" s="269" t="s">
        <v>4945</v>
      </c>
      <c r="E35" s="276">
        <v>3</v>
      </c>
      <c r="F35" s="269" t="s">
        <v>4949</v>
      </c>
    </row>
    <row r="36" spans="1:6" ht="19.5" customHeight="1">
      <c r="A36" s="269" t="s">
        <v>4950</v>
      </c>
      <c r="B36" s="269" t="s">
        <v>4951</v>
      </c>
      <c r="C36" s="270" t="s">
        <v>2790</v>
      </c>
      <c r="D36" s="269" t="s">
        <v>4945</v>
      </c>
      <c r="E36" s="276">
        <v>3</v>
      </c>
      <c r="F36" s="269" t="s">
        <v>4952</v>
      </c>
    </row>
    <row r="37" spans="1:6" ht="19.5" customHeight="1">
      <c r="A37" s="269" t="s">
        <v>865</v>
      </c>
      <c r="B37" s="269" t="s">
        <v>4953</v>
      </c>
      <c r="C37" s="270" t="s">
        <v>2790</v>
      </c>
      <c r="D37" s="269" t="s">
        <v>4954</v>
      </c>
      <c r="E37" s="276">
        <v>25</v>
      </c>
      <c r="F37" s="269" t="s">
        <v>4955</v>
      </c>
    </row>
    <row r="38" spans="1:6" ht="19.5" customHeight="1">
      <c r="A38" s="269" t="s">
        <v>4956</v>
      </c>
      <c r="B38" s="269" t="s">
        <v>4957</v>
      </c>
      <c r="C38" s="270" t="s">
        <v>2790</v>
      </c>
      <c r="D38" s="269" t="s">
        <v>4958</v>
      </c>
      <c r="E38" s="276">
        <v>25</v>
      </c>
      <c r="F38" s="269" t="s">
        <v>4959</v>
      </c>
    </row>
    <row r="39" spans="1:6" ht="19.5" customHeight="1">
      <c r="A39" s="269" t="s">
        <v>4960</v>
      </c>
      <c r="B39" s="269" t="s">
        <v>4961</v>
      </c>
      <c r="C39" s="270" t="s">
        <v>2790</v>
      </c>
      <c r="D39" s="269" t="s">
        <v>4962</v>
      </c>
      <c r="E39" s="276">
        <v>18</v>
      </c>
      <c r="F39" s="269" t="s">
        <v>4963</v>
      </c>
    </row>
    <row r="40" spans="1:6" ht="19.5" customHeight="1">
      <c r="A40" s="269" t="s">
        <v>4964</v>
      </c>
      <c r="B40" s="269" t="s">
        <v>4965</v>
      </c>
      <c r="C40" s="270" t="s">
        <v>2790</v>
      </c>
      <c r="D40" s="269" t="s">
        <v>4958</v>
      </c>
      <c r="E40" s="276">
        <v>13</v>
      </c>
      <c r="F40" s="269" t="s">
        <v>4966</v>
      </c>
    </row>
    <row r="41" spans="1:6" ht="19.5" customHeight="1">
      <c r="A41" s="269" t="s">
        <v>4967</v>
      </c>
      <c r="B41" s="269" t="s">
        <v>4968</v>
      </c>
      <c r="C41" s="270" t="s">
        <v>2790</v>
      </c>
      <c r="D41" s="269" t="s">
        <v>4969</v>
      </c>
      <c r="E41" s="276">
        <v>5</v>
      </c>
      <c r="F41" s="269" t="s">
        <v>4970</v>
      </c>
    </row>
    <row r="42" spans="1:6" ht="19.5" customHeight="1">
      <c r="A42" s="269" t="s">
        <v>4971</v>
      </c>
      <c r="B42" s="269" t="s">
        <v>4972</v>
      </c>
      <c r="C42" s="270" t="s">
        <v>2790</v>
      </c>
      <c r="D42" s="269" t="s">
        <v>4969</v>
      </c>
      <c r="E42" s="276">
        <v>6</v>
      </c>
      <c r="F42" s="269" t="s">
        <v>4973</v>
      </c>
    </row>
    <row r="43" spans="1:6" ht="19.5" customHeight="1">
      <c r="A43" s="269" t="s">
        <v>4974</v>
      </c>
      <c r="B43" s="269" t="s">
        <v>4975</v>
      </c>
      <c r="C43" s="270" t="s">
        <v>2790</v>
      </c>
      <c r="D43" s="269" t="s">
        <v>4969</v>
      </c>
      <c r="E43" s="276">
        <v>10</v>
      </c>
      <c r="F43" s="269" t="s">
        <v>4976</v>
      </c>
    </row>
    <row r="44" spans="1:6" ht="19.5" customHeight="1">
      <c r="A44" s="269" t="s">
        <v>4977</v>
      </c>
      <c r="B44" s="269" t="s">
        <v>4978</v>
      </c>
      <c r="C44" s="270" t="s">
        <v>2790</v>
      </c>
      <c r="D44" s="269" t="s">
        <v>4969</v>
      </c>
      <c r="E44" s="276">
        <v>4</v>
      </c>
      <c r="F44" s="269" t="s">
        <v>4979</v>
      </c>
    </row>
    <row r="45" spans="1:6" ht="19.5" customHeight="1">
      <c r="A45" s="269" t="s">
        <v>4980</v>
      </c>
      <c r="B45" s="269" t="s">
        <v>4981</v>
      </c>
      <c r="C45" s="270" t="s">
        <v>2790</v>
      </c>
      <c r="D45" s="269" t="s">
        <v>4969</v>
      </c>
      <c r="E45" s="276">
        <v>6</v>
      </c>
      <c r="F45" s="269" t="s">
        <v>4982</v>
      </c>
    </row>
    <row r="46" spans="1:6" ht="19.5" customHeight="1">
      <c r="A46" s="269" t="s">
        <v>4983</v>
      </c>
      <c r="B46" s="269" t="s">
        <v>4984</v>
      </c>
      <c r="C46" s="270" t="s">
        <v>2790</v>
      </c>
      <c r="D46" s="269" t="s">
        <v>4706</v>
      </c>
      <c r="E46" s="276">
        <v>14</v>
      </c>
      <c r="F46" s="269" t="s">
        <v>4985</v>
      </c>
    </row>
    <row r="47" spans="1:6" ht="19.5" customHeight="1">
      <c r="A47" s="269" t="s">
        <v>4986</v>
      </c>
      <c r="B47" s="269" t="s">
        <v>4987</v>
      </c>
      <c r="C47" s="270" t="s">
        <v>2790</v>
      </c>
      <c r="D47" s="269" t="s">
        <v>4706</v>
      </c>
      <c r="E47" s="276">
        <v>10</v>
      </c>
      <c r="F47" s="269" t="s">
        <v>4988</v>
      </c>
    </row>
    <row r="48" spans="1:6" ht="19.5" customHeight="1">
      <c r="A48" s="269" t="s">
        <v>4989</v>
      </c>
      <c r="B48" s="269" t="s">
        <v>4990</v>
      </c>
      <c r="C48" s="270" t="s">
        <v>2790</v>
      </c>
      <c r="D48" s="269" t="s">
        <v>4706</v>
      </c>
      <c r="E48" s="276">
        <v>3</v>
      </c>
      <c r="F48" s="269" t="s">
        <v>4991</v>
      </c>
    </row>
    <row r="49" spans="1:6" ht="19.5" customHeight="1">
      <c r="A49" s="269" t="s">
        <v>4992</v>
      </c>
      <c r="B49" s="269" t="s">
        <v>4993</v>
      </c>
      <c r="C49" s="270" t="s">
        <v>2790</v>
      </c>
      <c r="D49" s="269" t="s">
        <v>4994</v>
      </c>
      <c r="E49" s="276">
        <v>14</v>
      </c>
      <c r="F49" s="269" t="s">
        <v>4995</v>
      </c>
    </row>
    <row r="50" spans="1:6" ht="19.5" customHeight="1">
      <c r="A50" s="269" t="s">
        <v>4996</v>
      </c>
      <c r="B50" s="269" t="s">
        <v>4997</v>
      </c>
      <c r="C50" s="270" t="s">
        <v>2790</v>
      </c>
      <c r="D50" s="269" t="s">
        <v>4998</v>
      </c>
      <c r="E50" s="276">
        <v>5</v>
      </c>
      <c r="F50" s="269" t="s">
        <v>4999</v>
      </c>
    </row>
    <row r="51" spans="1:6" ht="19.5" customHeight="1">
      <c r="A51" s="269" t="s">
        <v>5000</v>
      </c>
      <c r="B51" s="269" t="s">
        <v>5001</v>
      </c>
      <c r="C51" s="270" t="s">
        <v>2790</v>
      </c>
      <c r="D51" s="269" t="s">
        <v>4962</v>
      </c>
      <c r="E51" s="276">
        <v>9</v>
      </c>
      <c r="F51" s="269" t="s">
        <v>5002</v>
      </c>
    </row>
    <row r="52" spans="1:6" ht="19.5" customHeight="1">
      <c r="A52" s="269" t="s">
        <v>5003</v>
      </c>
      <c r="B52" s="269" t="s">
        <v>5004</v>
      </c>
      <c r="C52" s="270" t="s">
        <v>2790</v>
      </c>
      <c r="D52" s="269" t="s">
        <v>5005</v>
      </c>
      <c r="E52" s="276">
        <v>8</v>
      </c>
      <c r="F52" s="269" t="s">
        <v>5006</v>
      </c>
    </row>
    <row r="53" spans="1:6" ht="19.5" customHeight="1">
      <c r="A53" s="269" t="s">
        <v>5007</v>
      </c>
      <c r="B53" s="269" t="s">
        <v>5008</v>
      </c>
      <c r="C53" s="270" t="s">
        <v>2790</v>
      </c>
      <c r="D53" s="269" t="s">
        <v>5005</v>
      </c>
      <c r="E53" s="276">
        <v>6</v>
      </c>
      <c r="F53" s="269" t="s">
        <v>5009</v>
      </c>
    </row>
    <row r="54" spans="1:6" ht="19.5" customHeight="1">
      <c r="A54" s="269" t="s">
        <v>5010</v>
      </c>
      <c r="B54" s="269" t="s">
        <v>5011</v>
      </c>
      <c r="C54" s="270" t="s">
        <v>2790</v>
      </c>
      <c r="D54" s="269" t="s">
        <v>5012</v>
      </c>
      <c r="E54" s="276">
        <v>6</v>
      </c>
      <c r="F54" s="269" t="s">
        <v>5013</v>
      </c>
    </row>
    <row r="55" spans="1:6" ht="19.5" customHeight="1">
      <c r="A55" s="269" t="s">
        <v>5014</v>
      </c>
      <c r="B55" s="269" t="s">
        <v>5015</v>
      </c>
      <c r="C55" s="270" t="s">
        <v>2790</v>
      </c>
      <c r="D55" s="269" t="s">
        <v>5012</v>
      </c>
      <c r="E55" s="276">
        <v>51</v>
      </c>
      <c r="F55" s="269" t="s">
        <v>5016</v>
      </c>
    </row>
    <row r="56" spans="1:6" ht="19.5" customHeight="1">
      <c r="A56" s="269" t="s">
        <v>5017</v>
      </c>
      <c r="B56" s="269" t="s">
        <v>5018</v>
      </c>
      <c r="C56" s="270" t="s">
        <v>2790</v>
      </c>
      <c r="D56" s="269" t="s">
        <v>5012</v>
      </c>
      <c r="E56" s="276">
        <v>7</v>
      </c>
      <c r="F56" s="269" t="s">
        <v>5019</v>
      </c>
    </row>
    <row r="57" spans="1:6" ht="19.5" customHeight="1">
      <c r="A57" s="269" t="s">
        <v>5020</v>
      </c>
      <c r="B57" s="269" t="s">
        <v>5021</v>
      </c>
      <c r="C57" s="270" t="s">
        <v>2790</v>
      </c>
      <c r="D57" s="269" t="s">
        <v>5022</v>
      </c>
      <c r="E57" s="276">
        <v>5</v>
      </c>
      <c r="F57" s="269" t="s">
        <v>5023</v>
      </c>
    </row>
    <row r="58" spans="1:6" ht="19.5" customHeight="1">
      <c r="A58" s="269" t="s">
        <v>5024</v>
      </c>
      <c r="B58" s="269" t="s">
        <v>5025</v>
      </c>
      <c r="C58" s="270" t="s">
        <v>2790</v>
      </c>
      <c r="D58" s="269" t="s">
        <v>5026</v>
      </c>
      <c r="E58" s="276">
        <v>13</v>
      </c>
      <c r="F58" s="269" t="s">
        <v>5027</v>
      </c>
    </row>
    <row r="59" spans="1:6" ht="19.5" customHeight="1">
      <c r="A59" s="269" t="s">
        <v>5028</v>
      </c>
      <c r="B59" s="269" t="s">
        <v>5029</v>
      </c>
      <c r="C59" s="270" t="s">
        <v>2790</v>
      </c>
      <c r="D59" s="269" t="s">
        <v>5030</v>
      </c>
      <c r="E59" s="276">
        <v>2</v>
      </c>
      <c r="F59" s="269" t="s">
        <v>5031</v>
      </c>
    </row>
    <row r="60" spans="1:6" ht="19.5" customHeight="1">
      <c r="A60" s="269" t="s">
        <v>5032</v>
      </c>
      <c r="B60" s="269" t="s">
        <v>5033</v>
      </c>
      <c r="C60" s="270" t="s">
        <v>2790</v>
      </c>
      <c r="D60" s="269" t="s">
        <v>5030</v>
      </c>
      <c r="E60" s="276">
        <v>3</v>
      </c>
      <c r="F60" s="269" t="s">
        <v>5034</v>
      </c>
    </row>
    <row r="61" spans="1:6" ht="19.5" customHeight="1">
      <c r="A61" s="269" t="s">
        <v>5035</v>
      </c>
      <c r="B61" s="269" t="s">
        <v>5036</v>
      </c>
      <c r="C61" s="270" t="s">
        <v>2790</v>
      </c>
      <c r="D61" s="269" t="s">
        <v>5030</v>
      </c>
      <c r="E61" s="276">
        <v>2</v>
      </c>
      <c r="F61" s="269" t="s">
        <v>5037</v>
      </c>
    </row>
    <row r="62" spans="1:6" ht="19.5" customHeight="1">
      <c r="A62" s="269" t="s">
        <v>5038</v>
      </c>
      <c r="B62" s="269" t="s">
        <v>5039</v>
      </c>
      <c r="C62" s="270" t="s">
        <v>2790</v>
      </c>
      <c r="D62" s="269" t="s">
        <v>5040</v>
      </c>
      <c r="E62" s="276">
        <v>9</v>
      </c>
      <c r="F62" s="269" t="s">
        <v>5041</v>
      </c>
    </row>
    <row r="63" spans="1:6" ht="19.5" customHeight="1">
      <c r="A63" s="269" t="s">
        <v>5042</v>
      </c>
      <c r="B63" s="269" t="s">
        <v>5043</v>
      </c>
      <c r="C63" s="270" t="s">
        <v>2790</v>
      </c>
      <c r="D63" s="269" t="s">
        <v>5040</v>
      </c>
      <c r="E63" s="276">
        <v>8</v>
      </c>
      <c r="F63" s="269" t="s">
        <v>5044</v>
      </c>
    </row>
    <row r="64" spans="1:6" ht="19.5" customHeight="1">
      <c r="A64" s="269" t="s">
        <v>5045</v>
      </c>
      <c r="B64" s="269" t="s">
        <v>5046</v>
      </c>
      <c r="C64" s="270" t="s">
        <v>2790</v>
      </c>
      <c r="D64" s="269" t="s">
        <v>4994</v>
      </c>
      <c r="E64" s="276">
        <v>4</v>
      </c>
      <c r="F64" s="269" t="s">
        <v>5047</v>
      </c>
    </row>
    <row r="65" spans="1:6" ht="19.5" customHeight="1">
      <c r="A65" s="269" t="s">
        <v>5048</v>
      </c>
      <c r="B65" s="269" t="s">
        <v>5049</v>
      </c>
      <c r="C65" s="270" t="s">
        <v>2790</v>
      </c>
      <c r="D65" s="269" t="s">
        <v>4994</v>
      </c>
      <c r="E65" s="276">
        <v>4</v>
      </c>
      <c r="F65" s="269" t="s">
        <v>5050</v>
      </c>
    </row>
    <row r="66" spans="1:6" ht="19.5" customHeight="1">
      <c r="A66" s="269" t="s">
        <v>5051</v>
      </c>
      <c r="B66" s="269" t="s">
        <v>5052</v>
      </c>
      <c r="C66" s="270" t="s">
        <v>2790</v>
      </c>
      <c r="D66" s="269" t="s">
        <v>4994</v>
      </c>
      <c r="E66" s="276">
        <v>5</v>
      </c>
      <c r="F66" s="269" t="s">
        <v>5053</v>
      </c>
    </row>
    <row r="67" spans="1:6" ht="19.5" customHeight="1">
      <c r="A67" s="269" t="s">
        <v>5054</v>
      </c>
      <c r="B67" s="269" t="s">
        <v>5055</v>
      </c>
      <c r="C67" s="270" t="s">
        <v>2790</v>
      </c>
      <c r="D67" s="269" t="s">
        <v>4969</v>
      </c>
      <c r="E67" s="276">
        <v>4</v>
      </c>
      <c r="F67" s="269" t="s">
        <v>5056</v>
      </c>
    </row>
    <row r="68" spans="1:6" ht="19.5" customHeight="1">
      <c r="A68" s="274" t="s">
        <v>5057</v>
      </c>
      <c r="B68" s="274" t="s">
        <v>5058</v>
      </c>
      <c r="C68" s="277" t="s">
        <v>2790</v>
      </c>
      <c r="D68" s="274" t="s">
        <v>4969</v>
      </c>
      <c r="E68" s="278">
        <v>4</v>
      </c>
      <c r="F68" s="274" t="s">
        <v>5059</v>
      </c>
    </row>
    <row r="69" spans="1:6" ht="19.5" customHeight="1">
      <c r="A69" s="279" t="s">
        <v>5060</v>
      </c>
      <c r="B69" s="279" t="s">
        <v>5061</v>
      </c>
      <c r="C69" s="280" t="s">
        <v>2790</v>
      </c>
      <c r="D69" s="279" t="s">
        <v>5062</v>
      </c>
      <c r="E69" s="281">
        <v>6</v>
      </c>
      <c r="F69" s="279" t="s">
        <v>5063</v>
      </c>
    </row>
    <row r="70" spans="1:6" ht="19.5" customHeight="1">
      <c r="A70" s="279" t="s">
        <v>5064</v>
      </c>
      <c r="B70" s="279" t="s">
        <v>5065</v>
      </c>
      <c r="C70" s="280" t="s">
        <v>2790</v>
      </c>
      <c r="D70" s="279" t="s">
        <v>5062</v>
      </c>
      <c r="E70" s="281">
        <v>3</v>
      </c>
      <c r="F70" s="279" t="s">
        <v>5066</v>
      </c>
    </row>
    <row r="71" spans="1:6" ht="19.5" customHeight="1">
      <c r="A71" s="279" t="s">
        <v>5067</v>
      </c>
      <c r="B71" s="279" t="s">
        <v>5068</v>
      </c>
      <c r="C71" s="280" t="s">
        <v>2790</v>
      </c>
      <c r="D71" s="279" t="s">
        <v>5062</v>
      </c>
      <c r="E71" s="281">
        <v>9</v>
      </c>
      <c r="F71" s="279" t="s">
        <v>5069</v>
      </c>
    </row>
    <row r="72" spans="1:6" ht="19.5" customHeight="1">
      <c r="A72" s="279" t="s">
        <v>5070</v>
      </c>
      <c r="B72" s="279" t="s">
        <v>5071</v>
      </c>
      <c r="C72" s="280" t="s">
        <v>2790</v>
      </c>
      <c r="D72" s="279" t="s">
        <v>5062</v>
      </c>
      <c r="E72" s="281">
        <v>7</v>
      </c>
      <c r="F72" s="279" t="s">
        <v>5072</v>
      </c>
    </row>
    <row r="73" spans="1:6" ht="19.5" customHeight="1">
      <c r="A73" s="282" t="s">
        <v>5073</v>
      </c>
      <c r="B73" s="283" t="s">
        <v>5074</v>
      </c>
      <c r="C73" s="283" t="s">
        <v>2790</v>
      </c>
      <c r="D73" s="283" t="s">
        <v>5062</v>
      </c>
      <c r="E73" s="283">
        <v>9</v>
      </c>
      <c r="F73" s="283" t="s">
        <v>5075</v>
      </c>
    </row>
    <row r="74" spans="1:6" ht="19.5" customHeight="1">
      <c r="A74" s="282" t="s">
        <v>5076</v>
      </c>
      <c r="B74" s="283" t="s">
        <v>5077</v>
      </c>
      <c r="C74" s="283" t="s">
        <v>2790</v>
      </c>
      <c r="D74" s="283" t="s">
        <v>5062</v>
      </c>
      <c r="E74" s="283">
        <v>7</v>
      </c>
      <c r="F74" s="283" t="s">
        <v>5078</v>
      </c>
    </row>
    <row r="75" spans="1:6" ht="19.5" customHeight="1">
      <c r="A75" s="282" t="s">
        <v>1672</v>
      </c>
      <c r="B75" s="283" t="s">
        <v>5079</v>
      </c>
      <c r="C75" s="283" t="s">
        <v>2790</v>
      </c>
      <c r="D75" s="283" t="s">
        <v>4945</v>
      </c>
      <c r="E75" s="283">
        <v>5</v>
      </c>
      <c r="F75" s="283" t="s">
        <v>5080</v>
      </c>
    </row>
    <row r="76" spans="1:6" ht="19.5" customHeight="1">
      <c r="A76" s="284" t="s">
        <v>5081</v>
      </c>
      <c r="B76" s="284" t="s">
        <v>5082</v>
      </c>
      <c r="C76" s="285" t="s">
        <v>5083</v>
      </c>
      <c r="D76" s="284" t="s">
        <v>236</v>
      </c>
      <c r="E76" s="286">
        <v>3</v>
      </c>
      <c r="F76" s="284" t="s">
        <v>5084</v>
      </c>
    </row>
    <row r="77" spans="1:6" ht="19.5" customHeight="1">
      <c r="A77" s="284" t="s">
        <v>5085</v>
      </c>
      <c r="B77" s="284" t="s">
        <v>5086</v>
      </c>
      <c r="C77" s="285" t="s">
        <v>5087</v>
      </c>
      <c r="D77" s="284" t="s">
        <v>5026</v>
      </c>
      <c r="E77" s="286">
        <v>15</v>
      </c>
      <c r="F77" s="284" t="s">
        <v>5088</v>
      </c>
    </row>
    <row r="78" spans="1:6" ht="19.5" customHeight="1">
      <c r="A78" s="284" t="s">
        <v>5089</v>
      </c>
      <c r="B78" s="284" t="s">
        <v>5090</v>
      </c>
      <c r="C78" s="285" t="s">
        <v>5087</v>
      </c>
      <c r="D78" s="284" t="s">
        <v>5091</v>
      </c>
      <c r="E78" s="286">
        <v>2</v>
      </c>
      <c r="F78" s="284" t="s">
        <v>5092</v>
      </c>
    </row>
    <row r="79" spans="1:6" ht="19.5" customHeight="1">
      <c r="A79" s="284" t="s">
        <v>5093</v>
      </c>
      <c r="B79" s="284" t="s">
        <v>5094</v>
      </c>
      <c r="C79" s="285" t="s">
        <v>5087</v>
      </c>
      <c r="D79" s="284" t="s">
        <v>5026</v>
      </c>
      <c r="E79" s="286">
        <v>12</v>
      </c>
      <c r="F79" s="284" t="s">
        <v>5095</v>
      </c>
    </row>
    <row r="80" spans="1:6" ht="19.5" customHeight="1">
      <c r="A80" s="284" t="s">
        <v>5096</v>
      </c>
      <c r="B80" s="284" t="s">
        <v>5097</v>
      </c>
      <c r="C80" s="285" t="s">
        <v>5087</v>
      </c>
      <c r="D80" s="284" t="s">
        <v>236</v>
      </c>
      <c r="E80" s="286">
        <v>2</v>
      </c>
      <c r="F80" s="284" t="s">
        <v>5098</v>
      </c>
    </row>
    <row r="81" spans="1:6" ht="19.5" customHeight="1">
      <c r="A81" s="284" t="s">
        <v>5099</v>
      </c>
      <c r="B81" s="284" t="s">
        <v>5100</v>
      </c>
      <c r="C81" s="285" t="s">
        <v>5087</v>
      </c>
      <c r="D81" s="284" t="s">
        <v>236</v>
      </c>
      <c r="E81" s="286">
        <v>3</v>
      </c>
      <c r="F81" s="284" t="s">
        <v>5101</v>
      </c>
    </row>
    <row r="82" spans="1:6" ht="19.5" customHeight="1">
      <c r="A82" s="284" t="s">
        <v>5102</v>
      </c>
      <c r="B82" s="284" t="s">
        <v>5103</v>
      </c>
      <c r="C82" s="285" t="s">
        <v>5087</v>
      </c>
      <c r="D82" s="284" t="s">
        <v>5104</v>
      </c>
      <c r="E82" s="286">
        <v>3</v>
      </c>
      <c r="F82" s="284" t="s">
        <v>5105</v>
      </c>
    </row>
    <row r="83" spans="1:6" ht="19.5" customHeight="1">
      <c r="A83" s="284" t="s">
        <v>5106</v>
      </c>
      <c r="B83" s="284" t="s">
        <v>5107</v>
      </c>
      <c r="C83" s="285" t="s">
        <v>5087</v>
      </c>
      <c r="D83" s="284" t="s">
        <v>236</v>
      </c>
      <c r="E83" s="286">
        <v>3</v>
      </c>
      <c r="F83" s="284" t="s">
        <v>5108</v>
      </c>
    </row>
    <row r="84" spans="1:6" ht="19.5" customHeight="1">
      <c r="A84" s="284" t="s">
        <v>5109</v>
      </c>
      <c r="B84" s="284" t="s">
        <v>5110</v>
      </c>
      <c r="C84" s="285" t="s">
        <v>5087</v>
      </c>
      <c r="D84" s="284" t="s">
        <v>236</v>
      </c>
      <c r="E84" s="286">
        <v>3</v>
      </c>
      <c r="F84" s="284" t="s">
        <v>5111</v>
      </c>
    </row>
    <row r="85" spans="1:6" ht="19.5" customHeight="1">
      <c r="A85" s="284" t="s">
        <v>5112</v>
      </c>
      <c r="B85" s="284" t="s">
        <v>5113</v>
      </c>
      <c r="C85" s="285" t="s">
        <v>5087</v>
      </c>
      <c r="D85" s="284" t="s">
        <v>5012</v>
      </c>
      <c r="E85" s="286">
        <v>7</v>
      </c>
      <c r="F85" s="284" t="s">
        <v>5114</v>
      </c>
    </row>
    <row r="86" spans="1:6" ht="19.5" customHeight="1">
      <c r="A86" s="284" t="s">
        <v>5115</v>
      </c>
      <c r="B86" s="284" t="s">
        <v>5116</v>
      </c>
      <c r="C86" s="285" t="s">
        <v>5087</v>
      </c>
      <c r="D86" s="284" t="s">
        <v>5104</v>
      </c>
      <c r="E86" s="286">
        <v>5</v>
      </c>
      <c r="F86" s="284" t="s">
        <v>5117</v>
      </c>
    </row>
    <row r="87" spans="1:6" ht="19.5" customHeight="1">
      <c r="A87" s="284" t="s">
        <v>5118</v>
      </c>
      <c r="B87" s="284" t="s">
        <v>5119</v>
      </c>
      <c r="C87" s="285" t="s">
        <v>5087</v>
      </c>
      <c r="D87" s="284" t="s">
        <v>236</v>
      </c>
      <c r="E87" s="286">
        <v>3</v>
      </c>
      <c r="F87" s="284" t="s">
        <v>5120</v>
      </c>
    </row>
    <row r="88" spans="1:6" ht="19.5" customHeight="1">
      <c r="A88" s="287" t="s">
        <v>5121</v>
      </c>
      <c r="B88" s="287" t="s">
        <v>5122</v>
      </c>
      <c r="C88" s="288" t="s">
        <v>5087</v>
      </c>
      <c r="D88" s="287" t="s">
        <v>236</v>
      </c>
      <c r="E88" s="289">
        <v>6</v>
      </c>
      <c r="F88" s="287" t="s">
        <v>5123</v>
      </c>
    </row>
    <row r="89" spans="1:6" ht="19.5" customHeight="1">
      <c r="A89" s="69"/>
      <c r="B89" s="69"/>
      <c r="C89" s="69"/>
      <c r="D89" s="69"/>
      <c r="E89" s="69"/>
      <c r="F89" s="69"/>
    </row>
    <row r="90" spans="1:6" ht="19.5" customHeight="1">
      <c r="A90" s="265" t="s">
        <v>5124</v>
      </c>
      <c r="B90" s="266"/>
      <c r="C90" s="266"/>
      <c r="D90" s="266"/>
      <c r="E90" s="266"/>
      <c r="F90" s="266"/>
    </row>
    <row r="91" spans="1:6" ht="19.5" customHeight="1">
      <c r="A91" s="267" t="s">
        <v>242</v>
      </c>
      <c r="B91" s="268" t="s">
        <v>322</v>
      </c>
      <c r="C91" s="268" t="s">
        <v>391</v>
      </c>
      <c r="D91" s="267" t="s">
        <v>5125</v>
      </c>
      <c r="E91" s="267" t="s">
        <v>5126</v>
      </c>
      <c r="F91" s="267" t="s">
        <v>244</v>
      </c>
    </row>
    <row r="92" spans="1:6" ht="19.5" customHeight="1">
      <c r="A92" s="269" t="s">
        <v>5127</v>
      </c>
      <c r="B92" s="276" t="s">
        <v>5128</v>
      </c>
      <c r="C92" s="276" t="s">
        <v>5129</v>
      </c>
      <c r="D92" s="269" t="s">
        <v>5130</v>
      </c>
      <c r="E92" s="269" t="s">
        <v>1979</v>
      </c>
      <c r="F92" s="269" t="s">
        <v>5131</v>
      </c>
    </row>
    <row r="93" spans="1:6" ht="19.5" customHeight="1">
      <c r="A93" s="269" t="s">
        <v>5132</v>
      </c>
      <c r="B93" s="290">
        <v>46042</v>
      </c>
      <c r="C93" s="276" t="s">
        <v>5133</v>
      </c>
      <c r="D93" s="269" t="s">
        <v>5134</v>
      </c>
      <c r="E93" s="269" t="s">
        <v>1979</v>
      </c>
      <c r="F93" s="269" t="s">
        <v>5135</v>
      </c>
    </row>
    <row r="94" spans="1:6" ht="19.5" customHeight="1">
      <c r="A94" s="269" t="s">
        <v>5136</v>
      </c>
      <c r="B94" s="276" t="s">
        <v>5137</v>
      </c>
      <c r="C94" s="276" t="s">
        <v>5138</v>
      </c>
      <c r="D94" s="269" t="s">
        <v>5139</v>
      </c>
      <c r="E94" s="269" t="s">
        <v>5140</v>
      </c>
      <c r="F94" s="269" t="s">
        <v>5141</v>
      </c>
    </row>
    <row r="95" spans="1:6" ht="19.5" customHeight="1">
      <c r="A95" s="269" t="s">
        <v>5142</v>
      </c>
      <c r="B95" s="276" t="s">
        <v>5143</v>
      </c>
      <c r="C95" s="276" t="s">
        <v>5144</v>
      </c>
      <c r="D95" s="269" t="s">
        <v>5145</v>
      </c>
      <c r="E95" s="269" t="s">
        <v>1979</v>
      </c>
      <c r="F95" s="269" t="s">
        <v>5146</v>
      </c>
    </row>
    <row r="96" spans="1:6" ht="19.5" customHeight="1">
      <c r="A96" s="269" t="s">
        <v>5147</v>
      </c>
      <c r="B96" s="276" t="s">
        <v>5148</v>
      </c>
      <c r="C96" s="276" t="s">
        <v>1586</v>
      </c>
      <c r="D96" s="269" t="s">
        <v>5149</v>
      </c>
      <c r="E96" s="269" t="s">
        <v>5150</v>
      </c>
      <c r="F96" s="269" t="s">
        <v>5151</v>
      </c>
    </row>
    <row r="97" spans="1:6" ht="19.5" customHeight="1">
      <c r="A97" s="269" t="s">
        <v>5152</v>
      </c>
      <c r="B97" s="276" t="s">
        <v>5153</v>
      </c>
      <c r="C97" s="276" t="s">
        <v>1586</v>
      </c>
      <c r="D97" s="269" t="s">
        <v>5154</v>
      </c>
      <c r="E97" s="269" t="s">
        <v>5150</v>
      </c>
      <c r="F97" s="269" t="s">
        <v>5155</v>
      </c>
    </row>
    <row r="98" spans="1:6" ht="19.5" customHeight="1">
      <c r="A98" s="269" t="s">
        <v>5156</v>
      </c>
      <c r="B98" s="276" t="s">
        <v>5157</v>
      </c>
      <c r="C98" s="276" t="s">
        <v>1586</v>
      </c>
      <c r="D98" s="269" t="s">
        <v>5154</v>
      </c>
      <c r="E98" s="269" t="s">
        <v>5158</v>
      </c>
      <c r="F98" s="269" t="s">
        <v>5159</v>
      </c>
    </row>
    <row r="99" spans="1:6" ht="19.5" customHeight="1">
      <c r="A99" s="269" t="s">
        <v>5160</v>
      </c>
      <c r="B99" s="276" t="s">
        <v>5161</v>
      </c>
      <c r="C99" s="276" t="s">
        <v>1586</v>
      </c>
      <c r="D99" s="269" t="s">
        <v>5162</v>
      </c>
      <c r="E99" s="269" t="s">
        <v>5163</v>
      </c>
      <c r="F99" s="269" t="s">
        <v>5164</v>
      </c>
    </row>
    <row r="100" spans="1:6" ht="19.5" customHeight="1">
      <c r="A100" s="269" t="s">
        <v>5165</v>
      </c>
      <c r="B100" s="276" t="s">
        <v>5166</v>
      </c>
      <c r="C100" s="276" t="s">
        <v>1586</v>
      </c>
      <c r="D100" s="269" t="s">
        <v>5167</v>
      </c>
      <c r="E100" s="269" t="s">
        <v>1691</v>
      </c>
      <c r="F100" s="269" t="s">
        <v>5168</v>
      </c>
    </row>
    <row r="101" spans="1:6" ht="19.5" customHeight="1">
      <c r="A101" s="269" t="s">
        <v>5169</v>
      </c>
      <c r="B101" s="276" t="s">
        <v>5170</v>
      </c>
      <c r="C101" s="276" t="s">
        <v>1586</v>
      </c>
      <c r="D101" s="269" t="s">
        <v>5171</v>
      </c>
      <c r="E101" s="269" t="s">
        <v>1687</v>
      </c>
      <c r="F101" s="269" t="s">
        <v>5172</v>
      </c>
    </row>
    <row r="102" spans="1:6" ht="19.5" customHeight="1">
      <c r="A102" s="269" t="s">
        <v>5173</v>
      </c>
      <c r="B102" s="276" t="s">
        <v>5174</v>
      </c>
      <c r="C102" s="276" t="s">
        <v>1586</v>
      </c>
      <c r="D102" s="269" t="s">
        <v>5175</v>
      </c>
      <c r="E102" s="269" t="s">
        <v>1683</v>
      </c>
      <c r="F102" s="269" t="s">
        <v>5176</v>
      </c>
    </row>
    <row r="103" spans="1:6" ht="19.5" customHeight="1">
      <c r="A103" s="269" t="s">
        <v>5177</v>
      </c>
      <c r="B103" s="276" t="s">
        <v>5178</v>
      </c>
      <c r="C103" s="276" t="s">
        <v>1586</v>
      </c>
      <c r="D103" s="269" t="s">
        <v>5179</v>
      </c>
      <c r="E103" s="269" t="s">
        <v>5180</v>
      </c>
      <c r="F103" s="269" t="s">
        <v>5181</v>
      </c>
    </row>
    <row r="104" spans="1:6" ht="19.5" customHeight="1">
      <c r="A104" s="269" t="s">
        <v>5182</v>
      </c>
      <c r="B104" s="276" t="s">
        <v>1979</v>
      </c>
      <c r="C104" s="276" t="s">
        <v>1586</v>
      </c>
      <c r="D104" s="269" t="s">
        <v>5183</v>
      </c>
      <c r="E104" s="269" t="s">
        <v>1689</v>
      </c>
      <c r="F104" s="269" t="s">
        <v>5184</v>
      </c>
    </row>
    <row r="105" spans="1:6" ht="19.5" customHeight="1">
      <c r="A105" s="269" t="s">
        <v>5185</v>
      </c>
      <c r="B105" s="276" t="s">
        <v>5186</v>
      </c>
      <c r="C105" s="276" t="s">
        <v>1586</v>
      </c>
      <c r="D105" s="269" t="s">
        <v>5187</v>
      </c>
      <c r="E105" s="269" t="s">
        <v>5188</v>
      </c>
      <c r="F105" s="269" t="s">
        <v>5189</v>
      </c>
    </row>
    <row r="106" spans="1:6" ht="19.5" customHeight="1">
      <c r="A106" s="269" t="s">
        <v>5190</v>
      </c>
      <c r="B106" s="276" t="s">
        <v>1979</v>
      </c>
      <c r="C106" s="276" t="s">
        <v>1586</v>
      </c>
      <c r="D106" s="269" t="s">
        <v>5191</v>
      </c>
      <c r="E106" s="269" t="s">
        <v>1692</v>
      </c>
      <c r="F106" s="269" t="s">
        <v>5192</v>
      </c>
    </row>
    <row r="107" spans="1:6" ht="19.5" customHeight="1">
      <c r="A107" s="269" t="s">
        <v>5193</v>
      </c>
      <c r="B107" s="276" t="s">
        <v>1979</v>
      </c>
      <c r="C107" s="276" t="s">
        <v>1586</v>
      </c>
      <c r="D107" s="269" t="s">
        <v>5194</v>
      </c>
      <c r="E107" s="269" t="s">
        <v>1979</v>
      </c>
      <c r="F107" s="269" t="s">
        <v>5195</v>
      </c>
    </row>
    <row r="108" spans="1:6" ht="19.5" customHeight="1">
      <c r="A108" s="269" t="s">
        <v>5196</v>
      </c>
      <c r="B108" s="276" t="s">
        <v>1979</v>
      </c>
      <c r="C108" s="276" t="s">
        <v>1586</v>
      </c>
      <c r="D108" s="269" t="s">
        <v>5197</v>
      </c>
      <c r="E108" s="269" t="s">
        <v>5198</v>
      </c>
      <c r="F108" s="269" t="s">
        <v>5199</v>
      </c>
    </row>
    <row r="109" spans="1:6" ht="19.5" customHeight="1">
      <c r="A109" s="269" t="s">
        <v>5200</v>
      </c>
      <c r="B109" s="276" t="s">
        <v>1979</v>
      </c>
      <c r="C109" s="276" t="s">
        <v>5201</v>
      </c>
      <c r="D109" s="269" t="s">
        <v>5202</v>
      </c>
      <c r="E109" s="269" t="s">
        <v>1979</v>
      </c>
      <c r="F109" s="269" t="s">
        <v>5203</v>
      </c>
    </row>
    <row r="110" spans="1:6" ht="19.5" customHeight="1">
      <c r="A110" s="269" t="s">
        <v>5204</v>
      </c>
      <c r="B110" s="276" t="s">
        <v>1979</v>
      </c>
      <c r="C110" s="276" t="s">
        <v>1586</v>
      </c>
      <c r="D110" s="269" t="s">
        <v>5205</v>
      </c>
      <c r="E110" s="269" t="s">
        <v>1979</v>
      </c>
      <c r="F110" s="269" t="s">
        <v>5206</v>
      </c>
    </row>
    <row r="111" spans="1:6" ht="19.5" customHeight="1">
      <c r="A111" s="274" t="s">
        <v>5207</v>
      </c>
      <c r="B111" s="278" t="s">
        <v>5208</v>
      </c>
      <c r="C111" s="278" t="s">
        <v>5209</v>
      </c>
      <c r="D111" s="274" t="s">
        <v>5210</v>
      </c>
      <c r="E111" s="274" t="s">
        <v>5211</v>
      </c>
      <c r="F111" s="274" t="s">
        <v>5212</v>
      </c>
    </row>
    <row r="112" spans="1:6" ht="19.5" customHeight="1">
      <c r="A112" s="69"/>
      <c r="B112" s="69"/>
      <c r="C112" s="69"/>
      <c r="D112" s="69"/>
      <c r="E112" s="69"/>
      <c r="F112" s="69"/>
    </row>
    <row r="113" spans="1:6" ht="19.5" customHeight="1">
      <c r="A113" s="265" t="s">
        <v>5213</v>
      </c>
      <c r="B113" s="266"/>
      <c r="C113" s="266"/>
      <c r="D113" s="266"/>
      <c r="E113" s="266"/>
      <c r="F113" s="266"/>
    </row>
    <row r="114" spans="1:6" ht="19.5" customHeight="1">
      <c r="A114" s="291" t="s">
        <v>5214</v>
      </c>
      <c r="B114" s="69"/>
      <c r="C114" s="69"/>
      <c r="D114" s="69"/>
      <c r="E114" s="69"/>
      <c r="F114" s="69"/>
    </row>
    <row r="115" spans="1:6" ht="19.5" customHeight="1">
      <c r="A115" s="279" t="s">
        <v>5215</v>
      </c>
      <c r="B115" s="69"/>
      <c r="C115" s="69"/>
      <c r="D115" s="69"/>
      <c r="E115" s="69"/>
      <c r="F115" s="69"/>
    </row>
    <row r="116" spans="1:6" ht="27" customHeight="1">
      <c r="A116" s="279" t="s">
        <v>5216</v>
      </c>
      <c r="B116" s="69"/>
      <c r="C116" s="69"/>
      <c r="D116" s="69"/>
      <c r="E116" s="69"/>
      <c r="F116" s="69"/>
    </row>
    <row r="117" spans="1:6" ht="27" customHeight="1">
      <c r="A117" s="279" t="s">
        <v>5217</v>
      </c>
      <c r="B117" s="69"/>
      <c r="C117" s="69"/>
      <c r="D117" s="69"/>
      <c r="E117" s="69"/>
      <c r="F117" s="69"/>
    </row>
    <row r="118" spans="1:6" ht="27" customHeight="1">
      <c r="A118" s="279" t="s">
        <v>5218</v>
      </c>
      <c r="B118" s="69"/>
      <c r="C118" s="69"/>
      <c r="D118" s="69"/>
      <c r="E118" s="69"/>
      <c r="F118" s="69"/>
    </row>
    <row r="119" spans="1:6" ht="27" customHeight="1">
      <c r="A119" s="279" t="s">
        <v>5219</v>
      </c>
      <c r="B119" s="69"/>
      <c r="C119" s="69"/>
      <c r="D119" s="69"/>
      <c r="E119" s="69"/>
      <c r="F119" s="69"/>
    </row>
    <row r="120" spans="1:6" ht="15" customHeight="1">
      <c r="A120" s="279" t="s">
        <v>5220</v>
      </c>
      <c r="B120" s="69"/>
      <c r="C120" s="69"/>
      <c r="D120" s="69"/>
      <c r="E120" s="69"/>
      <c r="F120" s="69"/>
    </row>
    <row r="121" spans="1:6" ht="15" customHeight="1">
      <c r="A121" s="279" t="s">
        <v>5221</v>
      </c>
      <c r="B121" s="69"/>
      <c r="C121" s="69"/>
      <c r="D121" s="69"/>
      <c r="E121" s="69"/>
      <c r="F121" s="69"/>
    </row>
    <row r="122" spans="1:6" ht="15" customHeight="1">
      <c r="A122" s="279"/>
      <c r="B122" s="69"/>
      <c r="C122" s="69"/>
      <c r="D122" s="69"/>
      <c r="E122" s="69"/>
      <c r="F122" s="69"/>
    </row>
    <row r="123" spans="1:6" ht="40.5" customHeight="1">
      <c r="A123" s="291" t="s">
        <v>5222</v>
      </c>
      <c r="B123" s="69"/>
      <c r="C123" s="69"/>
      <c r="D123" s="69"/>
      <c r="E123" s="69"/>
      <c r="F123" s="69"/>
    </row>
    <row r="124" spans="1:6" ht="40.5" customHeight="1">
      <c r="A124" s="279" t="s">
        <v>5223</v>
      </c>
      <c r="B124" s="69"/>
      <c r="C124" s="69"/>
      <c r="D124" s="69"/>
      <c r="E124" s="69"/>
      <c r="F124" s="69"/>
    </row>
    <row r="125" spans="1:6" ht="27" customHeight="1">
      <c r="A125" s="279" t="s">
        <v>5224</v>
      </c>
      <c r="B125" s="69"/>
      <c r="C125" s="69"/>
      <c r="D125" s="69"/>
      <c r="E125" s="69"/>
      <c r="F125" s="69"/>
    </row>
    <row r="126" spans="1:6" ht="27" customHeight="1">
      <c r="A126" s="279" t="s">
        <v>5225</v>
      </c>
      <c r="B126" s="69"/>
      <c r="C126" s="69"/>
      <c r="D126" s="69"/>
      <c r="E126" s="69"/>
      <c r="F126" s="69"/>
    </row>
    <row r="127" spans="1:6" ht="27" customHeight="1">
      <c r="A127" s="279" t="s">
        <v>5226</v>
      </c>
      <c r="B127" s="69"/>
      <c r="C127" s="69"/>
      <c r="D127" s="69"/>
      <c r="E127" s="69"/>
      <c r="F127" s="69"/>
    </row>
    <row r="128" spans="1:6" ht="27" customHeight="1">
      <c r="A128" s="279" t="s">
        <v>5227</v>
      </c>
      <c r="B128" s="69"/>
      <c r="C128" s="69"/>
      <c r="D128" s="69"/>
      <c r="E128" s="69"/>
      <c r="F128" s="69"/>
    </row>
    <row r="129" spans="1:6" ht="15" customHeight="1">
      <c r="A129" s="279"/>
      <c r="B129" s="69"/>
      <c r="C129" s="69"/>
      <c r="D129" s="69"/>
      <c r="E129" s="69"/>
      <c r="F129" s="69"/>
    </row>
    <row r="130" spans="1:6" ht="40.5" customHeight="1">
      <c r="A130" s="291" t="s">
        <v>5228</v>
      </c>
      <c r="B130" s="69"/>
      <c r="C130" s="69"/>
      <c r="D130" s="69"/>
      <c r="E130" s="69"/>
      <c r="F130" s="69"/>
    </row>
    <row r="131" spans="1:6" ht="27" customHeight="1">
      <c r="A131" s="279" t="s">
        <v>5229</v>
      </c>
      <c r="B131" s="69"/>
      <c r="C131" s="69"/>
      <c r="D131" s="69"/>
      <c r="E131" s="69"/>
      <c r="F131" s="69"/>
    </row>
    <row r="132" spans="1:6" ht="27" customHeight="1">
      <c r="A132" s="279" t="s">
        <v>5230</v>
      </c>
      <c r="B132" s="69"/>
      <c r="C132" s="69"/>
      <c r="D132" s="69"/>
      <c r="E132" s="69"/>
      <c r="F132" s="69"/>
    </row>
    <row r="133" spans="1:6" ht="27" customHeight="1">
      <c r="A133" s="279" t="s">
        <v>5231</v>
      </c>
      <c r="B133" s="69"/>
      <c r="C133" s="69"/>
      <c r="D133" s="69"/>
      <c r="E133" s="69"/>
      <c r="F133" s="69"/>
    </row>
    <row r="134" spans="1:6" ht="27" customHeight="1">
      <c r="A134" s="279" t="s">
        <v>5232</v>
      </c>
      <c r="B134" s="69"/>
      <c r="C134" s="69"/>
      <c r="D134" s="69"/>
      <c r="E134" s="69"/>
      <c r="F134" s="69"/>
    </row>
    <row r="135" spans="1:6" ht="27" customHeight="1">
      <c r="A135" s="279" t="s">
        <v>5233</v>
      </c>
      <c r="B135" s="69"/>
      <c r="C135" s="69"/>
      <c r="D135" s="69"/>
      <c r="E135" s="69"/>
      <c r="F135" s="69"/>
    </row>
    <row r="136" spans="1:6" ht="27" customHeight="1">
      <c r="A136" s="279" t="s">
        <v>5234</v>
      </c>
      <c r="B136" s="69"/>
      <c r="C136" s="69"/>
      <c r="D136" s="69"/>
      <c r="E136" s="69"/>
      <c r="F136" s="69"/>
    </row>
    <row r="137" spans="1:6" ht="27" customHeight="1">
      <c r="A137" s="279" t="s">
        <v>5235</v>
      </c>
      <c r="B137" s="69"/>
      <c r="C137" s="69"/>
      <c r="D137" s="69"/>
      <c r="E137" s="69"/>
      <c r="F137" s="69"/>
    </row>
    <row r="138" spans="1:6" ht="15" customHeight="1">
      <c r="A138" s="279"/>
      <c r="B138" s="69"/>
      <c r="C138" s="69"/>
      <c r="D138" s="69"/>
      <c r="E138" s="69"/>
      <c r="F138" s="69"/>
    </row>
    <row r="139" spans="1:6" ht="27" customHeight="1">
      <c r="A139" s="291" t="s">
        <v>5236</v>
      </c>
      <c r="B139" s="69"/>
      <c r="C139" s="69"/>
      <c r="D139" s="69"/>
      <c r="E139" s="69"/>
      <c r="F139" s="69"/>
    </row>
    <row r="140" spans="1:6" ht="27" customHeight="1">
      <c r="A140" s="279" t="s">
        <v>5237</v>
      </c>
      <c r="B140" s="69"/>
      <c r="C140" s="69"/>
      <c r="D140" s="69"/>
      <c r="E140" s="69"/>
      <c r="F140" s="69"/>
    </row>
    <row r="141" spans="1:6" ht="27" customHeight="1">
      <c r="A141" s="279" t="s">
        <v>5238</v>
      </c>
      <c r="B141" s="69"/>
      <c r="C141" s="69"/>
      <c r="D141" s="69"/>
      <c r="E141" s="69"/>
      <c r="F141" s="69"/>
    </row>
    <row r="142" spans="1:6" ht="15" customHeight="1">
      <c r="A142" s="279" t="s">
        <v>5239</v>
      </c>
      <c r="B142" s="69"/>
      <c r="C142" s="69"/>
      <c r="D142" s="69"/>
      <c r="E142" s="69"/>
      <c r="F142" s="69"/>
    </row>
    <row r="143" spans="1:6" ht="15" customHeight="1">
      <c r="A143" s="69"/>
      <c r="B143" s="69"/>
      <c r="C143" s="69"/>
      <c r="D143" s="69"/>
      <c r="E143" s="69"/>
      <c r="F143" s="69"/>
    </row>
    <row r="144" spans="1:6" ht="15" customHeight="1">
      <c r="A144" s="265" t="s">
        <v>5240</v>
      </c>
      <c r="B144" s="266"/>
      <c r="C144" s="266"/>
      <c r="D144" s="266"/>
      <c r="E144" s="266"/>
      <c r="F144" s="266"/>
    </row>
    <row r="145" spans="1:6" ht="15" customHeight="1">
      <c r="A145" s="267" t="s">
        <v>604</v>
      </c>
      <c r="B145" s="267" t="s">
        <v>3383</v>
      </c>
      <c r="C145" s="267" t="s">
        <v>605</v>
      </c>
      <c r="D145" s="267" t="s">
        <v>5241</v>
      </c>
      <c r="E145" s="69"/>
      <c r="F145" s="69"/>
    </row>
    <row r="146" spans="1:6" ht="15" customHeight="1">
      <c r="A146" s="292" t="s">
        <v>5242</v>
      </c>
      <c r="B146" s="269" t="s">
        <v>5243</v>
      </c>
      <c r="C146" s="269" t="s">
        <v>5244</v>
      </c>
      <c r="D146" s="269" t="s">
        <v>5245</v>
      </c>
      <c r="E146" s="69"/>
      <c r="F146" s="69"/>
    </row>
    <row r="147" spans="1:6" ht="15" customHeight="1">
      <c r="A147" s="292" t="s">
        <v>5246</v>
      </c>
      <c r="B147" s="269" t="s">
        <v>5247</v>
      </c>
      <c r="C147" s="269" t="s">
        <v>5248</v>
      </c>
      <c r="D147" s="269" t="s">
        <v>5249</v>
      </c>
      <c r="E147" s="69"/>
      <c r="F147" s="69"/>
    </row>
    <row r="148" spans="1:6" ht="15" customHeight="1">
      <c r="A148" s="292" t="s">
        <v>5250</v>
      </c>
      <c r="B148" s="269" t="s">
        <v>5251</v>
      </c>
      <c r="C148" s="269" t="s">
        <v>5252</v>
      </c>
      <c r="D148" s="269" t="s">
        <v>5253</v>
      </c>
      <c r="E148" s="69"/>
      <c r="F148" s="69"/>
    </row>
    <row r="149" spans="1:6" ht="15" customHeight="1">
      <c r="A149" s="292" t="s">
        <v>5254</v>
      </c>
      <c r="B149" s="269" t="s">
        <v>2004</v>
      </c>
      <c r="C149" s="269" t="s">
        <v>5255</v>
      </c>
      <c r="D149" s="269" t="s">
        <v>5256</v>
      </c>
      <c r="E149" s="69"/>
      <c r="F149" s="69"/>
    </row>
    <row r="150" spans="1:6" ht="15" customHeight="1">
      <c r="A150" s="292" t="s">
        <v>5257</v>
      </c>
      <c r="B150" s="269" t="s">
        <v>5258</v>
      </c>
      <c r="C150" s="269" t="s">
        <v>5259</v>
      </c>
      <c r="D150" s="269" t="s">
        <v>5260</v>
      </c>
      <c r="E150" s="69"/>
      <c r="F150" s="69"/>
    </row>
    <row r="151" spans="1:6" ht="15" customHeight="1">
      <c r="A151" s="292" t="s">
        <v>5261</v>
      </c>
      <c r="B151" s="269" t="s">
        <v>4895</v>
      </c>
      <c r="C151" s="269" t="s">
        <v>5262</v>
      </c>
      <c r="D151" s="269" t="s">
        <v>5263</v>
      </c>
      <c r="E151" s="69"/>
      <c r="F151" s="69"/>
    </row>
    <row r="152" spans="1:6" ht="15" customHeight="1">
      <c r="A152" s="292" t="s">
        <v>5264</v>
      </c>
      <c r="B152" s="269" t="s">
        <v>5265</v>
      </c>
      <c r="C152" s="269" t="s">
        <v>5266</v>
      </c>
      <c r="D152" s="269" t="s">
        <v>5267</v>
      </c>
      <c r="E152" s="69"/>
      <c r="F152" s="69"/>
    </row>
    <row r="153" spans="1:6" ht="15" customHeight="1">
      <c r="A153" s="292" t="s">
        <v>5268</v>
      </c>
      <c r="B153" s="269" t="s">
        <v>5269</v>
      </c>
      <c r="C153" s="269" t="s">
        <v>5270</v>
      </c>
      <c r="D153" s="269" t="s">
        <v>5271</v>
      </c>
      <c r="E153" s="69"/>
      <c r="F153" s="69"/>
    </row>
    <row r="154" spans="1:6" ht="15" customHeight="1">
      <c r="A154" s="292" t="s">
        <v>5272</v>
      </c>
      <c r="B154" s="269" t="s">
        <v>5273</v>
      </c>
      <c r="C154" s="269" t="s">
        <v>5274</v>
      </c>
      <c r="D154" s="269" t="s">
        <v>5275</v>
      </c>
      <c r="E154" s="69"/>
      <c r="F154" s="69"/>
    </row>
    <row r="155" spans="1:6" ht="15" customHeight="1">
      <c r="A155" s="292" t="s">
        <v>5276</v>
      </c>
      <c r="B155" s="269" t="s">
        <v>5277</v>
      </c>
      <c r="C155" s="269" t="s">
        <v>5278</v>
      </c>
      <c r="D155" s="269" t="s">
        <v>5279</v>
      </c>
      <c r="E155" s="69"/>
      <c r="F155" s="69"/>
    </row>
    <row r="156" spans="1:6" ht="15" customHeight="1">
      <c r="A156" s="292" t="s">
        <v>5280</v>
      </c>
      <c r="B156" s="269" t="s">
        <v>4858</v>
      </c>
      <c r="C156" s="269" t="s">
        <v>5281</v>
      </c>
      <c r="D156" s="269" t="s">
        <v>5282</v>
      </c>
      <c r="E156" s="69"/>
      <c r="F156" s="69"/>
    </row>
    <row r="157" spans="1:6" ht="15" customHeight="1">
      <c r="A157" s="292" t="s">
        <v>5283</v>
      </c>
      <c r="B157" s="269" t="s">
        <v>5284</v>
      </c>
      <c r="C157" s="269" t="s">
        <v>5285</v>
      </c>
      <c r="D157" s="269" t="s">
        <v>5286</v>
      </c>
      <c r="E157" s="69"/>
      <c r="F157" s="69"/>
    </row>
    <row r="158" spans="1:6" ht="15" customHeight="1">
      <c r="A158" s="292" t="s">
        <v>5287</v>
      </c>
      <c r="B158" s="269" t="s">
        <v>5288</v>
      </c>
      <c r="C158" s="269" t="s">
        <v>5289</v>
      </c>
      <c r="D158" s="269" t="s">
        <v>5290</v>
      </c>
      <c r="E158" s="69"/>
      <c r="F158" s="69"/>
    </row>
    <row r="159" spans="1:6" ht="15" customHeight="1">
      <c r="A159" s="292" t="s">
        <v>5291</v>
      </c>
      <c r="B159" s="269" t="s">
        <v>5292</v>
      </c>
      <c r="C159" s="269" t="s">
        <v>5293</v>
      </c>
      <c r="D159" s="269" t="s">
        <v>5294</v>
      </c>
      <c r="E159" s="69"/>
      <c r="F159" s="69"/>
    </row>
    <row r="160" spans="1:6" ht="15" customHeight="1">
      <c r="A160" s="292" t="s">
        <v>5295</v>
      </c>
      <c r="B160" s="269" t="s">
        <v>5296</v>
      </c>
      <c r="C160" s="269" t="s">
        <v>5297</v>
      </c>
      <c r="D160" s="269" t="s">
        <v>5298</v>
      </c>
      <c r="E160" s="69"/>
      <c r="F160" s="69"/>
    </row>
    <row r="161" spans="1:6" ht="15" customHeight="1">
      <c r="A161" s="292" t="s">
        <v>5299</v>
      </c>
      <c r="B161" s="269" t="s">
        <v>5300</v>
      </c>
      <c r="C161" s="269" t="s">
        <v>5301</v>
      </c>
      <c r="D161" s="269" t="s">
        <v>5302</v>
      </c>
      <c r="E161" s="69"/>
      <c r="F161" s="69"/>
    </row>
    <row r="162" spans="1:6" ht="15" customHeight="1">
      <c r="A162" s="292" t="s">
        <v>5303</v>
      </c>
      <c r="B162" s="269" t="s">
        <v>5304</v>
      </c>
      <c r="C162" s="269" t="s">
        <v>5305</v>
      </c>
      <c r="D162" s="269" t="s">
        <v>5306</v>
      </c>
      <c r="E162" s="69"/>
      <c r="F162" s="69"/>
    </row>
    <row r="163" spans="1:6" ht="15" customHeight="1">
      <c r="A163" s="292" t="s">
        <v>5307</v>
      </c>
      <c r="B163" s="269" t="s">
        <v>5308</v>
      </c>
      <c r="C163" s="269" t="s">
        <v>5309</v>
      </c>
      <c r="D163" s="269" t="s">
        <v>5310</v>
      </c>
      <c r="E163" s="69"/>
      <c r="F163" s="69"/>
    </row>
    <row r="164" spans="1:6" ht="15" customHeight="1">
      <c r="A164" s="292" t="s">
        <v>5311</v>
      </c>
      <c r="B164" s="269" t="s">
        <v>5312</v>
      </c>
      <c r="C164" s="269" t="s">
        <v>5313</v>
      </c>
      <c r="D164" s="269" t="s">
        <v>5314</v>
      </c>
      <c r="E164" s="69"/>
      <c r="F164" s="69"/>
    </row>
    <row r="165" spans="1:6" ht="15" customHeight="1">
      <c r="A165" s="292" t="s">
        <v>5315</v>
      </c>
      <c r="B165" s="269" t="s">
        <v>5316</v>
      </c>
      <c r="C165" s="269" t="s">
        <v>5317</v>
      </c>
      <c r="D165" s="269" t="s">
        <v>5318</v>
      </c>
      <c r="E165" s="69"/>
      <c r="F165" s="69"/>
    </row>
    <row r="166" spans="1:6" ht="15" customHeight="1">
      <c r="A166" s="292" t="s">
        <v>5319</v>
      </c>
      <c r="B166" s="269" t="s">
        <v>5320</v>
      </c>
      <c r="C166" s="269" t="s">
        <v>5321</v>
      </c>
      <c r="D166" s="269" t="s">
        <v>5322</v>
      </c>
      <c r="E166" s="69"/>
      <c r="F166" s="69"/>
    </row>
    <row r="167" spans="1:6" ht="15" customHeight="1">
      <c r="A167" s="292" t="s">
        <v>5323</v>
      </c>
      <c r="B167" s="269" t="s">
        <v>5320</v>
      </c>
      <c r="C167" s="269" t="s">
        <v>5324</v>
      </c>
      <c r="D167" s="269" t="s">
        <v>5325</v>
      </c>
      <c r="E167" s="69"/>
      <c r="F167" s="69"/>
    </row>
    <row r="168" spans="1:6" ht="15" customHeight="1">
      <c r="A168" s="292" t="s">
        <v>5326</v>
      </c>
      <c r="B168" s="269" t="s">
        <v>5320</v>
      </c>
      <c r="C168" s="269" t="s">
        <v>5327</v>
      </c>
      <c r="D168" s="269" t="s">
        <v>5328</v>
      </c>
      <c r="E168" s="69"/>
      <c r="F168" s="69"/>
    </row>
    <row r="169" spans="1:6" ht="15" customHeight="1">
      <c r="A169" s="292" t="s">
        <v>5329</v>
      </c>
      <c r="B169" s="269" t="s">
        <v>5320</v>
      </c>
      <c r="C169" s="269" t="s">
        <v>5330</v>
      </c>
      <c r="D169" s="269" t="s">
        <v>5331</v>
      </c>
      <c r="E169" s="69"/>
      <c r="F169" s="69"/>
    </row>
    <row r="170" spans="1:6" ht="15" customHeight="1">
      <c r="A170" s="292" t="s">
        <v>5332</v>
      </c>
      <c r="B170" s="269" t="s">
        <v>5333</v>
      </c>
      <c r="C170" s="269" t="s">
        <v>5334</v>
      </c>
      <c r="D170" s="269" t="s">
        <v>5335</v>
      </c>
      <c r="E170" s="69"/>
      <c r="F170" s="69"/>
    </row>
    <row r="171" spans="1:6" ht="15" customHeight="1">
      <c r="A171" s="292" t="s">
        <v>5336</v>
      </c>
      <c r="B171" s="269" t="s">
        <v>5337</v>
      </c>
      <c r="C171" s="269" t="s">
        <v>5338</v>
      </c>
      <c r="D171" s="269" t="s">
        <v>5339</v>
      </c>
      <c r="E171" s="69"/>
      <c r="F171" s="69"/>
    </row>
    <row r="172" spans="1:6" ht="15" customHeight="1">
      <c r="A172" s="292" t="s">
        <v>5340</v>
      </c>
      <c r="B172" s="269" t="s">
        <v>5320</v>
      </c>
      <c r="C172" s="269" t="s">
        <v>5341</v>
      </c>
      <c r="D172" s="269" t="s">
        <v>5342</v>
      </c>
      <c r="E172" s="69"/>
      <c r="F172" s="69"/>
    </row>
    <row r="173" spans="1:6" ht="15" customHeight="1">
      <c r="A173" s="292" t="s">
        <v>5343</v>
      </c>
      <c r="B173" s="269" t="s">
        <v>5344</v>
      </c>
      <c r="C173" s="269" t="s">
        <v>5345</v>
      </c>
      <c r="D173" s="269" t="s">
        <v>5346</v>
      </c>
      <c r="E173" s="69"/>
      <c r="F173" s="69"/>
    </row>
    <row r="174" spans="1:6" ht="15" customHeight="1">
      <c r="A174" s="292" t="s">
        <v>5347</v>
      </c>
      <c r="B174" s="269" t="s">
        <v>2004</v>
      </c>
      <c r="C174" s="269" t="s">
        <v>5348</v>
      </c>
      <c r="D174" s="269" t="s">
        <v>5349</v>
      </c>
      <c r="E174" s="69"/>
      <c r="F174" s="69"/>
    </row>
    <row r="175" spans="1:6" ht="15" customHeight="1">
      <c r="A175" s="292" t="s">
        <v>5350</v>
      </c>
      <c r="B175" s="269" t="s">
        <v>5351</v>
      </c>
      <c r="C175" s="269" t="s">
        <v>5352</v>
      </c>
      <c r="D175" s="269" t="s">
        <v>5353</v>
      </c>
      <c r="E175" s="69"/>
      <c r="F175" s="69"/>
    </row>
    <row r="176" spans="1:6" ht="15" customHeight="1">
      <c r="A176" s="292" t="s">
        <v>5354</v>
      </c>
      <c r="B176" s="269" t="s">
        <v>2004</v>
      </c>
      <c r="C176" s="269" t="s">
        <v>5355</v>
      </c>
      <c r="D176" s="269" t="s">
        <v>5356</v>
      </c>
      <c r="E176" s="69"/>
      <c r="F176" s="69"/>
    </row>
    <row r="177" spans="1:6" ht="15" customHeight="1">
      <c r="A177" s="292" t="s">
        <v>5357</v>
      </c>
      <c r="B177" s="269" t="s">
        <v>27</v>
      </c>
      <c r="C177" s="269" t="s">
        <v>5358</v>
      </c>
      <c r="D177" s="269" t="s">
        <v>5359</v>
      </c>
      <c r="E177" s="69"/>
      <c r="F177" s="69"/>
    </row>
    <row r="178" spans="1:6" ht="15" customHeight="1">
      <c r="A178" s="292" t="s">
        <v>5360</v>
      </c>
      <c r="B178" s="269" t="s">
        <v>27</v>
      </c>
      <c r="C178" s="269" t="s">
        <v>5361</v>
      </c>
      <c r="D178" s="269" t="s">
        <v>5362</v>
      </c>
      <c r="E178" s="69"/>
      <c r="F178" s="69"/>
    </row>
    <row r="179" spans="1:6" ht="15" customHeight="1">
      <c r="A179" s="292" t="s">
        <v>5363</v>
      </c>
      <c r="B179" s="269" t="s">
        <v>5364</v>
      </c>
      <c r="C179" s="269" t="s">
        <v>5365</v>
      </c>
      <c r="D179" s="269" t="s">
        <v>5366</v>
      </c>
      <c r="E179" s="69"/>
      <c r="F179" s="69"/>
    </row>
    <row r="180" spans="1:6" ht="15" customHeight="1">
      <c r="A180" s="292" t="s">
        <v>5367</v>
      </c>
      <c r="B180" s="269" t="s">
        <v>5368</v>
      </c>
      <c r="C180" s="269" t="s">
        <v>5369</v>
      </c>
      <c r="D180" s="269" t="s">
        <v>5370</v>
      </c>
      <c r="E180" s="69"/>
      <c r="F180" s="69"/>
    </row>
    <row r="181" spans="1:6" ht="15" customHeight="1">
      <c r="A181" s="292" t="s">
        <v>5371</v>
      </c>
      <c r="B181" s="269" t="s">
        <v>5372</v>
      </c>
      <c r="C181" s="269" t="s">
        <v>5373</v>
      </c>
      <c r="D181" s="269" t="s">
        <v>5374</v>
      </c>
      <c r="E181" s="69"/>
      <c r="F181" s="69"/>
    </row>
    <row r="182" spans="1:6" ht="15" customHeight="1">
      <c r="A182" s="292" t="s">
        <v>5375</v>
      </c>
      <c r="B182" s="269" t="s">
        <v>5368</v>
      </c>
      <c r="C182" s="269" t="s">
        <v>5376</v>
      </c>
      <c r="D182" s="269" t="s">
        <v>5377</v>
      </c>
      <c r="E182" s="69"/>
      <c r="F182" s="69"/>
    </row>
    <row r="183" spans="1:6" ht="15" customHeight="1">
      <c r="A183" s="292" t="s">
        <v>5378</v>
      </c>
      <c r="B183" s="269" t="s">
        <v>5379</v>
      </c>
      <c r="C183" s="269" t="s">
        <v>5380</v>
      </c>
      <c r="D183" s="269" t="s">
        <v>5381</v>
      </c>
      <c r="E183" s="69"/>
      <c r="F183" s="69"/>
    </row>
    <row r="184" spans="1:6" ht="15" customHeight="1">
      <c r="A184" s="292" t="s">
        <v>5382</v>
      </c>
      <c r="B184" s="269" t="s">
        <v>5379</v>
      </c>
      <c r="C184" s="269" t="s">
        <v>5383</v>
      </c>
      <c r="D184" s="269" t="s">
        <v>5384</v>
      </c>
      <c r="E184" s="69"/>
      <c r="F184" s="69"/>
    </row>
    <row r="185" spans="1:6" ht="27" customHeight="1">
      <c r="A185" s="292" t="s">
        <v>5385</v>
      </c>
      <c r="B185" s="269" t="s">
        <v>5351</v>
      </c>
      <c r="C185" s="269" t="s">
        <v>5386</v>
      </c>
      <c r="D185" s="269" t="s">
        <v>5387</v>
      </c>
      <c r="E185" s="69"/>
      <c r="F185" s="69"/>
    </row>
    <row r="186" spans="1:6" ht="27" customHeight="1">
      <c r="A186" s="292" t="s">
        <v>5388</v>
      </c>
      <c r="B186" s="269" t="s">
        <v>2004</v>
      </c>
      <c r="C186" s="269" t="s">
        <v>5389</v>
      </c>
      <c r="D186" s="269" t="s">
        <v>5390</v>
      </c>
      <c r="E186" s="69"/>
      <c r="F186" s="69"/>
    </row>
    <row r="187" spans="1:6" ht="15" customHeight="1">
      <c r="A187" s="292" t="s">
        <v>5391</v>
      </c>
      <c r="B187" s="269" t="s">
        <v>2004</v>
      </c>
      <c r="C187" s="269" t="s">
        <v>5392</v>
      </c>
      <c r="D187" s="269" t="s">
        <v>5393</v>
      </c>
      <c r="E187" s="69"/>
      <c r="F187" s="69"/>
    </row>
    <row r="188" spans="1:6" ht="15" customHeight="1">
      <c r="A188" s="292" t="s">
        <v>5394</v>
      </c>
      <c r="B188" s="269" t="s">
        <v>2004</v>
      </c>
      <c r="C188" s="269" t="s">
        <v>5395</v>
      </c>
      <c r="D188" s="269" t="s">
        <v>5396</v>
      </c>
      <c r="E188" s="69"/>
      <c r="F188" s="69"/>
    </row>
    <row r="189" spans="1:6" ht="15" customHeight="1">
      <c r="A189" s="292" t="s">
        <v>5397</v>
      </c>
      <c r="B189" s="269" t="s">
        <v>2004</v>
      </c>
      <c r="C189" s="269" t="s">
        <v>5398</v>
      </c>
      <c r="D189" s="269" t="s">
        <v>5399</v>
      </c>
      <c r="E189" s="69"/>
      <c r="F189" s="69"/>
    </row>
    <row r="190" spans="1:6" ht="15" customHeight="1">
      <c r="A190" s="292" t="s">
        <v>5400</v>
      </c>
      <c r="B190" s="269" t="s">
        <v>2004</v>
      </c>
      <c r="C190" s="269" t="s">
        <v>5401</v>
      </c>
      <c r="D190" s="269" t="s">
        <v>5402</v>
      </c>
      <c r="E190" s="69"/>
      <c r="F190" s="69"/>
    </row>
    <row r="191" spans="1:6" ht="15" customHeight="1">
      <c r="A191" s="292" t="s">
        <v>5403</v>
      </c>
      <c r="B191" s="269" t="s">
        <v>2004</v>
      </c>
      <c r="C191" s="269" t="s">
        <v>5404</v>
      </c>
      <c r="D191" s="269" t="s">
        <v>5405</v>
      </c>
      <c r="E191" s="69"/>
      <c r="F191" s="69"/>
    </row>
    <row r="192" spans="1:6" ht="15" customHeight="1">
      <c r="A192" s="292" t="s">
        <v>5406</v>
      </c>
      <c r="B192" s="269" t="s">
        <v>5407</v>
      </c>
      <c r="C192" s="269" t="s">
        <v>5408</v>
      </c>
      <c r="D192" s="269" t="s">
        <v>5409</v>
      </c>
      <c r="E192" s="69"/>
      <c r="F192" s="69"/>
    </row>
    <row r="193" spans="1:6" ht="15" customHeight="1">
      <c r="A193" s="292" t="s">
        <v>5410</v>
      </c>
      <c r="B193" s="269" t="s">
        <v>2004</v>
      </c>
      <c r="C193" s="269" t="s">
        <v>5411</v>
      </c>
      <c r="D193" s="269" t="s">
        <v>5412</v>
      </c>
      <c r="E193" s="69"/>
      <c r="F193" s="69"/>
    </row>
    <row r="194" spans="1:6" ht="15" customHeight="1">
      <c r="A194" s="292" t="s">
        <v>5413</v>
      </c>
      <c r="B194" s="269" t="s">
        <v>2004</v>
      </c>
      <c r="C194" s="269" t="s">
        <v>5414</v>
      </c>
      <c r="D194" s="269" t="s">
        <v>5415</v>
      </c>
      <c r="E194" s="69"/>
      <c r="F194" s="69"/>
    </row>
    <row r="195" spans="1:6" ht="15" customHeight="1">
      <c r="A195" s="292" t="s">
        <v>5416</v>
      </c>
      <c r="B195" s="269" t="s">
        <v>5417</v>
      </c>
      <c r="C195" s="269" t="s">
        <v>5418</v>
      </c>
      <c r="D195" s="269" t="s">
        <v>5419</v>
      </c>
      <c r="E195" s="69"/>
      <c r="F195" s="69"/>
    </row>
    <row r="196" spans="1:6" ht="15" customHeight="1">
      <c r="A196" s="292" t="s">
        <v>5420</v>
      </c>
      <c r="B196" s="269" t="s">
        <v>5421</v>
      </c>
      <c r="C196" s="269" t="s">
        <v>5422</v>
      </c>
      <c r="D196" s="269" t="s">
        <v>5423</v>
      </c>
      <c r="E196" s="69"/>
      <c r="F196" s="69"/>
    </row>
    <row r="197" spans="1:6" ht="15" customHeight="1">
      <c r="A197" s="292" t="s">
        <v>5424</v>
      </c>
      <c r="B197" s="269" t="s">
        <v>5425</v>
      </c>
      <c r="C197" s="269" t="s">
        <v>5426</v>
      </c>
      <c r="D197" s="269" t="s">
        <v>5427</v>
      </c>
      <c r="E197" s="69"/>
      <c r="F197" s="69"/>
    </row>
    <row r="198" spans="1:6" ht="15" customHeight="1">
      <c r="A198" s="292" t="s">
        <v>5428</v>
      </c>
      <c r="B198" s="269" t="s">
        <v>5351</v>
      </c>
      <c r="C198" s="269" t="s">
        <v>5429</v>
      </c>
      <c r="D198" s="269" t="s">
        <v>5430</v>
      </c>
      <c r="E198" s="69"/>
      <c r="F198" s="69"/>
    </row>
    <row r="199" spans="1:6" ht="15" customHeight="1">
      <c r="A199" s="292" t="s">
        <v>5431</v>
      </c>
      <c r="B199" s="269" t="s">
        <v>5351</v>
      </c>
      <c r="C199" s="269" t="s">
        <v>5432</v>
      </c>
      <c r="D199" s="269" t="s">
        <v>5433</v>
      </c>
      <c r="E199" s="69"/>
      <c r="F199" s="69"/>
    </row>
    <row r="200" spans="1:6" ht="15" customHeight="1">
      <c r="A200" s="292" t="s">
        <v>5434</v>
      </c>
      <c r="B200" s="269" t="s">
        <v>2004</v>
      </c>
      <c r="C200" s="269" t="s">
        <v>5435</v>
      </c>
      <c r="D200" s="269" t="s">
        <v>5436</v>
      </c>
      <c r="E200" s="69"/>
      <c r="F200" s="69"/>
    </row>
    <row r="201" spans="1:6" ht="15" customHeight="1">
      <c r="A201" s="292" t="s">
        <v>5437</v>
      </c>
      <c r="B201" s="269" t="s">
        <v>2004</v>
      </c>
      <c r="C201" s="269" t="s">
        <v>5438</v>
      </c>
      <c r="D201" s="269" t="s">
        <v>5439</v>
      </c>
      <c r="E201" s="69"/>
      <c r="F201" s="69"/>
    </row>
    <row r="202" spans="1:6" ht="15" customHeight="1">
      <c r="A202" s="292" t="s">
        <v>5440</v>
      </c>
      <c r="B202" s="269" t="s">
        <v>2004</v>
      </c>
      <c r="C202" s="269" t="s">
        <v>5441</v>
      </c>
      <c r="D202" s="269" t="s">
        <v>5442</v>
      </c>
      <c r="E202" s="69"/>
      <c r="F202" s="69"/>
    </row>
    <row r="203" spans="1:6" ht="15" customHeight="1">
      <c r="A203" s="292" t="s">
        <v>5443</v>
      </c>
      <c r="B203" s="269" t="s">
        <v>5316</v>
      </c>
      <c r="C203" s="269" t="s">
        <v>5444</v>
      </c>
      <c r="D203" s="269" t="s">
        <v>5445</v>
      </c>
      <c r="E203" s="69"/>
      <c r="F203" s="69"/>
    </row>
    <row r="204" spans="1:6" ht="15" customHeight="1">
      <c r="A204" s="292" t="s">
        <v>5446</v>
      </c>
      <c r="B204" s="269" t="s">
        <v>2004</v>
      </c>
      <c r="C204" s="269" t="s">
        <v>5447</v>
      </c>
      <c r="D204" s="269" t="s">
        <v>5448</v>
      </c>
      <c r="E204" s="69"/>
      <c r="F204" s="69"/>
    </row>
    <row r="205" spans="1:6" ht="15" customHeight="1">
      <c r="A205" s="292" t="s">
        <v>5449</v>
      </c>
      <c r="B205" s="269" t="s">
        <v>5450</v>
      </c>
      <c r="C205" s="269" t="s">
        <v>5451</v>
      </c>
      <c r="D205" s="269" t="s">
        <v>5452</v>
      </c>
      <c r="E205" s="69"/>
      <c r="F205" s="69"/>
    </row>
    <row r="206" spans="1:6" ht="121.5" customHeight="1">
      <c r="A206" s="293" t="s">
        <v>5453</v>
      </c>
      <c r="B206" s="274" t="s">
        <v>5450</v>
      </c>
      <c r="C206" s="274" t="s">
        <v>5454</v>
      </c>
      <c r="D206" s="274" t="s">
        <v>5455</v>
      </c>
      <c r="E206" s="69"/>
      <c r="F206" s="69"/>
    </row>
    <row r="207" spans="1:6" ht="121.5" customHeight="1">
      <c r="A207" s="291" t="s">
        <v>5456</v>
      </c>
      <c r="B207" s="279" t="s">
        <v>2004</v>
      </c>
      <c r="C207" s="279" t="s">
        <v>5457</v>
      </c>
      <c r="D207" s="279"/>
      <c r="E207" s="69"/>
      <c r="F207" s="69"/>
    </row>
    <row r="208" spans="1:6" ht="94.5" customHeight="1">
      <c r="A208" s="69"/>
      <c r="B208" s="69"/>
      <c r="C208" s="69"/>
      <c r="D208" s="69"/>
      <c r="E208" s="69"/>
      <c r="F208" s="69"/>
    </row>
    <row r="209" spans="1:6" ht="94.5" customHeight="1">
      <c r="A209" s="69" t="s">
        <v>5458</v>
      </c>
      <c r="B209" s="69" t="s">
        <v>5459</v>
      </c>
      <c r="C209" s="69" t="s">
        <v>5460</v>
      </c>
      <c r="D209" s="69" t="s">
        <v>5461</v>
      </c>
      <c r="E209" s="69"/>
      <c r="F209" s="69"/>
    </row>
    <row r="210" spans="1:6" ht="26.25" customHeight="1">
      <c r="A210" s="271" t="s">
        <v>5462</v>
      </c>
      <c r="B210" s="271" t="s">
        <v>2004</v>
      </c>
      <c r="C210" s="271" t="s">
        <v>5463</v>
      </c>
      <c r="D210" s="271" t="s">
        <v>5464</v>
      </c>
      <c r="E210" s="271"/>
      <c r="F210" s="271"/>
    </row>
    <row r="211" spans="1:6" ht="27" customHeight="1">
      <c r="A211" s="294" t="s">
        <v>5465</v>
      </c>
      <c r="B211" s="294" t="s">
        <v>5351</v>
      </c>
      <c r="C211" s="294" t="s">
        <v>5466</v>
      </c>
      <c r="D211" s="294" t="s">
        <v>5467</v>
      </c>
      <c r="E211" s="294"/>
      <c r="F211" s="294"/>
    </row>
    <row r="212" spans="1:6" ht="27" customHeight="1">
      <c r="A212" s="271" t="s">
        <v>5468</v>
      </c>
      <c r="B212" s="271" t="s">
        <v>5351</v>
      </c>
      <c r="C212" s="271" t="s">
        <v>5469</v>
      </c>
      <c r="D212" s="271" t="s">
        <v>4881</v>
      </c>
      <c r="E212" s="271"/>
      <c r="F212" s="271"/>
    </row>
    <row r="213" spans="1:6" ht="27" customHeight="1">
      <c r="A213" s="265" t="s">
        <v>5470</v>
      </c>
      <c r="B213" s="266"/>
      <c r="C213" s="266"/>
      <c r="D213" s="266"/>
      <c r="E213" s="266"/>
      <c r="F213" s="266"/>
    </row>
    <row r="214" spans="1:6" ht="27" customHeight="1">
      <c r="A214" s="267" t="s">
        <v>5471</v>
      </c>
      <c r="B214" s="267" t="s">
        <v>3383</v>
      </c>
      <c r="C214" s="268" t="s">
        <v>243</v>
      </c>
      <c r="D214" s="268" t="s">
        <v>432</v>
      </c>
      <c r="E214" s="267" t="s">
        <v>392</v>
      </c>
      <c r="F214" s="69"/>
    </row>
    <row r="215" spans="1:6" ht="27" customHeight="1">
      <c r="A215" s="269" t="s">
        <v>5472</v>
      </c>
      <c r="B215" s="269" t="s">
        <v>5473</v>
      </c>
      <c r="C215" s="295" t="s">
        <v>351</v>
      </c>
      <c r="D215" s="276" t="s">
        <v>46</v>
      </c>
      <c r="E215" s="269" t="s">
        <v>5474</v>
      </c>
      <c r="F215" s="69"/>
    </row>
    <row r="216" spans="1:6" ht="27" customHeight="1">
      <c r="A216" s="269" t="s">
        <v>1996</v>
      </c>
      <c r="B216" s="269" t="s">
        <v>5473</v>
      </c>
      <c r="C216" s="295" t="s">
        <v>351</v>
      </c>
      <c r="D216" s="276" t="s">
        <v>46</v>
      </c>
      <c r="E216" s="269" t="s">
        <v>5475</v>
      </c>
      <c r="F216" s="69"/>
    </row>
    <row r="217" spans="1:6" ht="27" customHeight="1">
      <c r="A217" s="269" t="s">
        <v>5476</v>
      </c>
      <c r="B217" s="269" t="s">
        <v>5477</v>
      </c>
      <c r="C217" s="295" t="s">
        <v>351</v>
      </c>
      <c r="D217" s="276" t="s">
        <v>46</v>
      </c>
      <c r="E217" s="269" t="s">
        <v>5478</v>
      </c>
      <c r="F217" s="69"/>
    </row>
    <row r="218" spans="1:6" ht="27" customHeight="1">
      <c r="A218" s="269" t="s">
        <v>4887</v>
      </c>
      <c r="B218" s="269" t="s">
        <v>5407</v>
      </c>
      <c r="C218" s="295" t="s">
        <v>351</v>
      </c>
      <c r="D218" s="276" t="s">
        <v>46</v>
      </c>
      <c r="E218" s="269" t="s">
        <v>5479</v>
      </c>
      <c r="F218" s="69"/>
    </row>
    <row r="219" spans="1:6" ht="27" customHeight="1">
      <c r="A219" s="269" t="s">
        <v>5480</v>
      </c>
      <c r="B219" s="269" t="s">
        <v>5481</v>
      </c>
      <c r="C219" s="295" t="s">
        <v>351</v>
      </c>
      <c r="D219" s="276" t="s">
        <v>46</v>
      </c>
      <c r="E219" s="269" t="s">
        <v>5482</v>
      </c>
      <c r="F219" s="69"/>
    </row>
    <row r="220" spans="1:6" ht="27" customHeight="1">
      <c r="A220" s="269" t="s">
        <v>5483</v>
      </c>
      <c r="B220" s="269" t="s">
        <v>5484</v>
      </c>
      <c r="C220" s="295" t="s">
        <v>351</v>
      </c>
      <c r="D220" s="276" t="s">
        <v>46</v>
      </c>
      <c r="E220" s="269" t="s">
        <v>5485</v>
      </c>
      <c r="F220" s="69"/>
    </row>
    <row r="221" spans="1:6" ht="27" customHeight="1">
      <c r="A221" s="269" t="s">
        <v>5486</v>
      </c>
      <c r="B221" s="269" t="s">
        <v>4969</v>
      </c>
      <c r="C221" s="295" t="s">
        <v>2790</v>
      </c>
      <c r="D221" s="276" t="s">
        <v>46</v>
      </c>
      <c r="E221" s="269" t="s">
        <v>5487</v>
      </c>
      <c r="F221" s="69"/>
    </row>
    <row r="222" spans="1:6" ht="27" customHeight="1">
      <c r="A222" s="269" t="s">
        <v>5488</v>
      </c>
      <c r="B222" s="269" t="s">
        <v>5489</v>
      </c>
      <c r="C222" s="295" t="s">
        <v>351</v>
      </c>
      <c r="D222" s="276" t="s">
        <v>474</v>
      </c>
      <c r="E222" s="269" t="s">
        <v>5490</v>
      </c>
      <c r="F222" s="69"/>
    </row>
    <row r="223" spans="1:6" ht="27" customHeight="1">
      <c r="A223" s="269" t="s">
        <v>5491</v>
      </c>
      <c r="B223" s="269" t="s">
        <v>4969</v>
      </c>
      <c r="C223" s="295" t="s">
        <v>146</v>
      </c>
      <c r="D223" s="276" t="s">
        <v>474</v>
      </c>
      <c r="E223" s="269" t="s">
        <v>5492</v>
      </c>
      <c r="F223" s="69"/>
    </row>
    <row r="224" spans="1:6" ht="27" customHeight="1">
      <c r="A224" s="269" t="s">
        <v>5493</v>
      </c>
      <c r="B224" s="269" t="s">
        <v>4969</v>
      </c>
      <c r="C224" s="295" t="s">
        <v>146</v>
      </c>
      <c r="D224" s="276" t="s">
        <v>474</v>
      </c>
      <c r="E224" s="269" t="s">
        <v>5494</v>
      </c>
      <c r="F224" s="69"/>
    </row>
    <row r="225" spans="1:6" ht="27" customHeight="1">
      <c r="A225" s="269" t="s">
        <v>5495</v>
      </c>
      <c r="B225" s="269" t="s">
        <v>4969</v>
      </c>
      <c r="C225" s="295" t="s">
        <v>5496</v>
      </c>
      <c r="D225" s="276" t="s">
        <v>474</v>
      </c>
      <c r="E225" s="269" t="s">
        <v>5497</v>
      </c>
      <c r="F225" s="69"/>
    </row>
    <row r="226" spans="1:6" ht="27" customHeight="1">
      <c r="A226" s="269" t="s">
        <v>5498</v>
      </c>
      <c r="B226" s="269" t="s">
        <v>5489</v>
      </c>
      <c r="C226" s="295" t="s">
        <v>351</v>
      </c>
      <c r="D226" s="276" t="s">
        <v>474</v>
      </c>
      <c r="E226" s="269" t="s">
        <v>5499</v>
      </c>
      <c r="F226" s="69"/>
    </row>
    <row r="227" spans="1:6" ht="15" customHeight="1">
      <c r="A227" s="269" t="s">
        <v>5500</v>
      </c>
      <c r="B227" s="269" t="s">
        <v>5501</v>
      </c>
      <c r="C227" s="295" t="s">
        <v>351</v>
      </c>
      <c r="D227" s="276" t="s">
        <v>474</v>
      </c>
      <c r="E227" s="269" t="s">
        <v>5502</v>
      </c>
      <c r="F227" s="69"/>
    </row>
    <row r="228" spans="1:6" ht="27" customHeight="1">
      <c r="A228" s="269" t="s">
        <v>5503</v>
      </c>
      <c r="B228" s="269" t="s">
        <v>4962</v>
      </c>
      <c r="C228" s="295" t="s">
        <v>2790</v>
      </c>
      <c r="D228" s="276" t="s">
        <v>474</v>
      </c>
      <c r="E228" s="269" t="s">
        <v>5504</v>
      </c>
      <c r="F228" s="69"/>
    </row>
    <row r="229" spans="1:6" ht="27" customHeight="1">
      <c r="A229" s="269" t="s">
        <v>5505</v>
      </c>
      <c r="B229" s="269" t="s">
        <v>4962</v>
      </c>
      <c r="C229" s="295" t="s">
        <v>2790</v>
      </c>
      <c r="D229" s="276" t="s">
        <v>474</v>
      </c>
      <c r="E229" s="269" t="s">
        <v>5506</v>
      </c>
      <c r="F229" s="69"/>
    </row>
    <row r="230" spans="1:6" ht="27" customHeight="1">
      <c r="A230" s="269" t="s">
        <v>5507</v>
      </c>
      <c r="B230" s="269" t="s">
        <v>4958</v>
      </c>
      <c r="C230" s="295" t="s">
        <v>2790</v>
      </c>
      <c r="D230" s="276" t="s">
        <v>474</v>
      </c>
      <c r="E230" s="269" t="s">
        <v>5508</v>
      </c>
      <c r="F230" s="69"/>
    </row>
    <row r="231" spans="1:6" ht="15" customHeight="1">
      <c r="A231" s="269" t="s">
        <v>5509</v>
      </c>
      <c r="B231" s="269" t="s">
        <v>4954</v>
      </c>
      <c r="C231" s="295" t="s">
        <v>2790</v>
      </c>
      <c r="D231" s="276" t="s">
        <v>474</v>
      </c>
      <c r="E231" s="269" t="s">
        <v>5510</v>
      </c>
      <c r="F231" s="69"/>
    </row>
    <row r="232" spans="1:6" ht="27" customHeight="1">
      <c r="A232" s="269" t="s">
        <v>5511</v>
      </c>
      <c r="B232" s="269" t="s">
        <v>4945</v>
      </c>
      <c r="C232" s="295" t="s">
        <v>2790</v>
      </c>
      <c r="D232" s="276" t="s">
        <v>474</v>
      </c>
      <c r="E232" s="269" t="s">
        <v>5512</v>
      </c>
      <c r="F232" s="69"/>
    </row>
    <row r="233" spans="1:6" ht="15" customHeight="1">
      <c r="A233" s="269" t="s">
        <v>5513</v>
      </c>
      <c r="B233" s="269" t="s">
        <v>5489</v>
      </c>
      <c r="C233" s="295" t="s">
        <v>2790</v>
      </c>
      <c r="D233" s="276" t="s">
        <v>474</v>
      </c>
      <c r="E233" s="269" t="s">
        <v>5514</v>
      </c>
      <c r="F233" s="69"/>
    </row>
    <row r="234" spans="1:6" ht="15" customHeight="1">
      <c r="A234" s="269" t="s">
        <v>5515</v>
      </c>
      <c r="B234" s="269" t="s">
        <v>4994</v>
      </c>
      <c r="C234" s="295" t="s">
        <v>2790</v>
      </c>
      <c r="D234" s="276" t="s">
        <v>474</v>
      </c>
      <c r="E234" s="269" t="s">
        <v>5516</v>
      </c>
      <c r="F234" s="69"/>
    </row>
    <row r="235" spans="1:6" ht="15" customHeight="1">
      <c r="A235" s="269" t="s">
        <v>5517</v>
      </c>
      <c r="B235" s="269" t="s">
        <v>4994</v>
      </c>
      <c r="C235" s="295" t="s">
        <v>2790</v>
      </c>
      <c r="D235" s="276" t="s">
        <v>474</v>
      </c>
      <c r="E235" s="269" t="s">
        <v>5518</v>
      </c>
      <c r="F235" s="69"/>
    </row>
    <row r="236" spans="1:6" ht="15" customHeight="1">
      <c r="A236" s="269" t="s">
        <v>5519</v>
      </c>
      <c r="B236" s="269" t="s">
        <v>4969</v>
      </c>
      <c r="C236" s="295" t="s">
        <v>5496</v>
      </c>
      <c r="D236" s="276" t="s">
        <v>492</v>
      </c>
      <c r="E236" s="269" t="s">
        <v>5520</v>
      </c>
      <c r="F236" s="69"/>
    </row>
    <row r="237" spans="1:6" ht="15" customHeight="1">
      <c r="A237" s="269" t="s">
        <v>5521</v>
      </c>
      <c r="B237" s="269" t="s">
        <v>4969</v>
      </c>
      <c r="C237" s="295" t="s">
        <v>5496</v>
      </c>
      <c r="D237" s="276" t="s">
        <v>492</v>
      </c>
      <c r="E237" s="269" t="s">
        <v>2621</v>
      </c>
      <c r="F237" s="69"/>
    </row>
    <row r="238" spans="1:6" ht="15" customHeight="1">
      <c r="A238" s="269" t="s">
        <v>5522</v>
      </c>
      <c r="B238" s="269" t="s">
        <v>4969</v>
      </c>
      <c r="C238" s="295" t="s">
        <v>5496</v>
      </c>
      <c r="D238" s="276" t="s">
        <v>492</v>
      </c>
      <c r="E238" s="269" t="s">
        <v>5523</v>
      </c>
      <c r="F238" s="69"/>
    </row>
    <row r="239" spans="1:6" ht="15" customHeight="1">
      <c r="A239" s="269" t="s">
        <v>5524</v>
      </c>
      <c r="B239" s="269" t="s">
        <v>5026</v>
      </c>
      <c r="C239" s="295" t="s">
        <v>1560</v>
      </c>
      <c r="D239" s="276" t="s">
        <v>492</v>
      </c>
      <c r="E239" s="269" t="s">
        <v>5525</v>
      </c>
      <c r="F239" s="69"/>
    </row>
    <row r="240" spans="1:6" ht="15" customHeight="1">
      <c r="A240" s="274" t="s">
        <v>5526</v>
      </c>
      <c r="B240" s="274" t="s">
        <v>5012</v>
      </c>
      <c r="C240" s="296" t="s">
        <v>2790</v>
      </c>
      <c r="D240" s="278" t="s">
        <v>492</v>
      </c>
      <c r="E240" s="274" t="s">
        <v>5527</v>
      </c>
      <c r="F240" s="69"/>
    </row>
    <row r="241" spans="1:6" ht="15" customHeight="1">
      <c r="A241" s="69"/>
      <c r="B241" s="69"/>
      <c r="C241" s="69"/>
      <c r="D241" s="69"/>
      <c r="E241" s="69"/>
      <c r="F241" s="69"/>
    </row>
    <row r="242" spans="1:6" ht="15" customHeight="1">
      <c r="A242" s="265" t="s">
        <v>5528</v>
      </c>
      <c r="B242" s="266"/>
      <c r="C242" s="266"/>
      <c r="D242" s="266"/>
      <c r="E242" s="266"/>
      <c r="F242" s="266"/>
    </row>
    <row r="243" spans="1:6" ht="15" customHeight="1">
      <c r="A243" s="267" t="s">
        <v>1590</v>
      </c>
      <c r="B243" s="267" t="s">
        <v>4998</v>
      </c>
      <c r="C243" s="268" t="s">
        <v>287</v>
      </c>
      <c r="D243" s="268" t="s">
        <v>243</v>
      </c>
      <c r="E243" s="267" t="s">
        <v>244</v>
      </c>
      <c r="F243" s="69"/>
    </row>
    <row r="244" spans="1:6" ht="15" customHeight="1">
      <c r="A244" s="269" t="s">
        <v>5529</v>
      </c>
      <c r="B244" s="269" t="s">
        <v>5530</v>
      </c>
      <c r="C244" s="269" t="s">
        <v>5531</v>
      </c>
      <c r="D244" s="276" t="s">
        <v>5532</v>
      </c>
      <c r="E244" s="269" t="s">
        <v>5533</v>
      </c>
      <c r="F244" s="69"/>
    </row>
    <row r="245" spans="1:6" ht="27" customHeight="1">
      <c r="A245" s="269" t="s">
        <v>5534</v>
      </c>
      <c r="B245" s="269" t="s">
        <v>5535</v>
      </c>
      <c r="C245" s="269" t="s">
        <v>5536</v>
      </c>
      <c r="D245" s="276" t="s">
        <v>2790</v>
      </c>
      <c r="E245" s="269" t="s">
        <v>5537</v>
      </c>
      <c r="F245" s="69"/>
    </row>
    <row r="246" spans="1:6" ht="15" customHeight="1">
      <c r="A246" s="269" t="s">
        <v>5538</v>
      </c>
      <c r="B246" s="269" t="s">
        <v>5539</v>
      </c>
      <c r="C246" s="269" t="s">
        <v>5540</v>
      </c>
      <c r="D246" s="276" t="s">
        <v>5532</v>
      </c>
      <c r="E246" s="269" t="s">
        <v>5541</v>
      </c>
      <c r="F246" s="69"/>
    </row>
    <row r="247" spans="1:6" ht="15" customHeight="1">
      <c r="A247" s="269" t="s">
        <v>5542</v>
      </c>
      <c r="B247" s="269" t="s">
        <v>5543</v>
      </c>
      <c r="C247" s="269" t="s">
        <v>5544</v>
      </c>
      <c r="D247" s="276" t="s">
        <v>5532</v>
      </c>
      <c r="E247" s="269" t="s">
        <v>5545</v>
      </c>
      <c r="F247" s="69"/>
    </row>
    <row r="248" spans="1:6" ht="15" customHeight="1">
      <c r="A248" s="269" t="s">
        <v>5546</v>
      </c>
      <c r="B248" s="269" t="s">
        <v>5547</v>
      </c>
      <c r="C248" s="269" t="s">
        <v>5548</v>
      </c>
      <c r="D248" s="276" t="s">
        <v>5532</v>
      </c>
      <c r="E248" s="269" t="s">
        <v>5549</v>
      </c>
      <c r="F248" s="69"/>
    </row>
    <row r="249" spans="1:6" ht="27" customHeight="1">
      <c r="A249" s="269" t="s">
        <v>5550</v>
      </c>
      <c r="B249" s="269" t="s">
        <v>5551</v>
      </c>
      <c r="C249" s="269" t="s">
        <v>5552</v>
      </c>
      <c r="D249" s="276" t="s">
        <v>5532</v>
      </c>
      <c r="E249" s="269" t="s">
        <v>5553</v>
      </c>
      <c r="F249" s="69"/>
    </row>
    <row r="250" spans="1:6" ht="27" customHeight="1">
      <c r="A250" s="269" t="s">
        <v>5554</v>
      </c>
      <c r="B250" s="269" t="s">
        <v>5555</v>
      </c>
      <c r="C250" s="269" t="s">
        <v>5556</v>
      </c>
      <c r="D250" s="276" t="s">
        <v>355</v>
      </c>
      <c r="E250" s="269" t="s">
        <v>5557</v>
      </c>
      <c r="F250" s="69"/>
    </row>
    <row r="251" spans="1:6" ht="15" customHeight="1">
      <c r="A251" s="269" t="s">
        <v>5558</v>
      </c>
      <c r="B251" s="269" t="s">
        <v>5559</v>
      </c>
      <c r="C251" s="269" t="s">
        <v>5560</v>
      </c>
      <c r="D251" s="276" t="s">
        <v>5532</v>
      </c>
      <c r="E251" s="269" t="s">
        <v>5561</v>
      </c>
      <c r="F251" s="69"/>
    </row>
    <row r="252" spans="1:6" ht="15" customHeight="1">
      <c r="A252" s="269" t="s">
        <v>5562</v>
      </c>
      <c r="B252" s="269" t="s">
        <v>5563</v>
      </c>
      <c r="C252" s="269" t="s">
        <v>5564</v>
      </c>
      <c r="D252" s="276" t="s">
        <v>5532</v>
      </c>
      <c r="E252" s="269" t="s">
        <v>5565</v>
      </c>
      <c r="F252" s="69"/>
    </row>
    <row r="253" spans="1:6" ht="15" customHeight="1">
      <c r="A253" s="269"/>
      <c r="B253" s="269"/>
      <c r="C253" s="269"/>
      <c r="D253" s="276"/>
      <c r="E253" s="269"/>
      <c r="F253" s="69"/>
    </row>
    <row r="254" spans="1:6" ht="27" customHeight="1">
      <c r="A254" s="269" t="s">
        <v>5566</v>
      </c>
      <c r="B254" s="269" t="s">
        <v>5567</v>
      </c>
      <c r="C254" s="269"/>
      <c r="D254" s="276" t="s">
        <v>5568</v>
      </c>
      <c r="E254" s="269"/>
      <c r="F254" s="69"/>
    </row>
    <row r="255" spans="1:6" ht="15" customHeight="1">
      <c r="A255" s="274" t="s">
        <v>5569</v>
      </c>
      <c r="B255" s="274" t="s">
        <v>5570</v>
      </c>
      <c r="C255" s="274"/>
      <c r="D255" s="278" t="s">
        <v>5571</v>
      </c>
      <c r="E255" s="274" t="s">
        <v>5572</v>
      </c>
      <c r="F255" s="69"/>
    </row>
    <row r="256" spans="1:6" ht="15" customHeight="1">
      <c r="A256" s="23"/>
      <c r="B256" s="23"/>
      <c r="C256" s="23"/>
      <c r="D256" s="23"/>
      <c r="E256" s="23"/>
      <c r="F256" s="23"/>
    </row>
    <row r="257" spans="1:6" ht="15" customHeight="1">
      <c r="A257" s="297" t="s">
        <v>5573</v>
      </c>
      <c r="B257" s="23"/>
      <c r="C257" s="23"/>
      <c r="D257" s="23"/>
      <c r="E257" s="23"/>
      <c r="F257" s="23"/>
    </row>
    <row r="258" spans="1:6" ht="15" customHeight="1">
      <c r="A258" s="298" t="s">
        <v>5574</v>
      </c>
      <c r="B258" s="23"/>
      <c r="C258" s="23"/>
      <c r="D258" s="23"/>
      <c r="E258" s="23"/>
      <c r="F258" s="23"/>
    </row>
    <row r="259" spans="1:6" ht="23.25" customHeight="1">
      <c r="A259" s="298" t="s">
        <v>5575</v>
      </c>
      <c r="B259" s="23"/>
      <c r="C259" s="23"/>
      <c r="D259" s="23"/>
      <c r="E259" s="23"/>
      <c r="F259" s="23"/>
    </row>
    <row r="260" spans="1:6" ht="15" customHeight="1">
      <c r="A260" s="298" t="s">
        <v>5576</v>
      </c>
      <c r="B260" s="23"/>
      <c r="C260" s="23"/>
      <c r="D260" s="23"/>
      <c r="E260" s="23"/>
      <c r="F260" s="23"/>
    </row>
    <row r="261" spans="1:6" ht="15" customHeight="1">
      <c r="A261" s="298" t="s">
        <v>5577</v>
      </c>
      <c r="B261" s="23"/>
      <c r="C261" s="23"/>
      <c r="D261" s="23"/>
      <c r="E261" s="23"/>
      <c r="F261" s="23"/>
    </row>
    <row r="262" spans="1:6" ht="15" customHeight="1">
      <c r="A262" s="298" t="s">
        <v>5578</v>
      </c>
      <c r="B262" s="23"/>
      <c r="C262" s="23"/>
      <c r="D262" s="23"/>
      <c r="E262" s="23"/>
      <c r="F262" s="23"/>
    </row>
    <row r="263" spans="1:6" ht="15" customHeight="1">
      <c r="A263" s="298" t="s">
        <v>5579</v>
      </c>
      <c r="B263" s="23"/>
      <c r="C263" s="23"/>
      <c r="D263" s="23"/>
      <c r="E263" s="23"/>
      <c r="F263" s="23"/>
    </row>
    <row r="264" spans="1:6" ht="15" customHeight="1">
      <c r="A264" s="23"/>
      <c r="B264" s="23"/>
      <c r="C264" s="23"/>
      <c r="D264" s="23"/>
      <c r="E264" s="23"/>
      <c r="F264" s="23"/>
    </row>
    <row r="265" spans="1:6" ht="15" customHeight="1">
      <c r="A265" s="107" t="s">
        <v>5580</v>
      </c>
      <c r="B265" s="23"/>
      <c r="C265" s="23"/>
      <c r="D265" s="23"/>
      <c r="E265" s="23"/>
      <c r="F265" s="23"/>
    </row>
    <row r="266" spans="1:6" ht="64.5" customHeight="1">
      <c r="A266" s="299" t="s">
        <v>5581</v>
      </c>
      <c r="B266" s="23"/>
      <c r="C266" s="23"/>
      <c r="D266" s="23"/>
      <c r="E266" s="23"/>
      <c r="F266" s="23"/>
    </row>
    <row r="267" spans="1:6" ht="51.75" customHeight="1">
      <c r="A267" s="299" t="s">
        <v>5582</v>
      </c>
      <c r="B267" s="23"/>
      <c r="C267" s="23"/>
      <c r="D267" s="23"/>
      <c r="E267" s="23"/>
      <c r="F267" s="23"/>
    </row>
    <row r="268" spans="1:6" ht="64.5" customHeight="1">
      <c r="A268" s="299" t="s">
        <v>5583</v>
      </c>
      <c r="B268" s="23"/>
      <c r="C268" s="23"/>
      <c r="D268" s="23"/>
      <c r="E268" s="23"/>
      <c r="F268" s="23"/>
    </row>
    <row r="269" spans="1:6" ht="39" customHeight="1">
      <c r="A269" s="299" t="s">
        <v>5584</v>
      </c>
      <c r="B269" s="23"/>
      <c r="C269" s="23"/>
      <c r="D269" s="23"/>
      <c r="E269" s="23"/>
      <c r="F269" s="23"/>
    </row>
    <row r="270" spans="1:6" ht="39" customHeight="1">
      <c r="A270" s="299" t="s">
        <v>5585</v>
      </c>
      <c r="B270" s="23"/>
      <c r="C270" s="23"/>
      <c r="D270" s="23"/>
      <c r="E270" s="23"/>
      <c r="F270" s="23"/>
    </row>
    <row r="271" spans="1:6" ht="15" customHeight="1">
      <c r="A271" s="23"/>
      <c r="B271" s="23"/>
      <c r="C271" s="23"/>
      <c r="D271" s="23"/>
      <c r="E271" s="23"/>
      <c r="F271" s="23"/>
    </row>
    <row r="272" spans="1:6" ht="15" customHeight="1">
      <c r="A272" s="107" t="s">
        <v>5586</v>
      </c>
      <c r="B272" s="23"/>
      <c r="C272" s="23"/>
      <c r="D272" s="23"/>
      <c r="E272" s="23"/>
      <c r="F272" s="23"/>
    </row>
    <row r="273" spans="1:6" ht="63.75" customHeight="1">
      <c r="A273" s="300" t="s">
        <v>5587</v>
      </c>
      <c r="B273" s="23"/>
      <c r="C273" s="23"/>
      <c r="D273" s="23"/>
      <c r="E273" s="23"/>
      <c r="F273" s="23"/>
    </row>
    <row r="274" spans="1:6" ht="38.25" customHeight="1">
      <c r="A274" s="300" t="s">
        <v>5588</v>
      </c>
      <c r="B274" s="23"/>
      <c r="C274" s="23"/>
      <c r="D274" s="23"/>
      <c r="E274" s="23"/>
      <c r="F274" s="23"/>
    </row>
    <row r="275" spans="1:6" ht="38.25" customHeight="1">
      <c r="A275" s="300" t="s">
        <v>5589</v>
      </c>
      <c r="B275" s="23"/>
      <c r="C275" s="23"/>
      <c r="D275" s="23"/>
      <c r="E275" s="23"/>
      <c r="F275" s="23"/>
    </row>
    <row r="276" spans="1:6" ht="38.25" customHeight="1">
      <c r="A276" s="300" t="s">
        <v>5590</v>
      </c>
      <c r="B276" s="23"/>
      <c r="C276" s="23"/>
      <c r="D276" s="23"/>
      <c r="E276" s="23"/>
      <c r="F276" s="23"/>
    </row>
    <row r="277" spans="1:6" ht="38.25" customHeight="1">
      <c r="A277" s="300" t="s">
        <v>5591</v>
      </c>
      <c r="B277" s="23"/>
      <c r="C277" s="23"/>
      <c r="D277" s="23"/>
      <c r="E277" s="23"/>
      <c r="F277" s="23"/>
    </row>
    <row r="278" spans="1:6" ht="63.75" customHeight="1">
      <c r="A278" s="300" t="s">
        <v>5592</v>
      </c>
      <c r="B278" s="23"/>
      <c r="C278" s="23"/>
      <c r="D278" s="23"/>
      <c r="E278" s="23"/>
      <c r="F278" s="23"/>
    </row>
    <row r="279" spans="1:6" ht="51" customHeight="1">
      <c r="A279" s="300" t="s">
        <v>5593</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42" t="s">
        <v>5594</v>
      </c>
      <c r="B1" s="443"/>
      <c r="C1" s="443"/>
    </row>
    <row r="2" spans="1:3" ht="15" customHeight="1">
      <c r="A2" s="46" t="s">
        <v>5595</v>
      </c>
      <c r="B2" s="46" t="s">
        <v>5596</v>
      </c>
      <c r="C2" s="11" t="s">
        <v>5597</v>
      </c>
    </row>
    <row r="3" spans="1:3" ht="27.75" customHeight="1">
      <c r="A3" s="79" t="s">
        <v>5598</v>
      </c>
      <c r="B3" s="79" t="s">
        <v>5599</v>
      </c>
      <c r="C3" s="79" t="s">
        <v>5600</v>
      </c>
    </row>
    <row r="4" spans="1:3" ht="19.5" customHeight="1">
      <c r="A4" s="301" t="s">
        <v>5601</v>
      </c>
      <c r="B4" s="302" t="s">
        <v>5602</v>
      </c>
      <c r="C4" s="302" t="s">
        <v>5603</v>
      </c>
    </row>
    <row r="5" spans="1:3" ht="19.5" customHeight="1">
      <c r="A5" s="55"/>
      <c r="B5" s="55" t="s">
        <v>5604</v>
      </c>
      <c r="C5" s="220" t="s">
        <v>5605</v>
      </c>
    </row>
    <row r="6" spans="1:3" ht="19.5" customHeight="1">
      <c r="A6" s="50"/>
      <c r="B6" s="50" t="s">
        <v>5606</v>
      </c>
      <c r="C6" s="215" t="s">
        <v>5607</v>
      </c>
    </row>
    <row r="7" spans="1:3" ht="19.5" customHeight="1">
      <c r="A7" s="55"/>
      <c r="B7" s="55" t="s">
        <v>5608</v>
      </c>
      <c r="C7" s="220" t="s">
        <v>5609</v>
      </c>
    </row>
    <row r="8" spans="1:3" ht="19.5" customHeight="1">
      <c r="A8" s="50"/>
      <c r="B8" s="50" t="s">
        <v>5610</v>
      </c>
      <c r="C8" s="215" t="s">
        <v>5611</v>
      </c>
    </row>
    <row r="9" spans="1:3" ht="19.5" customHeight="1">
      <c r="A9" s="55"/>
      <c r="B9" s="55" t="s">
        <v>5612</v>
      </c>
      <c r="C9" s="220" t="s">
        <v>5613</v>
      </c>
    </row>
    <row r="10" spans="1:3" ht="19.5" customHeight="1">
      <c r="A10" s="50"/>
      <c r="B10" s="50" t="s">
        <v>5614</v>
      </c>
      <c r="C10" s="215" t="s">
        <v>5615</v>
      </c>
    </row>
    <row r="11" spans="1:3" ht="19.5" customHeight="1">
      <c r="A11" s="301" t="s">
        <v>5616</v>
      </c>
      <c r="B11" s="302" t="s">
        <v>5617</v>
      </c>
      <c r="C11" s="302" t="s">
        <v>5618</v>
      </c>
    </row>
    <row r="12" spans="1:3" ht="19.5" customHeight="1">
      <c r="A12" s="50"/>
      <c r="B12" s="50" t="s">
        <v>5619</v>
      </c>
      <c r="C12" s="215" t="s">
        <v>5620</v>
      </c>
    </row>
    <row r="13" spans="1:3" ht="19.5" customHeight="1">
      <c r="A13" s="55"/>
      <c r="B13" s="55" t="s">
        <v>5621</v>
      </c>
      <c r="C13" s="220" t="s">
        <v>5622</v>
      </c>
    </row>
    <row r="14" spans="1:3" ht="19.5" customHeight="1">
      <c r="A14" s="50"/>
      <c r="B14" s="50" t="s">
        <v>5623</v>
      </c>
      <c r="C14" s="215" t="s">
        <v>5624</v>
      </c>
    </row>
    <row r="15" spans="1:3" ht="19.5" customHeight="1">
      <c r="A15" s="301" t="s">
        <v>5625</v>
      </c>
      <c r="B15" s="302" t="s">
        <v>5626</v>
      </c>
      <c r="C15" s="302" t="s">
        <v>5627</v>
      </c>
    </row>
    <row r="16" spans="1:3" ht="19.5" customHeight="1">
      <c r="A16" s="50"/>
      <c r="B16" s="50" t="s">
        <v>5628</v>
      </c>
      <c r="C16" s="215" t="s">
        <v>5629</v>
      </c>
    </row>
    <row r="17" spans="1:3" ht="19.5" customHeight="1">
      <c r="A17" s="301" t="s">
        <v>5630</v>
      </c>
      <c r="B17" s="302" t="s">
        <v>5631</v>
      </c>
      <c r="C17" s="302" t="s">
        <v>5632</v>
      </c>
    </row>
    <row r="18" spans="1:3" ht="19.5" customHeight="1">
      <c r="A18" s="50"/>
      <c r="B18" s="50" t="s">
        <v>5633</v>
      </c>
      <c r="C18" s="215" t="s">
        <v>5634</v>
      </c>
    </row>
    <row r="19" spans="1:3" ht="19.5" customHeight="1">
      <c r="A19" s="55"/>
      <c r="B19" s="55" t="s">
        <v>5635</v>
      </c>
      <c r="C19" s="220" t="s">
        <v>5636</v>
      </c>
    </row>
    <row r="20" spans="1:3" ht="19.5" customHeight="1">
      <c r="A20" s="301" t="s">
        <v>5637</v>
      </c>
      <c r="B20" s="302" t="s">
        <v>5638</v>
      </c>
      <c r="C20" s="302" t="s">
        <v>5639</v>
      </c>
    </row>
    <row r="21" spans="1:3" ht="19.5" customHeight="1">
      <c r="A21" s="55"/>
      <c r="B21" s="55" t="s">
        <v>5640</v>
      </c>
      <c r="C21" s="220" t="s">
        <v>5641</v>
      </c>
    </row>
    <row r="22" spans="1:3" ht="19.5" customHeight="1">
      <c r="A22" s="50"/>
      <c r="B22" s="50" t="s">
        <v>5642</v>
      </c>
      <c r="C22" s="215" t="s">
        <v>5643</v>
      </c>
    </row>
    <row r="23" spans="1:3" ht="19.5" customHeight="1">
      <c r="A23" s="55"/>
      <c r="B23" s="55" t="s">
        <v>5644</v>
      </c>
      <c r="C23" s="220" t="s">
        <v>5645</v>
      </c>
    </row>
    <row r="24" spans="1:3" ht="19.5" customHeight="1">
      <c r="A24" s="301" t="s">
        <v>5646</v>
      </c>
      <c r="B24" s="302" t="s">
        <v>5647</v>
      </c>
      <c r="C24" s="302" t="s">
        <v>5648</v>
      </c>
    </row>
    <row r="25" spans="1:3" ht="19.5" customHeight="1">
      <c r="A25" s="55"/>
      <c r="B25" s="55" t="s">
        <v>5649</v>
      </c>
      <c r="C25" s="220" t="s">
        <v>5650</v>
      </c>
    </row>
    <row r="26" spans="1:3" ht="19.5" customHeight="1">
      <c r="A26" s="50"/>
      <c r="B26" s="50" t="s">
        <v>5651</v>
      </c>
      <c r="C26" s="215" t="s">
        <v>5652</v>
      </c>
    </row>
    <row r="27" spans="1:3" ht="19.5" customHeight="1">
      <c r="A27" s="301" t="s">
        <v>5653</v>
      </c>
      <c r="B27" s="302" t="s">
        <v>5654</v>
      </c>
      <c r="C27" s="303" t="s">
        <v>5655</v>
      </c>
    </row>
    <row r="28" spans="1:3" ht="19.5" customHeight="1">
      <c r="A28" s="50"/>
      <c r="B28" s="50" t="s">
        <v>5656</v>
      </c>
      <c r="C28" s="215" t="s">
        <v>5657</v>
      </c>
    </row>
    <row r="29" spans="1:3" ht="19.5" customHeight="1">
      <c r="A29" s="55"/>
      <c r="B29" s="55" t="s">
        <v>5658</v>
      </c>
      <c r="C29" s="220" t="s">
        <v>5659</v>
      </c>
    </row>
    <row r="30" spans="1:3" ht="19.5" customHeight="1">
      <c r="A30" s="50"/>
      <c r="B30" s="50" t="s">
        <v>5660</v>
      </c>
      <c r="C30" s="215" t="s">
        <v>5661</v>
      </c>
    </row>
    <row r="31" spans="1:3" ht="19.5" customHeight="1">
      <c r="A31" s="301" t="s">
        <v>5662</v>
      </c>
      <c r="B31" s="302" t="s">
        <v>5663</v>
      </c>
      <c r="C31" s="303" t="s">
        <v>5664</v>
      </c>
    </row>
    <row r="32" spans="1:3" ht="19.5" customHeight="1">
      <c r="A32" s="55"/>
      <c r="B32" s="55" t="s">
        <v>5665</v>
      </c>
      <c r="C32" s="220" t="s">
        <v>5666</v>
      </c>
    </row>
    <row r="33" spans="1:3" ht="19.5" customHeight="1">
      <c r="A33" s="301" t="s">
        <v>5667</v>
      </c>
      <c r="B33" s="302" t="s">
        <v>5668</v>
      </c>
      <c r="C33" s="302" t="s">
        <v>5669</v>
      </c>
    </row>
    <row r="34" spans="1:3" ht="19.5" customHeight="1">
      <c r="A34" s="50"/>
      <c r="B34" s="50" t="s">
        <v>5670</v>
      </c>
      <c r="C34" s="215" t="s">
        <v>5671</v>
      </c>
    </row>
    <row r="35" spans="1:3" ht="19.5" customHeight="1">
      <c r="A35" s="55"/>
      <c r="B35" s="55"/>
      <c r="C35" s="220"/>
    </row>
    <row r="36" spans="1:3" ht="19.5" customHeight="1">
      <c r="A36" s="301" t="s">
        <v>5672</v>
      </c>
      <c r="B36" s="302" t="s">
        <v>5673</v>
      </c>
      <c r="C36" s="302" t="s">
        <v>5674</v>
      </c>
    </row>
    <row r="37" spans="1:3" ht="19.5" customHeight="1">
      <c r="A37" s="55"/>
      <c r="B37" s="55" t="s">
        <v>5675</v>
      </c>
      <c r="C37" s="220" t="s">
        <v>5676</v>
      </c>
    </row>
    <row r="38" spans="1:3" ht="19.5" customHeight="1">
      <c r="A38" s="50"/>
      <c r="B38" s="50" t="s">
        <v>5677</v>
      </c>
      <c r="C38" s="215" t="s">
        <v>5678</v>
      </c>
    </row>
    <row r="39" spans="1:3" ht="19.5" customHeight="1">
      <c r="A39" s="55"/>
      <c r="B39" s="55" t="s">
        <v>5679</v>
      </c>
      <c r="C39" s="220" t="s">
        <v>5680</v>
      </c>
    </row>
    <row r="40" spans="1:3" ht="19.5" customHeight="1">
      <c r="A40" s="50"/>
      <c r="B40" s="50"/>
      <c r="C40" s="215"/>
    </row>
    <row r="41" spans="1:3" ht="19.5" customHeight="1">
      <c r="A41" s="301" t="s">
        <v>5681</v>
      </c>
      <c r="B41" s="302" t="s">
        <v>5682</v>
      </c>
      <c r="C41" s="302" t="s">
        <v>5683</v>
      </c>
    </row>
    <row r="42" spans="1:3" ht="19.5" customHeight="1">
      <c r="A42" s="50"/>
      <c r="B42" s="50" t="s">
        <v>5684</v>
      </c>
      <c r="C42" s="215" t="s">
        <v>5685</v>
      </c>
    </row>
    <row r="43" spans="1:3" ht="19.5" customHeight="1">
      <c r="A43" s="55"/>
      <c r="B43" s="55" t="s">
        <v>5686</v>
      </c>
      <c r="C43" s="220" t="s">
        <v>5687</v>
      </c>
    </row>
    <row r="44" spans="1:3" ht="19.5" customHeight="1">
      <c r="A44" s="50"/>
      <c r="B44" s="50" t="s">
        <v>5688</v>
      </c>
      <c r="C44" s="215" t="s">
        <v>5689</v>
      </c>
    </row>
    <row r="45" spans="1:3" ht="19.5" customHeight="1">
      <c r="A45" s="55"/>
      <c r="B45" s="55" t="s">
        <v>5690</v>
      </c>
      <c r="C45" s="220" t="s">
        <v>5691</v>
      </c>
    </row>
    <row r="46" spans="1:3" ht="19.5" customHeight="1">
      <c r="A46" s="50"/>
      <c r="B46" s="50"/>
      <c r="C46" s="215"/>
    </row>
    <row r="47" spans="1:3" ht="19.5" customHeight="1">
      <c r="A47" s="301" t="s">
        <v>5692</v>
      </c>
      <c r="B47" s="302" t="s">
        <v>5693</v>
      </c>
      <c r="C47" s="302" t="s">
        <v>5694</v>
      </c>
    </row>
    <row r="48" spans="1:3" ht="19.5" customHeight="1">
      <c r="A48" s="50"/>
      <c r="B48" s="50"/>
      <c r="C48" s="215"/>
    </row>
    <row r="49" spans="1:3" ht="19.5" customHeight="1">
      <c r="A49" s="301" t="s">
        <v>5695</v>
      </c>
      <c r="B49" s="302" t="s">
        <v>5696</v>
      </c>
      <c r="C49" s="302" t="s">
        <v>5697</v>
      </c>
    </row>
    <row r="50" spans="1:3" ht="19.5" customHeight="1">
      <c r="A50" s="50"/>
      <c r="B50" s="50" t="s">
        <v>5698</v>
      </c>
      <c r="C50" s="215" t="s">
        <v>5699</v>
      </c>
    </row>
    <row r="51" spans="1:3" ht="19.5" customHeight="1">
      <c r="A51" s="55"/>
      <c r="B51" s="55" t="s">
        <v>5700</v>
      </c>
      <c r="C51" s="220" t="s">
        <v>5701</v>
      </c>
    </row>
    <row r="52" spans="1:3" ht="19.5" customHeight="1">
      <c r="A52" s="50"/>
      <c r="B52" s="50"/>
      <c r="C52" s="215"/>
    </row>
    <row r="53" spans="1:3" ht="19.5" customHeight="1">
      <c r="A53" s="301" t="s">
        <v>5702</v>
      </c>
      <c r="B53" s="302" t="s">
        <v>5703</v>
      </c>
      <c r="C53" s="302" t="s">
        <v>5704</v>
      </c>
    </row>
    <row r="54" spans="1:3" ht="19.5" customHeight="1">
      <c r="A54" s="50"/>
      <c r="B54" s="50" t="s">
        <v>5705</v>
      </c>
      <c r="C54" s="215" t="s">
        <v>5706</v>
      </c>
    </row>
    <row r="55" spans="1:3" ht="19.5" customHeight="1">
      <c r="A55" s="55"/>
      <c r="B55" s="55" t="s">
        <v>5707</v>
      </c>
      <c r="C55" s="220" t="s">
        <v>5708</v>
      </c>
    </row>
  </sheetData>
  <mergeCells count="1">
    <mergeCell ref="A1:C1"/>
  </mergeCells>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5709</v>
      </c>
      <c r="B1" s="166" t="s">
        <v>243</v>
      </c>
    </row>
    <row r="2" spans="1:2" ht="21.75" customHeight="1">
      <c r="A2" s="50" t="s">
        <v>5710</v>
      </c>
      <c r="B2" s="51" t="s">
        <v>2729</v>
      </c>
    </row>
    <row r="3" spans="1:2" ht="21.75" customHeight="1">
      <c r="A3" s="55" t="s">
        <v>5711</v>
      </c>
      <c r="B3" s="56"/>
    </row>
    <row r="4" spans="1:2" ht="21.75" customHeight="1">
      <c r="A4" s="50" t="s">
        <v>5712</v>
      </c>
      <c r="B4" s="51"/>
    </row>
    <row r="5" spans="1:2" ht="21.75" customHeight="1">
      <c r="A5" s="55" t="s">
        <v>5713</v>
      </c>
      <c r="B5" s="56"/>
    </row>
  </sheetData>
  <pageMargins left="0.7" right="0.7" top="0.75" bottom="0.75" header="0.511811023622047" footer="0.511811023622047"/>
  <pageSetup paperSize="9" orientation="portrait" horizontalDpi="300" verticalDpi="30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5714</v>
      </c>
      <c r="B1" s="166" t="s">
        <v>243</v>
      </c>
    </row>
    <row r="2" spans="1:2" ht="21.75" customHeight="1">
      <c r="A2" s="50" t="s">
        <v>5710</v>
      </c>
      <c r="B2" s="51" t="s">
        <v>2729</v>
      </c>
    </row>
    <row r="3" spans="1:2" ht="21.75" customHeight="1">
      <c r="A3" s="55" t="s">
        <v>5715</v>
      </c>
      <c r="B3" s="56"/>
    </row>
    <row r="4" spans="1:2" ht="21.75" customHeight="1">
      <c r="A4" s="50" t="s">
        <v>5716</v>
      </c>
      <c r="B4" s="51"/>
    </row>
  </sheetData>
  <pageMargins left="0.7" right="0.7" top="0.75" bottom="0.75" header="0.511811023622047" footer="0.511811023622047"/>
  <pageSetup paperSize="9" orientation="portrait" horizontalDpi="300" verticalDpi="30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5717</v>
      </c>
      <c r="B1" s="166" t="s">
        <v>243</v>
      </c>
    </row>
    <row r="2" spans="1:2" ht="21.75" customHeight="1">
      <c r="A2" s="50" t="s">
        <v>5718</v>
      </c>
      <c r="B2" s="51" t="s">
        <v>2729</v>
      </c>
    </row>
    <row r="3" spans="1:2" ht="21.75" customHeight="1">
      <c r="A3" s="55" t="s">
        <v>5719</v>
      </c>
      <c r="B3" s="56"/>
    </row>
  </sheetData>
  <pageMargins left="0.7" right="0.7" top="0.75" bottom="0.75" header="0.511811023622047" footer="0.511811023622047"/>
  <pageSetup paperSize="9" orientation="portrait" horizontalDpi="300" verticalDpi="30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5720</v>
      </c>
      <c r="B1" s="166" t="s">
        <v>243</v>
      </c>
    </row>
    <row r="2" spans="1:2" ht="21.75" customHeight="1">
      <c r="A2" s="50" t="s">
        <v>5721</v>
      </c>
      <c r="B2" s="51" t="s">
        <v>2729</v>
      </c>
    </row>
    <row r="3" spans="1:2" ht="21.75" customHeight="1">
      <c r="A3" s="55" t="s">
        <v>5722</v>
      </c>
      <c r="B3" s="56"/>
    </row>
  </sheetData>
  <pageMargins left="0.7" right="0.7" top="0.75" bottom="0.75" header="0.511811023622047" footer="0.511811023622047"/>
  <pageSetup paperSize="9" orientation="portrait" horizontalDpi="300" verticalDpi="30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5723</v>
      </c>
      <c r="B1" s="166" t="s">
        <v>243</v>
      </c>
    </row>
    <row r="2" spans="1:2" ht="21.75" customHeight="1">
      <c r="A2" s="50" t="s">
        <v>5724</v>
      </c>
      <c r="B2" s="51" t="s">
        <v>5725</v>
      </c>
    </row>
  </sheetData>
  <pageMargins left="0.7" right="0.7" top="0.75" bottom="0.75" header="0.511811023622047" footer="0.511811023622047"/>
  <pageSetup paperSize="9" orientation="portrait" horizontalDpi="300" verticalDpi="30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5726</v>
      </c>
      <c r="B1" s="166" t="s">
        <v>243</v>
      </c>
    </row>
    <row r="2" spans="1:2" ht="21.75" customHeight="1">
      <c r="A2" s="50" t="s">
        <v>5727</v>
      </c>
      <c r="B2" s="51" t="s">
        <v>5725</v>
      </c>
    </row>
  </sheetData>
  <pageMargins left="0.7" right="0.7" top="0.75" bottom="0.75" header="0.511811023622047" footer="0.511811023622047"/>
  <pageSetup paperSize="9" orientation="portrait" horizontalDpi="300" verticalDpi="30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5728</v>
      </c>
      <c r="B1" s="305"/>
      <c r="C1" s="305"/>
      <c r="D1" s="305"/>
      <c r="E1" s="305"/>
      <c r="F1" s="305"/>
      <c r="G1" s="305"/>
    </row>
    <row r="2" spans="1:7" ht="23.25" customHeight="1">
      <c r="A2" s="306" t="s">
        <v>5729</v>
      </c>
      <c r="B2" s="23"/>
      <c r="C2" s="23"/>
      <c r="D2" s="23"/>
      <c r="E2" s="23"/>
      <c r="F2" s="23"/>
      <c r="G2" s="23"/>
    </row>
    <row r="3" spans="1:7" ht="15" customHeight="1">
      <c r="A3" s="23"/>
      <c r="B3" s="23"/>
      <c r="C3" s="23"/>
      <c r="D3" s="23"/>
      <c r="E3" s="23"/>
      <c r="F3" s="23"/>
      <c r="G3" s="23"/>
    </row>
    <row r="4" spans="1:7" ht="15" customHeight="1">
      <c r="A4" s="307" t="s">
        <v>5730</v>
      </c>
      <c r="B4" s="308"/>
      <c r="C4" s="308"/>
      <c r="D4" s="308"/>
      <c r="E4" s="308"/>
      <c r="F4" s="308"/>
      <c r="G4" s="308"/>
    </row>
    <row r="5" spans="1:7" ht="15" customHeight="1">
      <c r="A5" s="309" t="s">
        <v>5731</v>
      </c>
      <c r="B5" s="309" t="s">
        <v>3383</v>
      </c>
      <c r="C5" s="309" t="s">
        <v>243</v>
      </c>
      <c r="D5" s="309" t="s">
        <v>432</v>
      </c>
      <c r="E5" s="309" t="s">
        <v>5732</v>
      </c>
      <c r="F5" s="309" t="s">
        <v>5733</v>
      </c>
      <c r="G5" s="309" t="s">
        <v>5734</v>
      </c>
    </row>
    <row r="6" spans="1:7" ht="27.75" customHeight="1">
      <c r="A6" s="23" t="s">
        <v>5735</v>
      </c>
      <c r="B6" s="23" t="s">
        <v>5736</v>
      </c>
      <c r="C6" s="23" t="s">
        <v>1993</v>
      </c>
      <c r="D6" s="23" t="s">
        <v>46</v>
      </c>
      <c r="E6" s="23" t="s">
        <v>5737</v>
      </c>
      <c r="F6" s="23" t="s">
        <v>1910</v>
      </c>
      <c r="G6" s="23" t="s">
        <v>5738</v>
      </c>
    </row>
    <row r="7" spans="1:7" ht="27.75" customHeight="1">
      <c r="A7" s="23" t="s">
        <v>1996</v>
      </c>
      <c r="B7" s="23" t="s">
        <v>5739</v>
      </c>
      <c r="C7" s="23" t="s">
        <v>1993</v>
      </c>
      <c r="D7" s="23" t="s">
        <v>46</v>
      </c>
      <c r="E7" s="23" t="s">
        <v>5740</v>
      </c>
      <c r="F7" s="23" t="s">
        <v>4883</v>
      </c>
      <c r="G7" s="23" t="s">
        <v>5741</v>
      </c>
    </row>
    <row r="8" spans="1:7" ht="27.75" customHeight="1">
      <c r="A8" s="23" t="s">
        <v>5472</v>
      </c>
      <c r="B8" s="23" t="s">
        <v>5742</v>
      </c>
      <c r="C8" s="23" t="s">
        <v>1993</v>
      </c>
      <c r="D8" s="23" t="s">
        <v>46</v>
      </c>
      <c r="E8" s="23" t="s">
        <v>5743</v>
      </c>
      <c r="F8" s="23" t="s">
        <v>4884</v>
      </c>
      <c r="G8" s="23" t="s">
        <v>5744</v>
      </c>
    </row>
    <row r="9" spans="1:7" ht="27.75" customHeight="1">
      <c r="A9" s="23" t="s">
        <v>5476</v>
      </c>
      <c r="B9" s="23" t="s">
        <v>5477</v>
      </c>
      <c r="C9" s="23" t="s">
        <v>1993</v>
      </c>
      <c r="D9" s="23" t="s">
        <v>46</v>
      </c>
      <c r="E9" s="23" t="s">
        <v>5745</v>
      </c>
      <c r="F9" s="23" t="s">
        <v>5746</v>
      </c>
      <c r="G9" s="23" t="s">
        <v>5747</v>
      </c>
    </row>
    <row r="10" spans="1:7" ht="27.75" customHeight="1">
      <c r="A10" s="23" t="s">
        <v>5748</v>
      </c>
      <c r="B10" s="23" t="s">
        <v>5749</v>
      </c>
      <c r="C10" s="23" t="s">
        <v>2006</v>
      </c>
      <c r="D10" s="23" t="s">
        <v>46</v>
      </c>
      <c r="E10" s="23" t="s">
        <v>5750</v>
      </c>
      <c r="F10" s="23" t="s">
        <v>5751</v>
      </c>
      <c r="G10" s="23" t="s">
        <v>5752</v>
      </c>
    </row>
    <row r="11" spans="1:7" ht="27.75" customHeight="1">
      <c r="A11" s="23" t="s">
        <v>5753</v>
      </c>
      <c r="B11" s="23" t="s">
        <v>5754</v>
      </c>
      <c r="C11" s="23" t="s">
        <v>2006</v>
      </c>
      <c r="D11" s="23" t="s">
        <v>46</v>
      </c>
      <c r="E11" s="23" t="s">
        <v>5755</v>
      </c>
      <c r="F11" s="23" t="s">
        <v>5756</v>
      </c>
      <c r="G11" s="23" t="s">
        <v>5757</v>
      </c>
    </row>
    <row r="12" spans="1:7" ht="27.75" customHeight="1">
      <c r="A12" s="23" t="s">
        <v>5758</v>
      </c>
      <c r="B12" s="23" t="s">
        <v>5759</v>
      </c>
      <c r="C12" s="23" t="s">
        <v>1993</v>
      </c>
      <c r="D12" s="23" t="s">
        <v>46</v>
      </c>
      <c r="E12" s="23" t="s">
        <v>5760</v>
      </c>
      <c r="F12" s="23" t="s">
        <v>5761</v>
      </c>
      <c r="G12" s="23" t="s">
        <v>5762</v>
      </c>
    </row>
    <row r="13" spans="1:7" ht="27.75" customHeight="1">
      <c r="A13" s="23" t="s">
        <v>4887</v>
      </c>
      <c r="B13" s="23" t="s">
        <v>5407</v>
      </c>
      <c r="C13" s="23" t="s">
        <v>2006</v>
      </c>
      <c r="D13" s="23" t="s">
        <v>46</v>
      </c>
      <c r="E13" s="23" t="s">
        <v>5763</v>
      </c>
      <c r="F13" s="23" t="s">
        <v>4888</v>
      </c>
      <c r="G13" s="23" t="s">
        <v>5764</v>
      </c>
    </row>
    <row r="14" spans="1:7" ht="27.75" customHeight="1">
      <c r="A14" s="23" t="s">
        <v>5483</v>
      </c>
      <c r="B14" s="23" t="s">
        <v>5484</v>
      </c>
      <c r="C14" s="23" t="s">
        <v>1993</v>
      </c>
      <c r="D14" s="23" t="s">
        <v>46</v>
      </c>
      <c r="E14" s="23" t="s">
        <v>5765</v>
      </c>
      <c r="F14" s="23" t="s">
        <v>5766</v>
      </c>
      <c r="G14" s="23" t="s">
        <v>5767</v>
      </c>
    </row>
    <row r="15" spans="1:7" ht="27.75" customHeight="1">
      <c r="A15" s="23" t="s">
        <v>5768</v>
      </c>
      <c r="B15" s="23" t="s">
        <v>2004</v>
      </c>
      <c r="C15" s="23" t="s">
        <v>2006</v>
      </c>
      <c r="D15" s="23" t="s">
        <v>46</v>
      </c>
      <c r="E15" s="23" t="s">
        <v>5769</v>
      </c>
      <c r="F15" s="23" t="s">
        <v>4892</v>
      </c>
      <c r="G15" s="23" t="s">
        <v>5770</v>
      </c>
    </row>
    <row r="16" spans="1:7" ht="27.75" customHeight="1">
      <c r="A16" s="23" t="s">
        <v>5771</v>
      </c>
      <c r="B16" s="23" t="s">
        <v>2004</v>
      </c>
      <c r="C16" s="23" t="s">
        <v>2006</v>
      </c>
      <c r="D16" s="23" t="s">
        <v>474</v>
      </c>
      <c r="E16" s="23" t="s">
        <v>5769</v>
      </c>
      <c r="F16" s="23" t="s">
        <v>4896</v>
      </c>
      <c r="G16" s="23" t="s">
        <v>5772</v>
      </c>
    </row>
    <row r="17" spans="1:7" ht="15" customHeight="1">
      <c r="A17" s="23"/>
      <c r="B17" s="23"/>
      <c r="C17" s="23"/>
      <c r="D17" s="23"/>
      <c r="E17" s="23"/>
      <c r="F17" s="23"/>
      <c r="G17" s="23"/>
    </row>
    <row r="18" spans="1:7" ht="15" customHeight="1">
      <c r="A18" s="307" t="s">
        <v>5773</v>
      </c>
      <c r="B18" s="308"/>
      <c r="C18" s="308"/>
      <c r="D18" s="308"/>
      <c r="E18" s="308"/>
      <c r="F18" s="308"/>
      <c r="G18" s="308"/>
    </row>
    <row r="19" spans="1:7" ht="15" customHeight="1">
      <c r="A19" s="309" t="s">
        <v>5731</v>
      </c>
      <c r="B19" s="309" t="s">
        <v>3383</v>
      </c>
      <c r="C19" s="309" t="s">
        <v>243</v>
      </c>
      <c r="D19" s="309" t="s">
        <v>432</v>
      </c>
      <c r="E19" s="309" t="s">
        <v>5732</v>
      </c>
      <c r="F19" s="309" t="s">
        <v>5733</v>
      </c>
      <c r="G19" s="309" t="s">
        <v>5734</v>
      </c>
    </row>
    <row r="20" spans="1:7" ht="27.75" customHeight="1">
      <c r="A20" s="23" t="s">
        <v>5488</v>
      </c>
      <c r="B20" s="23" t="s">
        <v>5489</v>
      </c>
      <c r="C20" s="23" t="s">
        <v>1993</v>
      </c>
      <c r="D20" s="23" t="s">
        <v>474</v>
      </c>
      <c r="E20" s="23" t="s">
        <v>5774</v>
      </c>
      <c r="F20" s="23" t="s">
        <v>5775</v>
      </c>
      <c r="G20" s="23" t="s">
        <v>5776</v>
      </c>
    </row>
    <row r="21" spans="1:7" ht="27.75" customHeight="1">
      <c r="A21" s="23" t="s">
        <v>5498</v>
      </c>
      <c r="B21" s="23" t="s">
        <v>5489</v>
      </c>
      <c r="C21" s="23" t="s">
        <v>1993</v>
      </c>
      <c r="D21" s="23" t="s">
        <v>474</v>
      </c>
      <c r="E21" s="23" t="s">
        <v>5777</v>
      </c>
      <c r="F21" s="23" t="s">
        <v>5778</v>
      </c>
      <c r="G21" s="23" t="s">
        <v>5779</v>
      </c>
    </row>
    <row r="22" spans="1:7" ht="27.75" customHeight="1">
      <c r="A22" s="23" t="s">
        <v>5780</v>
      </c>
      <c r="B22" s="23" t="s">
        <v>5489</v>
      </c>
      <c r="C22" s="23" t="s">
        <v>2006</v>
      </c>
      <c r="D22" s="23" t="s">
        <v>474</v>
      </c>
      <c r="E22" s="23" t="s">
        <v>5769</v>
      </c>
      <c r="F22" s="23" t="s">
        <v>5781</v>
      </c>
      <c r="G22" s="23" t="s">
        <v>5782</v>
      </c>
    </row>
    <row r="23" spans="1:7" ht="27.75" customHeight="1">
      <c r="A23" s="23" t="s">
        <v>5783</v>
      </c>
      <c r="B23" s="23" t="s">
        <v>5489</v>
      </c>
      <c r="C23" s="23" t="s">
        <v>2006</v>
      </c>
      <c r="D23" s="23" t="s">
        <v>474</v>
      </c>
      <c r="E23" s="23" t="s">
        <v>626</v>
      </c>
      <c r="F23" s="23" t="s">
        <v>5784</v>
      </c>
      <c r="G23" s="23" t="s">
        <v>5785</v>
      </c>
    </row>
    <row r="24" spans="1:7" ht="27.75" customHeight="1">
      <c r="A24" s="23" t="s">
        <v>3374</v>
      </c>
      <c r="B24" s="23" t="s">
        <v>4907</v>
      </c>
      <c r="C24" s="23" t="s">
        <v>2006</v>
      </c>
      <c r="D24" s="23" t="s">
        <v>474</v>
      </c>
      <c r="E24" s="23" t="s">
        <v>5786</v>
      </c>
      <c r="F24" s="23" t="s">
        <v>5787</v>
      </c>
      <c r="G24" s="23" t="s">
        <v>5788</v>
      </c>
    </row>
    <row r="25" spans="1:7" ht="27.75" customHeight="1">
      <c r="A25" s="23" t="s">
        <v>5789</v>
      </c>
      <c r="B25" s="23" t="s">
        <v>5790</v>
      </c>
      <c r="C25" s="23" t="s">
        <v>2006</v>
      </c>
      <c r="D25" s="23" t="s">
        <v>474</v>
      </c>
      <c r="E25" s="23" t="s">
        <v>5769</v>
      </c>
      <c r="F25" s="23" t="s">
        <v>5791</v>
      </c>
      <c r="G25" s="23" t="s">
        <v>5792</v>
      </c>
    </row>
    <row r="26" spans="1:7" ht="27.75" customHeight="1">
      <c r="A26" s="23" t="s">
        <v>5793</v>
      </c>
      <c r="B26" s="23" t="s">
        <v>5790</v>
      </c>
      <c r="C26" s="23" t="s">
        <v>2006</v>
      </c>
      <c r="D26" s="23" t="s">
        <v>474</v>
      </c>
      <c r="E26" s="23" t="s">
        <v>5794</v>
      </c>
      <c r="F26" s="23" t="s">
        <v>5795</v>
      </c>
      <c r="G26" s="23" t="s">
        <v>5796</v>
      </c>
    </row>
    <row r="27" spans="1:7" ht="27.75" customHeight="1">
      <c r="A27" s="23" t="s">
        <v>5797</v>
      </c>
      <c r="B27" s="23" t="s">
        <v>4994</v>
      </c>
      <c r="C27" s="23" t="s">
        <v>2006</v>
      </c>
      <c r="D27" s="23" t="s">
        <v>474</v>
      </c>
      <c r="E27" s="23" t="s">
        <v>5769</v>
      </c>
      <c r="F27" s="23" t="s">
        <v>5798</v>
      </c>
      <c r="G27" s="23" t="s">
        <v>5799</v>
      </c>
    </row>
    <row r="28" spans="1:7" ht="15" customHeight="1">
      <c r="A28" s="23"/>
      <c r="B28" s="23"/>
      <c r="C28" s="23"/>
      <c r="D28" s="23"/>
      <c r="E28" s="23"/>
      <c r="F28" s="23"/>
      <c r="G28" s="23"/>
    </row>
    <row r="29" spans="1:7" ht="15" customHeight="1">
      <c r="A29" s="307" t="s">
        <v>5800</v>
      </c>
      <c r="B29" s="308"/>
      <c r="C29" s="308"/>
      <c r="D29" s="308"/>
      <c r="E29" s="308"/>
      <c r="F29" s="308"/>
      <c r="G29" s="308"/>
    </row>
    <row r="30" spans="1:7" ht="15" customHeight="1">
      <c r="A30" s="309" t="s">
        <v>5731</v>
      </c>
      <c r="B30" s="309" t="s">
        <v>3383</v>
      </c>
      <c r="C30" s="309" t="s">
        <v>243</v>
      </c>
      <c r="D30" s="309" t="s">
        <v>432</v>
      </c>
      <c r="E30" s="309" t="s">
        <v>5732</v>
      </c>
      <c r="F30" s="309" t="s">
        <v>5733</v>
      </c>
      <c r="G30" s="309" t="s">
        <v>5734</v>
      </c>
    </row>
    <row r="31" spans="1:7" ht="27.75" customHeight="1">
      <c r="A31" s="23" t="s">
        <v>5493</v>
      </c>
      <c r="B31" s="23" t="s">
        <v>4969</v>
      </c>
      <c r="C31" s="23" t="s">
        <v>5801</v>
      </c>
      <c r="D31" s="23" t="s">
        <v>474</v>
      </c>
      <c r="E31" s="23" t="s">
        <v>626</v>
      </c>
      <c r="F31" s="23" t="s">
        <v>5802</v>
      </c>
      <c r="G31" s="23" t="s">
        <v>5803</v>
      </c>
    </row>
    <row r="32" spans="1:7" ht="27.75" customHeight="1">
      <c r="A32" s="23" t="s">
        <v>5491</v>
      </c>
      <c r="B32" s="23" t="s">
        <v>4969</v>
      </c>
      <c r="C32" s="23" t="s">
        <v>5801</v>
      </c>
      <c r="D32" s="23" t="s">
        <v>474</v>
      </c>
      <c r="E32" s="23" t="s">
        <v>5777</v>
      </c>
      <c r="F32" s="23" t="s">
        <v>5804</v>
      </c>
      <c r="G32" s="23" t="s">
        <v>5805</v>
      </c>
    </row>
    <row r="33" spans="1:7" ht="27.75" customHeight="1">
      <c r="A33" s="23" t="s">
        <v>5486</v>
      </c>
      <c r="B33" s="23" t="s">
        <v>4969</v>
      </c>
      <c r="C33" s="23" t="s">
        <v>2006</v>
      </c>
      <c r="D33" s="23" t="s">
        <v>46</v>
      </c>
      <c r="E33" s="23" t="s">
        <v>2010</v>
      </c>
      <c r="F33" s="23" t="s">
        <v>5806</v>
      </c>
      <c r="G33" s="23" t="s">
        <v>5807</v>
      </c>
    </row>
    <row r="34" spans="1:7" ht="27.75" customHeight="1">
      <c r="A34" s="23" t="s">
        <v>5524</v>
      </c>
      <c r="B34" s="23" t="s">
        <v>5026</v>
      </c>
      <c r="C34" s="23" t="s">
        <v>5808</v>
      </c>
      <c r="D34" s="23" t="s">
        <v>492</v>
      </c>
      <c r="E34" s="23" t="s">
        <v>5769</v>
      </c>
      <c r="F34" s="23" t="s">
        <v>5809</v>
      </c>
      <c r="G34" s="23" t="s">
        <v>5810</v>
      </c>
    </row>
    <row r="35" spans="1:7" ht="27.75" customHeight="1">
      <c r="A35" s="23" t="s">
        <v>5811</v>
      </c>
      <c r="B35" s="23" t="s">
        <v>4969</v>
      </c>
      <c r="C35" s="23" t="s">
        <v>5812</v>
      </c>
      <c r="D35" s="23" t="s">
        <v>474</v>
      </c>
      <c r="E35" s="23" t="s">
        <v>5813</v>
      </c>
      <c r="F35" s="23" t="s">
        <v>5814</v>
      </c>
      <c r="G35" s="23" t="s">
        <v>5815</v>
      </c>
    </row>
    <row r="36" spans="1:7" ht="15" customHeight="1">
      <c r="A36" s="23" t="s">
        <v>5519</v>
      </c>
      <c r="B36" s="23" t="s">
        <v>4969</v>
      </c>
      <c r="C36" s="23" t="s">
        <v>5812</v>
      </c>
      <c r="D36" s="23" t="s">
        <v>492</v>
      </c>
      <c r="E36" s="23" t="s">
        <v>5813</v>
      </c>
      <c r="F36" s="23" t="s">
        <v>5816</v>
      </c>
      <c r="G36" s="23" t="s">
        <v>5817</v>
      </c>
    </row>
    <row r="37" spans="1:7" ht="27.75" customHeight="1">
      <c r="A37" s="23" t="s">
        <v>5521</v>
      </c>
      <c r="B37" s="23" t="s">
        <v>4969</v>
      </c>
      <c r="C37" s="23" t="s">
        <v>5812</v>
      </c>
      <c r="D37" s="23" t="s">
        <v>492</v>
      </c>
      <c r="E37" s="23" t="s">
        <v>5813</v>
      </c>
      <c r="F37" s="23" t="s">
        <v>5818</v>
      </c>
      <c r="G37" s="23" t="s">
        <v>5819</v>
      </c>
    </row>
    <row r="38" spans="1:7" ht="27.75" customHeight="1">
      <c r="A38" s="23" t="s">
        <v>5522</v>
      </c>
      <c r="B38" s="23" t="s">
        <v>4969</v>
      </c>
      <c r="C38" s="23" t="s">
        <v>5812</v>
      </c>
      <c r="D38" s="23" t="s">
        <v>492</v>
      </c>
      <c r="E38" s="23" t="s">
        <v>5813</v>
      </c>
      <c r="F38" s="23" t="s">
        <v>5820</v>
      </c>
      <c r="G38" s="23" t="s">
        <v>5821</v>
      </c>
    </row>
    <row r="39" spans="1:7" ht="27.75" customHeight="1">
      <c r="A39" s="23" t="s">
        <v>5822</v>
      </c>
      <c r="B39" s="23" t="s">
        <v>5823</v>
      </c>
      <c r="C39" s="23" t="s">
        <v>2006</v>
      </c>
      <c r="D39" s="23" t="s">
        <v>492</v>
      </c>
      <c r="E39" s="23" t="s">
        <v>5824</v>
      </c>
      <c r="F39" s="23" t="s">
        <v>5825</v>
      </c>
      <c r="G39" s="23" t="s">
        <v>5826</v>
      </c>
    </row>
    <row r="40" spans="1:7" ht="27.75" customHeight="1">
      <c r="A40" s="23" t="s">
        <v>5827</v>
      </c>
      <c r="B40" s="23" t="s">
        <v>5501</v>
      </c>
      <c r="C40" s="23" t="s">
        <v>1993</v>
      </c>
      <c r="D40" s="23" t="s">
        <v>474</v>
      </c>
      <c r="E40" s="23" t="s">
        <v>5828</v>
      </c>
      <c r="F40" s="23" t="s">
        <v>5829</v>
      </c>
      <c r="G40" s="23" t="s">
        <v>5830</v>
      </c>
    </row>
    <row r="41" spans="1:7" ht="15" customHeight="1">
      <c r="A41" s="23"/>
      <c r="B41" s="23"/>
      <c r="C41" s="23"/>
      <c r="D41" s="23"/>
      <c r="E41" s="23"/>
      <c r="F41" s="23"/>
      <c r="G41" s="23"/>
    </row>
    <row r="42" spans="1:7" ht="15" customHeight="1">
      <c r="A42" s="307" t="s">
        <v>5831</v>
      </c>
      <c r="B42" s="308"/>
      <c r="C42" s="308"/>
      <c r="D42" s="308"/>
      <c r="E42" s="308"/>
      <c r="F42" s="308"/>
      <c r="G42" s="308"/>
    </row>
    <row r="43" spans="1:7" ht="15" customHeight="1">
      <c r="A43" s="309" t="s">
        <v>5731</v>
      </c>
      <c r="B43" s="309" t="s">
        <v>3383</v>
      </c>
      <c r="C43" s="309" t="s">
        <v>243</v>
      </c>
      <c r="D43" s="309" t="s">
        <v>432</v>
      </c>
      <c r="E43" s="309" t="s">
        <v>5732</v>
      </c>
      <c r="F43" s="309" t="s">
        <v>5832</v>
      </c>
      <c r="G43" s="309" t="s">
        <v>5734</v>
      </c>
    </row>
    <row r="44" spans="1:7" ht="27.75" customHeight="1">
      <c r="A44" s="23" t="s">
        <v>5509</v>
      </c>
      <c r="B44" s="23" t="s">
        <v>4954</v>
      </c>
      <c r="C44" s="23" t="s">
        <v>2006</v>
      </c>
      <c r="D44" s="23" t="s">
        <v>474</v>
      </c>
      <c r="E44" s="23" t="s">
        <v>5833</v>
      </c>
      <c r="F44" s="23" t="s">
        <v>5152</v>
      </c>
      <c r="G44" s="23" t="s">
        <v>5834</v>
      </c>
    </row>
    <row r="45" spans="1:7" ht="27.75" customHeight="1">
      <c r="A45" s="23" t="s">
        <v>5835</v>
      </c>
      <c r="B45" s="23" t="s">
        <v>4962</v>
      </c>
      <c r="C45" s="23" t="s">
        <v>2006</v>
      </c>
      <c r="D45" s="23" t="s">
        <v>474</v>
      </c>
      <c r="E45" s="23" t="s">
        <v>5769</v>
      </c>
      <c r="F45" s="23" t="s">
        <v>5156</v>
      </c>
      <c r="G45" s="23" t="s">
        <v>5836</v>
      </c>
    </row>
    <row r="46" spans="1:7" ht="27.75" customHeight="1">
      <c r="A46" s="23" t="s">
        <v>5503</v>
      </c>
      <c r="B46" s="23" t="s">
        <v>4962</v>
      </c>
      <c r="C46" s="23" t="s">
        <v>2006</v>
      </c>
      <c r="D46" s="23" t="s">
        <v>474</v>
      </c>
      <c r="E46" s="23" t="s">
        <v>5769</v>
      </c>
      <c r="F46" s="23" t="s">
        <v>5165</v>
      </c>
      <c r="G46" s="23" t="s">
        <v>5837</v>
      </c>
    </row>
    <row r="47" spans="1:7" ht="27.75" customHeight="1">
      <c r="A47" s="23" t="s">
        <v>5838</v>
      </c>
      <c r="B47" s="23" t="s">
        <v>4958</v>
      </c>
      <c r="C47" s="23" t="s">
        <v>2006</v>
      </c>
      <c r="D47" s="23" t="s">
        <v>474</v>
      </c>
      <c r="E47" s="23" t="s">
        <v>5769</v>
      </c>
      <c r="F47" s="23" t="s">
        <v>5177</v>
      </c>
      <c r="G47" s="23" t="s">
        <v>5839</v>
      </c>
    </row>
    <row r="48" spans="1:7" ht="27.75" customHeight="1">
      <c r="A48" s="23" t="s">
        <v>5507</v>
      </c>
      <c r="B48" s="23" t="s">
        <v>4958</v>
      </c>
      <c r="C48" s="23" t="s">
        <v>2006</v>
      </c>
      <c r="D48" s="23" t="s">
        <v>474</v>
      </c>
      <c r="E48" s="23" t="s">
        <v>5840</v>
      </c>
      <c r="F48" s="23" t="s">
        <v>859</v>
      </c>
      <c r="G48" s="23" t="s">
        <v>5841</v>
      </c>
    </row>
    <row r="49" spans="1:7" ht="27.75" customHeight="1">
      <c r="A49" s="23" t="s">
        <v>5842</v>
      </c>
      <c r="B49" s="23" t="s">
        <v>5005</v>
      </c>
      <c r="C49" s="23" t="s">
        <v>2006</v>
      </c>
      <c r="D49" s="23" t="s">
        <v>492</v>
      </c>
      <c r="E49" s="23" t="s">
        <v>5769</v>
      </c>
      <c r="F49" s="23" t="s">
        <v>5169</v>
      </c>
      <c r="G49" s="23" t="s">
        <v>5843</v>
      </c>
    </row>
    <row r="50" spans="1:7" ht="27.75" customHeight="1">
      <c r="A50" s="23" t="s">
        <v>5844</v>
      </c>
      <c r="B50" s="23" t="s">
        <v>5005</v>
      </c>
      <c r="C50" s="23" t="s">
        <v>2006</v>
      </c>
      <c r="D50" s="23" t="s">
        <v>492</v>
      </c>
      <c r="E50" s="23" t="s">
        <v>5769</v>
      </c>
      <c r="F50" s="23" t="s">
        <v>5185</v>
      </c>
      <c r="G50" s="23" t="s">
        <v>5845</v>
      </c>
    </row>
    <row r="51" spans="1:7" ht="15" customHeight="1">
      <c r="A51" s="23" t="s">
        <v>5526</v>
      </c>
      <c r="B51" s="23" t="s">
        <v>5012</v>
      </c>
      <c r="C51" s="23" t="s">
        <v>2006</v>
      </c>
      <c r="D51" s="23" t="s">
        <v>492</v>
      </c>
      <c r="E51" s="23" t="s">
        <v>626</v>
      </c>
      <c r="F51" s="23" t="s">
        <v>5846</v>
      </c>
      <c r="G51" s="23" t="s">
        <v>5847</v>
      </c>
    </row>
    <row r="52" spans="1:7" ht="27.75" customHeight="1">
      <c r="A52" s="23" t="s">
        <v>5848</v>
      </c>
      <c r="B52" s="23" t="s">
        <v>5012</v>
      </c>
      <c r="C52" s="23" t="s">
        <v>2006</v>
      </c>
      <c r="D52" s="23" t="s">
        <v>492</v>
      </c>
      <c r="E52" s="23" t="s">
        <v>626</v>
      </c>
      <c r="F52" s="23" t="s">
        <v>5846</v>
      </c>
      <c r="G52" s="23" t="s">
        <v>5849</v>
      </c>
    </row>
    <row r="53" spans="1:7" ht="27.75" customHeight="1">
      <c r="A53" s="23" t="s">
        <v>2011</v>
      </c>
      <c r="B53" s="23" t="s">
        <v>5850</v>
      </c>
      <c r="C53" s="23" t="s">
        <v>1993</v>
      </c>
      <c r="D53" s="23" t="s">
        <v>474</v>
      </c>
      <c r="E53" s="23" t="s">
        <v>5737</v>
      </c>
      <c r="F53" s="23" t="s">
        <v>2014</v>
      </c>
      <c r="G53" s="23" t="s">
        <v>5851</v>
      </c>
    </row>
    <row r="54" spans="1:7" ht="15" customHeight="1">
      <c r="A54" s="23"/>
      <c r="B54" s="23"/>
      <c r="C54" s="23"/>
      <c r="D54" s="23"/>
      <c r="E54" s="23"/>
      <c r="F54" s="23"/>
      <c r="G54" s="23"/>
    </row>
    <row r="55" spans="1:7" ht="15" customHeight="1">
      <c r="A55" s="307" t="s">
        <v>5852</v>
      </c>
      <c r="B55" s="308"/>
      <c r="C55" s="308"/>
      <c r="D55" s="308"/>
      <c r="E55" s="308"/>
      <c r="F55" s="308"/>
      <c r="G55" s="308"/>
    </row>
    <row r="56" spans="1:7" ht="15" customHeight="1">
      <c r="A56" s="309" t="s">
        <v>5731</v>
      </c>
      <c r="B56" s="309" t="s">
        <v>3383</v>
      </c>
      <c r="C56" s="309" t="s">
        <v>243</v>
      </c>
      <c r="D56" s="309" t="s">
        <v>432</v>
      </c>
      <c r="E56" s="309" t="s">
        <v>5732</v>
      </c>
      <c r="F56" s="309" t="s">
        <v>5853</v>
      </c>
      <c r="G56" s="309" t="s">
        <v>5734</v>
      </c>
    </row>
    <row r="57" spans="1:7" ht="27.75" customHeight="1">
      <c r="A57" s="23" t="s">
        <v>5854</v>
      </c>
      <c r="B57" s="23" t="s">
        <v>4969</v>
      </c>
      <c r="C57" s="23" t="s">
        <v>2006</v>
      </c>
      <c r="D57" s="23" t="s">
        <v>474</v>
      </c>
      <c r="E57" s="23" t="s">
        <v>5855</v>
      </c>
      <c r="F57" s="23" t="s">
        <v>1131</v>
      </c>
      <c r="G57" s="23" t="s">
        <v>5856</v>
      </c>
    </row>
    <row r="58" spans="1:7" ht="15" customHeight="1">
      <c r="A58" s="23" t="s">
        <v>5857</v>
      </c>
      <c r="B58" s="23" t="s">
        <v>4969</v>
      </c>
      <c r="C58" s="23" t="s">
        <v>2006</v>
      </c>
      <c r="D58" s="23" t="s">
        <v>474</v>
      </c>
      <c r="E58" s="23" t="s">
        <v>5769</v>
      </c>
      <c r="F58" s="23" t="s">
        <v>5858</v>
      </c>
      <c r="G58" s="23" t="s">
        <v>5859</v>
      </c>
    </row>
    <row r="59" spans="1:7" ht="27.75" customHeight="1">
      <c r="A59" s="23" t="s">
        <v>5860</v>
      </c>
      <c r="B59" s="23" t="s">
        <v>4969</v>
      </c>
      <c r="C59" s="23" t="s">
        <v>2006</v>
      </c>
      <c r="D59" s="23" t="s">
        <v>474</v>
      </c>
      <c r="E59" s="23" t="s">
        <v>5769</v>
      </c>
      <c r="F59" s="23" t="s">
        <v>5861</v>
      </c>
      <c r="G59" s="23" t="s">
        <v>5862</v>
      </c>
    </row>
    <row r="60" spans="1:7" ht="27.75" customHeight="1">
      <c r="A60" s="23" t="s">
        <v>5515</v>
      </c>
      <c r="B60" s="23" t="s">
        <v>4994</v>
      </c>
      <c r="C60" s="23" t="s">
        <v>2006</v>
      </c>
      <c r="D60" s="23" t="s">
        <v>474</v>
      </c>
      <c r="E60" s="23" t="s">
        <v>5769</v>
      </c>
      <c r="F60" s="23" t="s">
        <v>5863</v>
      </c>
      <c r="G60" s="23" t="s">
        <v>5864</v>
      </c>
    </row>
    <row r="61" spans="1:7" ht="27.75" customHeight="1">
      <c r="A61" s="23" t="s">
        <v>5517</v>
      </c>
      <c r="B61" s="23" t="s">
        <v>4994</v>
      </c>
      <c r="C61" s="23" t="s">
        <v>2006</v>
      </c>
      <c r="D61" s="23" t="s">
        <v>474</v>
      </c>
      <c r="E61" s="23" t="s">
        <v>5769</v>
      </c>
      <c r="F61" s="23" t="s">
        <v>5865</v>
      </c>
      <c r="G61" s="23" t="s">
        <v>5866</v>
      </c>
    </row>
    <row r="62" spans="1:7" ht="27.75" customHeight="1">
      <c r="A62" s="23" t="s">
        <v>5867</v>
      </c>
      <c r="B62" s="23" t="s">
        <v>4994</v>
      </c>
      <c r="C62" s="23" t="s">
        <v>2006</v>
      </c>
      <c r="D62" s="23" t="s">
        <v>492</v>
      </c>
      <c r="E62" s="23" t="s">
        <v>5769</v>
      </c>
      <c r="F62" s="23" t="s">
        <v>5868</v>
      </c>
      <c r="G62" s="23" t="s">
        <v>5869</v>
      </c>
    </row>
    <row r="63" spans="1:7" ht="27.75" customHeight="1">
      <c r="A63" s="23" t="s">
        <v>5870</v>
      </c>
      <c r="B63" s="23" t="s">
        <v>4994</v>
      </c>
      <c r="C63" s="23" t="s">
        <v>2006</v>
      </c>
      <c r="D63" s="23" t="s">
        <v>474</v>
      </c>
      <c r="E63" s="23" t="s">
        <v>5871</v>
      </c>
      <c r="F63" s="23" t="s">
        <v>5872</v>
      </c>
      <c r="G63" s="23" t="s">
        <v>5873</v>
      </c>
    </row>
    <row r="64" spans="1:7" ht="27.75" customHeight="1">
      <c r="A64" s="23" t="s">
        <v>5874</v>
      </c>
      <c r="B64" s="23" t="s">
        <v>4969</v>
      </c>
      <c r="C64" s="23" t="s">
        <v>2006</v>
      </c>
      <c r="D64" s="23" t="s">
        <v>474</v>
      </c>
      <c r="E64" s="23" t="s">
        <v>5875</v>
      </c>
      <c r="F64" s="23" t="s">
        <v>5876</v>
      </c>
      <c r="G64" s="23" t="s">
        <v>5877</v>
      </c>
    </row>
    <row r="65" spans="1:7" ht="27.75" customHeight="1">
      <c r="A65" s="23" t="s">
        <v>5878</v>
      </c>
      <c r="B65" s="23" t="s">
        <v>4945</v>
      </c>
      <c r="C65" s="23" t="s">
        <v>2006</v>
      </c>
      <c r="D65" s="23" t="s">
        <v>474</v>
      </c>
      <c r="E65" s="23" t="s">
        <v>5840</v>
      </c>
      <c r="F65" s="23" t="s">
        <v>5879</v>
      </c>
      <c r="G65" s="23" t="s">
        <v>5880</v>
      </c>
    </row>
    <row r="66" spans="1:7" ht="15" customHeight="1">
      <c r="A66" s="23"/>
      <c r="B66" s="23"/>
      <c r="C66" s="23"/>
      <c r="D66" s="23"/>
      <c r="E66" s="23"/>
      <c r="F66" s="23"/>
      <c r="G66" s="23"/>
    </row>
    <row r="67" spans="1:7" ht="15" customHeight="1">
      <c r="A67" s="307" t="s">
        <v>5881</v>
      </c>
      <c r="B67" s="308"/>
      <c r="C67" s="308"/>
      <c r="D67" s="308"/>
      <c r="E67" s="308"/>
      <c r="F67" s="308"/>
      <c r="G67" s="308"/>
    </row>
    <row r="68" spans="1:7" ht="15" customHeight="1">
      <c r="A68" s="309" t="s">
        <v>5731</v>
      </c>
      <c r="B68" s="309" t="s">
        <v>3383</v>
      </c>
      <c r="C68" s="309" t="s">
        <v>243</v>
      </c>
      <c r="D68" s="309" t="s">
        <v>5882</v>
      </c>
      <c r="E68" s="309" t="s">
        <v>5853</v>
      </c>
      <c r="F68" s="309" t="s">
        <v>5883</v>
      </c>
      <c r="G68" s="309" t="s">
        <v>5734</v>
      </c>
    </row>
    <row r="69" spans="1:7" ht="27.75" customHeight="1">
      <c r="A69" s="23" t="s">
        <v>5884</v>
      </c>
      <c r="B69" s="23" t="s">
        <v>5062</v>
      </c>
      <c r="C69" s="23" t="s">
        <v>2006</v>
      </c>
      <c r="D69" s="23" t="s">
        <v>5065</v>
      </c>
      <c r="E69" s="23" t="s">
        <v>5885</v>
      </c>
      <c r="F69" s="23" t="s">
        <v>5886</v>
      </c>
      <c r="G69" s="23" t="s">
        <v>5887</v>
      </c>
    </row>
    <row r="70" spans="1:7" ht="41.25" customHeight="1">
      <c r="A70" s="23" t="s">
        <v>5888</v>
      </c>
      <c r="B70" s="23" t="s">
        <v>5062</v>
      </c>
      <c r="C70" s="23" t="s">
        <v>2006</v>
      </c>
      <c r="D70" s="23" t="s">
        <v>5061</v>
      </c>
      <c r="E70" s="23" t="s">
        <v>5889</v>
      </c>
      <c r="F70" s="23" t="s">
        <v>5890</v>
      </c>
      <c r="G70" s="23" t="s">
        <v>5891</v>
      </c>
    </row>
    <row r="71" spans="1:7" ht="27.75" customHeight="1">
      <c r="A71" s="23" t="s">
        <v>5892</v>
      </c>
      <c r="B71" s="23" t="s">
        <v>5062</v>
      </c>
      <c r="C71" s="23" t="s">
        <v>2006</v>
      </c>
      <c r="D71" s="23" t="s">
        <v>5068</v>
      </c>
      <c r="E71" s="23" t="s">
        <v>5893</v>
      </c>
      <c r="F71" s="23" t="s">
        <v>5894</v>
      </c>
      <c r="G71" s="23" t="s">
        <v>5895</v>
      </c>
    </row>
    <row r="72" spans="1:7" ht="27.75" customHeight="1">
      <c r="A72" s="23" t="s">
        <v>5896</v>
      </c>
      <c r="B72" s="23" t="s">
        <v>5062</v>
      </c>
      <c r="C72" s="23" t="s">
        <v>2006</v>
      </c>
      <c r="D72" s="23" t="s">
        <v>5071</v>
      </c>
      <c r="E72" s="23" t="s">
        <v>5897</v>
      </c>
      <c r="F72" s="23" t="s">
        <v>5898</v>
      </c>
      <c r="G72" s="23" t="s">
        <v>5899</v>
      </c>
    </row>
    <row r="73" spans="1:7" ht="27.75" customHeight="1">
      <c r="A73" s="23" t="s">
        <v>5900</v>
      </c>
      <c r="B73" s="23" t="s">
        <v>5062</v>
      </c>
      <c r="C73" s="23" t="s">
        <v>2006</v>
      </c>
      <c r="D73" s="23" t="s">
        <v>5074</v>
      </c>
      <c r="E73" s="23" t="s">
        <v>5901</v>
      </c>
      <c r="F73" s="23" t="s">
        <v>5902</v>
      </c>
      <c r="G73" s="23" t="s">
        <v>5903</v>
      </c>
    </row>
    <row r="74" spans="1:7" ht="27.75" customHeight="1">
      <c r="A74" s="23" t="s">
        <v>5904</v>
      </c>
      <c r="B74" s="23" t="s">
        <v>5062</v>
      </c>
      <c r="C74" s="23" t="s">
        <v>2006</v>
      </c>
      <c r="D74" s="23" t="s">
        <v>5077</v>
      </c>
      <c r="E74" s="23" t="s">
        <v>5905</v>
      </c>
      <c r="F74" s="23" t="s">
        <v>5906</v>
      </c>
      <c r="G74" s="23" t="s">
        <v>5907</v>
      </c>
    </row>
    <row r="75" spans="1:7" ht="15" customHeight="1">
      <c r="A75" s="23"/>
      <c r="B75" s="23"/>
      <c r="C75" s="23"/>
      <c r="D75" s="23"/>
      <c r="E75" s="23"/>
      <c r="F75" s="23"/>
      <c r="G75" s="23"/>
    </row>
    <row r="76" spans="1:7" ht="15" customHeight="1">
      <c r="A76" s="307" t="s">
        <v>5908</v>
      </c>
      <c r="B76" s="308"/>
      <c r="C76" s="308"/>
      <c r="D76" s="308"/>
      <c r="E76" s="308"/>
      <c r="F76" s="308"/>
      <c r="G76" s="308"/>
    </row>
    <row r="77" spans="1:7" ht="15" customHeight="1">
      <c r="A77" s="309" t="s">
        <v>5731</v>
      </c>
      <c r="B77" s="309" t="s">
        <v>3383</v>
      </c>
      <c r="C77" s="309" t="s">
        <v>243</v>
      </c>
      <c r="D77" s="309" t="s">
        <v>5882</v>
      </c>
      <c r="E77" s="309" t="s">
        <v>5732</v>
      </c>
      <c r="F77" s="309" t="s">
        <v>5909</v>
      </c>
      <c r="G77" s="309" t="s">
        <v>5734</v>
      </c>
    </row>
    <row r="78" spans="1:7" ht="27.75" customHeight="1">
      <c r="A78" s="23" t="s">
        <v>5910</v>
      </c>
      <c r="B78" s="23" t="s">
        <v>236</v>
      </c>
      <c r="C78" s="23" t="s">
        <v>2006</v>
      </c>
      <c r="D78" s="23" t="s">
        <v>335</v>
      </c>
      <c r="E78" s="23" t="s">
        <v>5769</v>
      </c>
      <c r="F78" s="23" t="s">
        <v>5911</v>
      </c>
      <c r="G78" s="23" t="s">
        <v>5912</v>
      </c>
    </row>
    <row r="79" spans="1:7" ht="15" customHeight="1">
      <c r="A79" s="23" t="s">
        <v>5913</v>
      </c>
      <c r="B79" s="23" t="s">
        <v>236</v>
      </c>
      <c r="C79" s="23" t="s">
        <v>2006</v>
      </c>
      <c r="D79" s="23" t="s">
        <v>4914</v>
      </c>
      <c r="E79" s="23" t="s">
        <v>5769</v>
      </c>
      <c r="F79" s="23" t="s">
        <v>5914</v>
      </c>
      <c r="G79" s="23" t="s">
        <v>5915</v>
      </c>
    </row>
    <row r="80" spans="1:7" ht="27.75" customHeight="1">
      <c r="A80" s="23" t="s">
        <v>5916</v>
      </c>
      <c r="B80" s="23" t="s">
        <v>236</v>
      </c>
      <c r="C80" s="23" t="s">
        <v>2006</v>
      </c>
      <c r="D80" s="23" t="s">
        <v>4917</v>
      </c>
      <c r="E80" s="23" t="s">
        <v>5769</v>
      </c>
      <c r="F80" s="23" t="s">
        <v>5917</v>
      </c>
      <c r="G80" s="23" t="s">
        <v>5918</v>
      </c>
    </row>
    <row r="81" spans="1:7" ht="15" customHeight="1">
      <c r="A81" s="23" t="s">
        <v>5919</v>
      </c>
      <c r="B81" s="23" t="s">
        <v>236</v>
      </c>
      <c r="C81" s="23" t="s">
        <v>2006</v>
      </c>
      <c r="D81" s="23" t="s">
        <v>4923</v>
      </c>
      <c r="E81" s="23" t="s">
        <v>5769</v>
      </c>
      <c r="F81" s="23" t="s">
        <v>5920</v>
      </c>
      <c r="G81" s="23" t="s">
        <v>5921</v>
      </c>
    </row>
    <row r="82" spans="1:7" ht="15" customHeight="1">
      <c r="A82" s="23" t="s">
        <v>4928</v>
      </c>
      <c r="B82" s="23" t="s">
        <v>236</v>
      </c>
      <c r="C82" s="23" t="s">
        <v>2006</v>
      </c>
      <c r="D82" s="23" t="s">
        <v>4929</v>
      </c>
      <c r="E82" s="23" t="s">
        <v>5769</v>
      </c>
      <c r="F82" s="23" t="s">
        <v>5922</v>
      </c>
      <c r="G82" s="23" t="s">
        <v>5923</v>
      </c>
    </row>
    <row r="83" spans="1:7" ht="15" customHeight="1">
      <c r="A83" s="23" t="s">
        <v>4934</v>
      </c>
      <c r="B83" s="23" t="s">
        <v>236</v>
      </c>
      <c r="C83" s="23" t="s">
        <v>2006</v>
      </c>
      <c r="D83" s="23" t="s">
        <v>4935</v>
      </c>
      <c r="E83" s="23" t="s">
        <v>5769</v>
      </c>
      <c r="F83" s="23" t="s">
        <v>5924</v>
      </c>
      <c r="G83" s="23" t="s">
        <v>5925</v>
      </c>
    </row>
    <row r="84" spans="1:7" ht="15" customHeight="1">
      <c r="A84" s="23" t="s">
        <v>5926</v>
      </c>
      <c r="B84" s="23" t="s">
        <v>236</v>
      </c>
      <c r="C84" s="23" t="s">
        <v>2006</v>
      </c>
      <c r="D84" s="23" t="s">
        <v>4938</v>
      </c>
      <c r="E84" s="23" t="s">
        <v>5769</v>
      </c>
      <c r="F84" s="23" t="s">
        <v>5927</v>
      </c>
      <c r="G84" s="23" t="s">
        <v>5928</v>
      </c>
    </row>
    <row r="85" spans="1:7" ht="15" customHeight="1">
      <c r="A85" s="23" t="s">
        <v>4943</v>
      </c>
      <c r="B85" s="23" t="s">
        <v>4945</v>
      </c>
      <c r="C85" s="23" t="s">
        <v>2006</v>
      </c>
      <c r="D85" s="23" t="s">
        <v>4944</v>
      </c>
      <c r="E85" s="23" t="s">
        <v>5875</v>
      </c>
      <c r="F85" s="23" t="s">
        <v>5929</v>
      </c>
      <c r="G85" s="23" t="s">
        <v>5930</v>
      </c>
    </row>
    <row r="86" spans="1:7" ht="15" customHeight="1">
      <c r="A86" s="23" t="s">
        <v>5931</v>
      </c>
      <c r="B86" s="23" t="s">
        <v>4945</v>
      </c>
      <c r="C86" s="23" t="s">
        <v>2006</v>
      </c>
      <c r="D86" s="23" t="s">
        <v>4948</v>
      </c>
      <c r="E86" s="23" t="s">
        <v>5932</v>
      </c>
      <c r="F86" s="23" t="s">
        <v>5933</v>
      </c>
      <c r="G86" s="23" t="s">
        <v>5934</v>
      </c>
    </row>
    <row r="87" spans="1:7" ht="27.75" customHeight="1">
      <c r="A87" s="23" t="s">
        <v>5935</v>
      </c>
      <c r="B87" s="23" t="s">
        <v>4945</v>
      </c>
      <c r="C87" s="23" t="s">
        <v>2006</v>
      </c>
      <c r="D87" s="23" t="s">
        <v>4951</v>
      </c>
      <c r="E87" s="23" t="s">
        <v>5936</v>
      </c>
      <c r="F87" s="23" t="s">
        <v>5937</v>
      </c>
      <c r="G87" s="23" t="s">
        <v>5938</v>
      </c>
    </row>
    <row r="88" spans="1:7" ht="15" customHeight="1">
      <c r="A88" s="23"/>
      <c r="B88" s="23"/>
      <c r="C88" s="23"/>
      <c r="D88" s="23"/>
      <c r="E88" s="23"/>
      <c r="F88" s="23"/>
      <c r="G88" s="23"/>
    </row>
    <row r="89" spans="1:7" ht="15" customHeight="1">
      <c r="A89" s="310" t="s">
        <v>5939</v>
      </c>
      <c r="B89" s="305"/>
      <c r="C89" s="305"/>
      <c r="D89" s="305"/>
      <c r="E89" s="305"/>
      <c r="F89" s="305"/>
      <c r="G89" s="305"/>
    </row>
    <row r="90" spans="1:7" ht="15" customHeight="1">
      <c r="A90" s="311" t="s">
        <v>1989</v>
      </c>
      <c r="B90" s="311" t="s">
        <v>1967</v>
      </c>
      <c r="C90" s="311" t="s">
        <v>244</v>
      </c>
      <c r="D90" s="23"/>
      <c r="E90" s="23"/>
      <c r="F90" s="23"/>
      <c r="G90" s="23"/>
    </row>
    <row r="91" spans="1:7" ht="15" customHeight="1">
      <c r="A91" s="23" t="s">
        <v>5940</v>
      </c>
      <c r="B91" s="23">
        <v>46</v>
      </c>
      <c r="C91" s="23" t="s">
        <v>5941</v>
      </c>
      <c r="D91" s="23"/>
      <c r="E91" s="23"/>
      <c r="F91" s="23"/>
      <c r="G91" s="23"/>
    </row>
    <row r="92" spans="1:7" ht="15" customHeight="1">
      <c r="A92" s="23" t="s">
        <v>5942</v>
      </c>
      <c r="B92" s="23">
        <v>38</v>
      </c>
      <c r="C92" s="23" t="s">
        <v>5943</v>
      </c>
      <c r="D92" s="23"/>
      <c r="E92" s="23"/>
      <c r="F92" s="23"/>
      <c r="G92" s="23"/>
    </row>
    <row r="93" spans="1:7" ht="15" customHeight="1">
      <c r="A93" s="23" t="s">
        <v>5944</v>
      </c>
      <c r="B93" s="23">
        <v>4</v>
      </c>
      <c r="C93" s="23" t="s">
        <v>5945</v>
      </c>
      <c r="D93" s="23"/>
      <c r="E93" s="23"/>
      <c r="F93" s="23"/>
      <c r="G93" s="23"/>
    </row>
    <row r="94" spans="1:7" ht="15" customHeight="1">
      <c r="A94" s="23" t="s">
        <v>5946</v>
      </c>
      <c r="B94" s="23">
        <v>54</v>
      </c>
      <c r="C94" s="23" t="s">
        <v>5947</v>
      </c>
      <c r="D94" s="23"/>
      <c r="E94" s="23"/>
      <c r="F94" s="23"/>
      <c r="G94" s="23"/>
    </row>
    <row r="95" spans="1:7" ht="15" customHeight="1">
      <c r="A95" s="23" t="s">
        <v>1994</v>
      </c>
      <c r="B95" s="23">
        <v>8</v>
      </c>
      <c r="C95" s="23" t="s">
        <v>5948</v>
      </c>
      <c r="D95" s="23"/>
      <c r="E95" s="23"/>
      <c r="F95" s="23"/>
      <c r="G95" s="23"/>
    </row>
    <row r="96" spans="1:7" ht="15" customHeight="1">
      <c r="A96" s="23" t="s">
        <v>1998</v>
      </c>
      <c r="B96" s="23">
        <v>11</v>
      </c>
      <c r="C96" s="23" t="s">
        <v>5949</v>
      </c>
      <c r="D96" s="23"/>
      <c r="E96" s="23"/>
      <c r="F96" s="23"/>
      <c r="G96" s="23"/>
    </row>
    <row r="98" spans="1:7" ht="15" customHeight="1">
      <c r="A98" s="312" t="s">
        <v>5950</v>
      </c>
      <c r="B98" s="135"/>
      <c r="C98" s="135"/>
      <c r="D98" s="135"/>
      <c r="E98" s="135"/>
      <c r="F98" s="135"/>
      <c r="G98" s="135"/>
    </row>
    <row r="99" spans="1:7" ht="15" customHeight="1">
      <c r="A99" s="5" t="s">
        <v>5731</v>
      </c>
      <c r="B99" s="5" t="s">
        <v>3383</v>
      </c>
      <c r="C99" s="5" t="s">
        <v>243</v>
      </c>
      <c r="D99" s="5" t="s">
        <v>432</v>
      </c>
      <c r="E99" s="5" t="s">
        <v>5732</v>
      </c>
      <c r="F99" s="5" t="s">
        <v>5733</v>
      </c>
      <c r="G99" s="5" t="s">
        <v>5734</v>
      </c>
    </row>
    <row r="100" spans="1:7" ht="23.25" customHeight="1">
      <c r="A100" s="6" t="s">
        <v>5951</v>
      </c>
      <c r="B100" s="7" t="s">
        <v>5952</v>
      </c>
      <c r="C100" s="6" t="s">
        <v>5953</v>
      </c>
      <c r="D100" s="6" t="s">
        <v>474</v>
      </c>
      <c r="E100" s="7" t="s">
        <v>5954</v>
      </c>
      <c r="F100" s="7" t="s">
        <v>5955</v>
      </c>
      <c r="G100" s="7" t="s">
        <v>5956</v>
      </c>
    </row>
    <row r="101" spans="1:7" ht="34.5" customHeight="1">
      <c r="A101" s="8" t="s">
        <v>5957</v>
      </c>
      <c r="B101" s="9" t="s">
        <v>5958</v>
      </c>
      <c r="C101" s="8" t="s">
        <v>5959</v>
      </c>
      <c r="D101" s="8" t="s">
        <v>492</v>
      </c>
      <c r="E101" s="9" t="s">
        <v>5960</v>
      </c>
      <c r="F101" s="9" t="s">
        <v>5961</v>
      </c>
      <c r="G101" s="9" t="s">
        <v>5962</v>
      </c>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5963</v>
      </c>
      <c r="B1" s="305"/>
      <c r="C1" s="305"/>
      <c r="D1" s="305"/>
      <c r="E1" s="305"/>
      <c r="F1" s="305"/>
      <c r="G1" s="305"/>
      <c r="H1" s="305"/>
    </row>
    <row r="2" spans="1:8" ht="23.25" customHeight="1">
      <c r="A2" s="306" t="s">
        <v>5964</v>
      </c>
      <c r="B2" s="23"/>
      <c r="C2" s="23"/>
      <c r="D2" s="23"/>
      <c r="E2" s="23"/>
      <c r="F2" s="23"/>
      <c r="G2" s="23"/>
      <c r="H2" s="23"/>
    </row>
    <row r="3" spans="1:8" ht="15" customHeight="1">
      <c r="A3" s="23"/>
      <c r="B3" s="23"/>
      <c r="C3" s="23"/>
      <c r="D3" s="23"/>
      <c r="E3" s="23"/>
      <c r="F3" s="23"/>
      <c r="G3" s="23"/>
      <c r="H3" s="23"/>
    </row>
    <row r="4" spans="1:8" ht="15" customHeight="1">
      <c r="A4" s="307" t="s">
        <v>5965</v>
      </c>
      <c r="B4" s="308"/>
      <c r="C4" s="308"/>
      <c r="D4" s="308"/>
      <c r="E4" s="308"/>
      <c r="F4" s="308"/>
      <c r="G4" s="308"/>
      <c r="H4" s="308"/>
    </row>
    <row r="5" spans="1:8" ht="27.75" customHeight="1">
      <c r="A5" s="313" t="s">
        <v>5966</v>
      </c>
      <c r="B5" s="23" t="s">
        <v>5967</v>
      </c>
      <c r="C5" s="23"/>
      <c r="D5" s="23"/>
      <c r="E5" s="23"/>
      <c r="F5" s="23"/>
      <c r="G5" s="23"/>
      <c r="H5" s="23"/>
    </row>
    <row r="6" spans="1:8" ht="27.75" customHeight="1">
      <c r="A6" s="313" t="s">
        <v>5968</v>
      </c>
      <c r="B6" s="23" t="s">
        <v>5969</v>
      </c>
      <c r="C6" s="23"/>
      <c r="D6" s="23"/>
      <c r="E6" s="23"/>
      <c r="F6" s="23"/>
      <c r="G6" s="23"/>
      <c r="H6" s="23"/>
    </row>
    <row r="7" spans="1:8" ht="27.75" customHeight="1">
      <c r="A7" s="313" t="s">
        <v>5970</v>
      </c>
      <c r="B7" s="23" t="s">
        <v>5971</v>
      </c>
      <c r="C7" s="23"/>
      <c r="D7" s="23"/>
      <c r="E7" s="23"/>
      <c r="F7" s="23"/>
      <c r="G7" s="23"/>
      <c r="H7" s="23"/>
    </row>
    <row r="8" spans="1:8" ht="27.75" customHeight="1">
      <c r="A8" s="313" t="s">
        <v>5972</v>
      </c>
      <c r="B8" s="23" t="s">
        <v>5973</v>
      </c>
      <c r="C8" s="23"/>
      <c r="D8" s="23"/>
      <c r="E8" s="23"/>
      <c r="F8" s="23"/>
      <c r="G8" s="23"/>
      <c r="H8" s="23"/>
    </row>
    <row r="9" spans="1:8" ht="27.75" customHeight="1">
      <c r="A9" s="313" t="s">
        <v>5974</v>
      </c>
      <c r="B9" s="23" t="s">
        <v>5975</v>
      </c>
      <c r="C9" s="23"/>
      <c r="D9" s="23"/>
      <c r="E9" s="23"/>
      <c r="F9" s="23"/>
      <c r="G9" s="23"/>
      <c r="H9" s="23"/>
    </row>
    <row r="10" spans="1:8" ht="27.75" customHeight="1">
      <c r="A10" s="313" t="s">
        <v>5976</v>
      </c>
      <c r="B10" s="23" t="s">
        <v>5977</v>
      </c>
      <c r="C10" s="23"/>
      <c r="D10" s="23"/>
      <c r="E10" s="23"/>
      <c r="F10" s="23"/>
      <c r="G10" s="23"/>
      <c r="H10" s="23"/>
    </row>
    <row r="11" spans="1:8" ht="27.75" customHeight="1">
      <c r="A11" s="313" t="s">
        <v>5978</v>
      </c>
      <c r="B11" s="23" t="s">
        <v>5979</v>
      </c>
      <c r="C11" s="23"/>
      <c r="D11" s="23"/>
      <c r="E11" s="23"/>
      <c r="F11" s="23"/>
      <c r="G11" s="23"/>
      <c r="H11" s="23"/>
    </row>
    <row r="12" spans="1:8" ht="27.75" customHeight="1">
      <c r="A12" s="313" t="s">
        <v>5980</v>
      </c>
      <c r="B12" s="23" t="s">
        <v>5981</v>
      </c>
      <c r="C12" s="23"/>
      <c r="D12" s="23"/>
      <c r="E12" s="23"/>
      <c r="F12" s="23"/>
      <c r="G12" s="23"/>
      <c r="H12" s="23"/>
    </row>
    <row r="13" spans="1:8" ht="27.75" customHeight="1">
      <c r="A13" s="313" t="s">
        <v>5982</v>
      </c>
      <c r="B13" s="23" t="s">
        <v>5983</v>
      </c>
      <c r="C13" s="23"/>
      <c r="D13" s="23"/>
      <c r="E13" s="23"/>
      <c r="F13" s="23"/>
      <c r="G13" s="23"/>
      <c r="H13" s="23"/>
    </row>
    <row r="14" spans="1:8" ht="15" customHeight="1">
      <c r="A14" s="23"/>
      <c r="B14" s="23"/>
      <c r="C14" s="23"/>
      <c r="D14" s="23"/>
      <c r="E14" s="23"/>
      <c r="F14" s="23"/>
      <c r="G14" s="23"/>
      <c r="H14" s="23"/>
    </row>
    <row r="15" spans="1:8" ht="15" customHeight="1">
      <c r="A15" s="307" t="s">
        <v>5984</v>
      </c>
      <c r="B15" s="308"/>
      <c r="C15" s="308"/>
      <c r="D15" s="308"/>
      <c r="E15" s="308"/>
      <c r="F15" s="308"/>
      <c r="G15" s="308"/>
      <c r="H15" s="308"/>
    </row>
    <row r="16" spans="1:8" ht="15" customHeight="1">
      <c r="A16" s="309" t="s">
        <v>4904</v>
      </c>
      <c r="B16" s="309" t="s">
        <v>5882</v>
      </c>
      <c r="C16" s="309" t="s">
        <v>243</v>
      </c>
      <c r="D16" s="309" t="s">
        <v>5985</v>
      </c>
      <c r="E16" s="309" t="s">
        <v>4905</v>
      </c>
      <c r="F16" s="309" t="s">
        <v>5853</v>
      </c>
      <c r="G16" s="309" t="s">
        <v>5832</v>
      </c>
      <c r="H16" s="309" t="s">
        <v>5734</v>
      </c>
    </row>
    <row r="17" spans="1:8" ht="27.75" customHeight="1">
      <c r="A17" s="23" t="s">
        <v>3374</v>
      </c>
      <c r="B17" s="23" t="s">
        <v>4906</v>
      </c>
      <c r="C17" s="23" t="s">
        <v>5986</v>
      </c>
      <c r="D17" s="23" t="s">
        <v>36</v>
      </c>
      <c r="E17" s="23">
        <v>20</v>
      </c>
      <c r="F17" s="23" t="s">
        <v>1692</v>
      </c>
      <c r="G17" s="23" t="s">
        <v>5190</v>
      </c>
      <c r="H17" s="23" t="s">
        <v>5987</v>
      </c>
    </row>
    <row r="18" spans="1:8" ht="27.75" customHeight="1">
      <c r="A18" s="23" t="s">
        <v>4909</v>
      </c>
      <c r="B18" s="23" t="s">
        <v>4910</v>
      </c>
      <c r="C18" s="23" t="s">
        <v>5986</v>
      </c>
      <c r="D18" s="23" t="s">
        <v>36</v>
      </c>
      <c r="E18" s="23">
        <v>12</v>
      </c>
      <c r="F18" s="23" t="s">
        <v>5988</v>
      </c>
      <c r="G18" s="23" t="s">
        <v>5190</v>
      </c>
      <c r="H18" s="23" t="s">
        <v>5989</v>
      </c>
    </row>
    <row r="19" spans="1:8" ht="15" customHeight="1">
      <c r="A19" s="23"/>
      <c r="B19" s="23"/>
      <c r="C19" s="23"/>
      <c r="D19" s="23"/>
      <c r="E19" s="23"/>
      <c r="F19" s="23"/>
      <c r="G19" s="23"/>
      <c r="H19" s="23"/>
    </row>
    <row r="20" spans="1:8" ht="15" customHeight="1">
      <c r="A20" s="307" t="s">
        <v>5990</v>
      </c>
      <c r="B20" s="308"/>
      <c r="C20" s="308"/>
      <c r="D20" s="308"/>
      <c r="E20" s="308"/>
      <c r="F20" s="308"/>
      <c r="G20" s="308"/>
      <c r="H20" s="308"/>
    </row>
    <row r="21" spans="1:8" ht="15" customHeight="1">
      <c r="A21" s="309" t="s">
        <v>4904</v>
      </c>
      <c r="B21" s="309" t="s">
        <v>5882</v>
      </c>
      <c r="C21" s="309" t="s">
        <v>243</v>
      </c>
      <c r="D21" s="309" t="s">
        <v>5985</v>
      </c>
      <c r="E21" s="309" t="s">
        <v>4905</v>
      </c>
      <c r="F21" s="309" t="s">
        <v>5853</v>
      </c>
      <c r="G21" s="309" t="s">
        <v>5991</v>
      </c>
      <c r="H21" s="309" t="s">
        <v>5734</v>
      </c>
    </row>
    <row r="22" spans="1:8" ht="27.75" customHeight="1">
      <c r="A22" s="23" t="s">
        <v>5992</v>
      </c>
      <c r="B22" s="23" t="s">
        <v>335</v>
      </c>
      <c r="C22" s="23" t="s">
        <v>5986</v>
      </c>
      <c r="D22" s="23" t="s">
        <v>36</v>
      </c>
      <c r="E22" s="23">
        <v>4</v>
      </c>
      <c r="F22" s="23" t="s">
        <v>237</v>
      </c>
      <c r="G22" s="23" t="s">
        <v>5993</v>
      </c>
      <c r="H22" s="23" t="s">
        <v>5994</v>
      </c>
    </row>
    <row r="23" spans="1:8" ht="15" customHeight="1">
      <c r="A23" s="23" t="s">
        <v>4913</v>
      </c>
      <c r="B23" s="23" t="s">
        <v>4914</v>
      </c>
      <c r="C23" s="23" t="s">
        <v>5986</v>
      </c>
      <c r="D23" s="23" t="s">
        <v>36</v>
      </c>
      <c r="E23" s="23">
        <v>4</v>
      </c>
      <c r="F23" s="23" t="s">
        <v>5995</v>
      </c>
      <c r="G23" s="23" t="s">
        <v>5996</v>
      </c>
      <c r="H23" s="23" t="s">
        <v>5997</v>
      </c>
    </row>
    <row r="24" spans="1:8" ht="15" customHeight="1">
      <c r="A24" s="23" t="s">
        <v>4916</v>
      </c>
      <c r="B24" s="23" t="s">
        <v>4917</v>
      </c>
      <c r="C24" s="23" t="s">
        <v>5986</v>
      </c>
      <c r="D24" s="23" t="s">
        <v>36</v>
      </c>
      <c r="E24" s="23">
        <v>6</v>
      </c>
      <c r="F24" s="23" t="s">
        <v>5998</v>
      </c>
      <c r="G24" s="23" t="s">
        <v>5996</v>
      </c>
      <c r="H24" s="23" t="s">
        <v>5999</v>
      </c>
    </row>
    <row r="25" spans="1:8" ht="27.75" customHeight="1">
      <c r="A25" s="23" t="s">
        <v>4919</v>
      </c>
      <c r="B25" s="23" t="s">
        <v>4920</v>
      </c>
      <c r="C25" s="23" t="s">
        <v>5986</v>
      </c>
      <c r="D25" s="23" t="s">
        <v>36</v>
      </c>
      <c r="E25" s="23">
        <v>4</v>
      </c>
      <c r="F25" s="23" t="s">
        <v>6000</v>
      </c>
      <c r="G25" s="23" t="s">
        <v>5996</v>
      </c>
      <c r="H25" s="23" t="s">
        <v>6001</v>
      </c>
    </row>
    <row r="26" spans="1:8" ht="15" customHeight="1">
      <c r="A26" s="23" t="s">
        <v>4922</v>
      </c>
      <c r="B26" s="23" t="s">
        <v>4923</v>
      </c>
      <c r="C26" s="23" t="s">
        <v>5986</v>
      </c>
      <c r="D26" s="23" t="s">
        <v>36</v>
      </c>
      <c r="E26" s="23">
        <v>3</v>
      </c>
      <c r="F26" s="23" t="s">
        <v>6002</v>
      </c>
      <c r="G26" s="23" t="s">
        <v>5996</v>
      </c>
      <c r="H26" s="23" t="s">
        <v>6003</v>
      </c>
    </row>
    <row r="27" spans="1:8" ht="15" customHeight="1">
      <c r="A27" s="23" t="s">
        <v>4925</v>
      </c>
      <c r="B27" s="23" t="s">
        <v>4926</v>
      </c>
      <c r="C27" s="23" t="s">
        <v>5986</v>
      </c>
      <c r="D27" s="23" t="s">
        <v>36</v>
      </c>
      <c r="E27" s="23">
        <v>3</v>
      </c>
      <c r="F27" s="23" t="s">
        <v>6004</v>
      </c>
      <c r="G27" s="23" t="s">
        <v>5996</v>
      </c>
      <c r="H27" s="23" t="s">
        <v>6005</v>
      </c>
    </row>
    <row r="28" spans="1:8" ht="15" customHeight="1">
      <c r="A28" s="23" t="s">
        <v>4928</v>
      </c>
      <c r="B28" s="23" t="s">
        <v>4929</v>
      </c>
      <c r="C28" s="23" t="s">
        <v>5986</v>
      </c>
      <c r="D28" s="23" t="s">
        <v>36</v>
      </c>
      <c r="E28" s="23">
        <v>5</v>
      </c>
      <c r="F28" s="23" t="s">
        <v>4928</v>
      </c>
      <c r="G28" s="23" t="s">
        <v>5996</v>
      </c>
      <c r="H28" s="23" t="s">
        <v>6006</v>
      </c>
    </row>
    <row r="29" spans="1:8" ht="15" customHeight="1">
      <c r="A29" s="23" t="s">
        <v>4931</v>
      </c>
      <c r="B29" s="23" t="s">
        <v>4932</v>
      </c>
      <c r="C29" s="23" t="s">
        <v>5986</v>
      </c>
      <c r="D29" s="23" t="s">
        <v>36</v>
      </c>
      <c r="E29" s="23">
        <v>3</v>
      </c>
      <c r="F29" s="23" t="s">
        <v>4931</v>
      </c>
      <c r="G29" s="23" t="s">
        <v>761</v>
      </c>
      <c r="H29" s="23" t="s">
        <v>6007</v>
      </c>
    </row>
    <row r="30" spans="1:8" ht="15" customHeight="1">
      <c r="A30" s="23" t="s">
        <v>6008</v>
      </c>
      <c r="B30" s="23" t="s">
        <v>6009</v>
      </c>
      <c r="C30" s="23" t="s">
        <v>5986</v>
      </c>
      <c r="D30" s="23" t="s">
        <v>36</v>
      </c>
      <c r="E30" s="314">
        <v>46084</v>
      </c>
      <c r="F30" s="23" t="s">
        <v>4934</v>
      </c>
      <c r="G30" s="23" t="s">
        <v>761</v>
      </c>
      <c r="H30" s="23" t="s">
        <v>6010</v>
      </c>
    </row>
    <row r="31" spans="1:8" ht="15" customHeight="1">
      <c r="A31" s="23"/>
      <c r="B31" s="23"/>
      <c r="C31" s="23"/>
      <c r="D31" s="23"/>
      <c r="E31" s="23"/>
      <c r="F31" s="23"/>
      <c r="G31" s="23"/>
      <c r="H31" s="23"/>
    </row>
    <row r="32" spans="1:8" ht="15" customHeight="1">
      <c r="A32" s="307" t="s">
        <v>6011</v>
      </c>
      <c r="B32" s="308"/>
      <c r="C32" s="308"/>
      <c r="D32" s="308"/>
      <c r="E32" s="308"/>
      <c r="F32" s="308"/>
      <c r="G32" s="308"/>
      <c r="H32" s="308"/>
    </row>
    <row r="33" spans="1:8" ht="15" customHeight="1">
      <c r="A33" s="309" t="s">
        <v>4904</v>
      </c>
      <c r="B33" s="309" t="s">
        <v>5882</v>
      </c>
      <c r="C33" s="309" t="s">
        <v>243</v>
      </c>
      <c r="D33" s="309" t="s">
        <v>5985</v>
      </c>
      <c r="E33" s="309" t="s">
        <v>4905</v>
      </c>
      <c r="F33" s="309" t="s">
        <v>5853</v>
      </c>
      <c r="G33" s="309" t="s">
        <v>6012</v>
      </c>
      <c r="H33" s="309" t="s">
        <v>5734</v>
      </c>
    </row>
    <row r="34" spans="1:8" ht="27.75" customHeight="1">
      <c r="A34" s="23" t="s">
        <v>4971</v>
      </c>
      <c r="B34" s="23" t="s">
        <v>4972</v>
      </c>
      <c r="C34" s="23" t="s">
        <v>5986</v>
      </c>
      <c r="D34" s="23" t="s">
        <v>36</v>
      </c>
      <c r="E34" s="23">
        <v>6</v>
      </c>
      <c r="F34" s="23" t="s">
        <v>1681</v>
      </c>
      <c r="G34" s="23" t="s">
        <v>6013</v>
      </c>
      <c r="H34" s="23" t="s">
        <v>6014</v>
      </c>
    </row>
    <row r="35" spans="1:8" ht="27.75" customHeight="1">
      <c r="A35" s="23" t="s">
        <v>6015</v>
      </c>
      <c r="B35" s="23" t="s">
        <v>4975</v>
      </c>
      <c r="C35" s="23" t="s">
        <v>5986</v>
      </c>
      <c r="D35" s="23" t="s">
        <v>5936</v>
      </c>
      <c r="E35" s="23">
        <v>10</v>
      </c>
      <c r="F35" s="23" t="s">
        <v>6016</v>
      </c>
      <c r="G35" s="23" t="s">
        <v>6017</v>
      </c>
      <c r="H35" s="23" t="s">
        <v>6018</v>
      </c>
    </row>
    <row r="36" spans="1:8" ht="15" customHeight="1">
      <c r="A36" s="23" t="s">
        <v>4977</v>
      </c>
      <c r="B36" s="23" t="s">
        <v>4978</v>
      </c>
      <c r="C36" s="23" t="s">
        <v>5986</v>
      </c>
      <c r="D36" s="23" t="s">
        <v>36</v>
      </c>
      <c r="E36" s="23">
        <v>4</v>
      </c>
      <c r="F36" s="23" t="s">
        <v>1699</v>
      </c>
      <c r="G36" s="23" t="s">
        <v>6013</v>
      </c>
      <c r="H36" s="23" t="s">
        <v>5859</v>
      </c>
    </row>
    <row r="37" spans="1:8" ht="27.75" customHeight="1">
      <c r="A37" s="23" t="s">
        <v>4980</v>
      </c>
      <c r="B37" s="23" t="s">
        <v>4981</v>
      </c>
      <c r="C37" s="23" t="s">
        <v>5986</v>
      </c>
      <c r="D37" s="23" t="s">
        <v>36</v>
      </c>
      <c r="E37" s="23">
        <v>6</v>
      </c>
      <c r="F37" s="23" t="s">
        <v>6019</v>
      </c>
      <c r="G37" s="23" t="s">
        <v>6013</v>
      </c>
      <c r="H37" s="23" t="s">
        <v>6020</v>
      </c>
    </row>
    <row r="38" spans="1:8" ht="27.75" customHeight="1">
      <c r="A38" s="23" t="s">
        <v>4967</v>
      </c>
      <c r="B38" s="23" t="s">
        <v>4968</v>
      </c>
      <c r="C38" s="23" t="s">
        <v>5986</v>
      </c>
      <c r="D38" s="23" t="s">
        <v>36</v>
      </c>
      <c r="E38" s="23">
        <v>5</v>
      </c>
      <c r="F38" s="23" t="s">
        <v>1697</v>
      </c>
      <c r="G38" s="23" t="s">
        <v>6013</v>
      </c>
      <c r="H38" s="23" t="s">
        <v>6021</v>
      </c>
    </row>
    <row r="39" spans="1:8" ht="15" customHeight="1">
      <c r="A39" s="23" t="s">
        <v>5054</v>
      </c>
      <c r="B39" s="23" t="s">
        <v>5055</v>
      </c>
      <c r="C39" s="23" t="s">
        <v>5986</v>
      </c>
      <c r="D39" s="23" t="s">
        <v>36</v>
      </c>
      <c r="E39" s="23">
        <v>4</v>
      </c>
      <c r="F39" s="23" t="s">
        <v>1704</v>
      </c>
      <c r="G39" s="23" t="s">
        <v>6013</v>
      </c>
      <c r="H39" s="23" t="s">
        <v>6022</v>
      </c>
    </row>
    <row r="40" spans="1:8" ht="15" customHeight="1">
      <c r="A40" s="23" t="s">
        <v>5057</v>
      </c>
      <c r="B40" s="23" t="s">
        <v>5058</v>
      </c>
      <c r="C40" s="23" t="s">
        <v>5986</v>
      </c>
      <c r="D40" s="23" t="s">
        <v>36</v>
      </c>
      <c r="E40" s="23">
        <v>4</v>
      </c>
      <c r="F40" s="23" t="s">
        <v>6023</v>
      </c>
      <c r="G40" s="23" t="s">
        <v>6013</v>
      </c>
      <c r="H40" s="23" t="s">
        <v>6024</v>
      </c>
    </row>
    <row r="41" spans="1:8" ht="27.75" customHeight="1">
      <c r="A41" s="23" t="s">
        <v>5024</v>
      </c>
      <c r="B41" s="23" t="s">
        <v>5025</v>
      </c>
      <c r="C41" s="23" t="s">
        <v>5986</v>
      </c>
      <c r="D41" s="23" t="s">
        <v>36</v>
      </c>
      <c r="E41" s="23">
        <v>13</v>
      </c>
      <c r="F41" s="23" t="s">
        <v>1690</v>
      </c>
      <c r="G41" s="23" t="s">
        <v>6013</v>
      </c>
      <c r="H41" s="23" t="s">
        <v>6025</v>
      </c>
    </row>
    <row r="42" spans="1:8" ht="15" customHeight="1">
      <c r="A42" s="23"/>
      <c r="B42" s="23"/>
      <c r="C42" s="23"/>
      <c r="D42" s="23"/>
      <c r="E42" s="23"/>
      <c r="F42" s="23"/>
      <c r="G42" s="23"/>
      <c r="H42" s="23"/>
    </row>
    <row r="43" spans="1:8" ht="15" customHeight="1">
      <c r="A43" s="307" t="s">
        <v>6026</v>
      </c>
      <c r="B43" s="308"/>
      <c r="C43" s="308"/>
      <c r="D43" s="308"/>
      <c r="E43" s="308"/>
      <c r="F43" s="308"/>
      <c r="G43" s="308"/>
      <c r="H43" s="308"/>
    </row>
    <row r="44" spans="1:8" ht="15" customHeight="1">
      <c r="A44" s="309" t="s">
        <v>4904</v>
      </c>
      <c r="B44" s="309" t="s">
        <v>5882</v>
      </c>
      <c r="C44" s="309" t="s">
        <v>243</v>
      </c>
      <c r="D44" s="309" t="s">
        <v>5985</v>
      </c>
      <c r="E44" s="309" t="s">
        <v>4905</v>
      </c>
      <c r="F44" s="309" t="s">
        <v>5853</v>
      </c>
      <c r="G44" s="309" t="s">
        <v>5832</v>
      </c>
      <c r="H44" s="309" t="s">
        <v>5734</v>
      </c>
    </row>
    <row r="45" spans="1:8" ht="27.75" customHeight="1">
      <c r="A45" s="23" t="s">
        <v>4983</v>
      </c>
      <c r="B45" s="23" t="s">
        <v>4984</v>
      </c>
      <c r="C45" s="23" t="s">
        <v>5986</v>
      </c>
      <c r="D45" s="23" t="s">
        <v>36</v>
      </c>
      <c r="E45" s="23">
        <v>14</v>
      </c>
      <c r="F45" s="23" t="s">
        <v>6027</v>
      </c>
      <c r="G45" s="23" t="s">
        <v>5160</v>
      </c>
      <c r="H45" s="23" t="s">
        <v>6028</v>
      </c>
    </row>
    <row r="46" spans="1:8" ht="27.75" customHeight="1">
      <c r="A46" s="23" t="s">
        <v>6029</v>
      </c>
      <c r="B46" s="23" t="s">
        <v>4987</v>
      </c>
      <c r="C46" s="23" t="s">
        <v>5986</v>
      </c>
      <c r="D46" s="23" t="s">
        <v>36</v>
      </c>
      <c r="E46" s="23">
        <v>10</v>
      </c>
      <c r="F46" s="23" t="s">
        <v>5163</v>
      </c>
      <c r="G46" s="23" t="s">
        <v>5160</v>
      </c>
      <c r="H46" s="23" t="s">
        <v>6030</v>
      </c>
    </row>
    <row r="47" spans="1:8" ht="15" customHeight="1">
      <c r="A47" s="23" t="s">
        <v>4989</v>
      </c>
      <c r="B47" s="23" t="s">
        <v>4990</v>
      </c>
      <c r="C47" s="23" t="s">
        <v>5986</v>
      </c>
      <c r="D47" s="23" t="s">
        <v>36</v>
      </c>
      <c r="E47" s="23">
        <v>3</v>
      </c>
      <c r="F47" s="23" t="s">
        <v>1702</v>
      </c>
      <c r="G47" s="23" t="s">
        <v>915</v>
      </c>
      <c r="H47" s="23" t="s">
        <v>6031</v>
      </c>
    </row>
    <row r="48" spans="1:8" ht="27.75" customHeight="1">
      <c r="A48" s="23" t="s">
        <v>4956</v>
      </c>
      <c r="B48" s="23" t="s">
        <v>4957</v>
      </c>
      <c r="C48" s="23" t="s">
        <v>5986</v>
      </c>
      <c r="D48" s="23" t="s">
        <v>36</v>
      </c>
      <c r="E48" s="23">
        <v>25</v>
      </c>
      <c r="F48" s="23" t="s">
        <v>6032</v>
      </c>
      <c r="G48" s="23" t="s">
        <v>859</v>
      </c>
      <c r="H48" s="23" t="s">
        <v>6033</v>
      </c>
    </row>
    <row r="49" spans="1:8" ht="27.75" customHeight="1">
      <c r="A49" s="23" t="s">
        <v>4964</v>
      </c>
      <c r="B49" s="23" t="s">
        <v>4965</v>
      </c>
      <c r="C49" s="23" t="s">
        <v>5986</v>
      </c>
      <c r="D49" s="23" t="s">
        <v>36</v>
      </c>
      <c r="E49" s="23">
        <v>13</v>
      </c>
      <c r="F49" s="23" t="s">
        <v>1684</v>
      </c>
      <c r="G49" s="23" t="s">
        <v>5177</v>
      </c>
      <c r="H49" s="23" t="s">
        <v>6034</v>
      </c>
    </row>
    <row r="50" spans="1:8" ht="27.75" customHeight="1">
      <c r="A50" s="23" t="s">
        <v>5038</v>
      </c>
      <c r="B50" s="23" t="s">
        <v>5039</v>
      </c>
      <c r="C50" s="23" t="s">
        <v>5986</v>
      </c>
      <c r="D50" s="23" t="s">
        <v>36</v>
      </c>
      <c r="E50" s="23">
        <v>9</v>
      </c>
      <c r="F50" s="23" t="s">
        <v>6035</v>
      </c>
      <c r="G50" s="23" t="s">
        <v>915</v>
      </c>
      <c r="H50" s="23" t="s">
        <v>6036</v>
      </c>
    </row>
    <row r="51" spans="1:8" ht="27.75" customHeight="1">
      <c r="A51" s="23" t="s">
        <v>5042</v>
      </c>
      <c r="B51" s="23" t="s">
        <v>5043</v>
      </c>
      <c r="C51" s="23" t="s">
        <v>5986</v>
      </c>
      <c r="D51" s="23" t="s">
        <v>6037</v>
      </c>
      <c r="E51" s="23">
        <v>8</v>
      </c>
      <c r="F51" s="23" t="s">
        <v>6038</v>
      </c>
      <c r="G51" s="23" t="s">
        <v>915</v>
      </c>
      <c r="H51" s="23" t="s">
        <v>6039</v>
      </c>
    </row>
    <row r="52" spans="1:8" ht="15" customHeight="1">
      <c r="A52" s="23"/>
      <c r="B52" s="23"/>
      <c r="C52" s="23"/>
      <c r="D52" s="23"/>
      <c r="E52" s="23"/>
      <c r="F52" s="23"/>
      <c r="G52" s="23"/>
      <c r="H52" s="23"/>
    </row>
    <row r="53" spans="1:8" ht="15" customHeight="1">
      <c r="A53" s="307" t="s">
        <v>6040</v>
      </c>
      <c r="B53" s="308"/>
      <c r="C53" s="308"/>
      <c r="D53" s="308"/>
      <c r="E53" s="308"/>
      <c r="F53" s="308"/>
      <c r="G53" s="308"/>
      <c r="H53" s="308"/>
    </row>
    <row r="54" spans="1:8" ht="15" customHeight="1">
      <c r="A54" s="309" t="s">
        <v>4904</v>
      </c>
      <c r="B54" s="309" t="s">
        <v>5882</v>
      </c>
      <c r="C54" s="309" t="s">
        <v>243</v>
      </c>
      <c r="D54" s="309" t="s">
        <v>5985</v>
      </c>
      <c r="E54" s="309" t="s">
        <v>4905</v>
      </c>
      <c r="F54" s="309" t="s">
        <v>5853</v>
      </c>
      <c r="G54" s="309" t="s">
        <v>5832</v>
      </c>
      <c r="H54" s="309" t="s">
        <v>5734</v>
      </c>
    </row>
    <row r="55" spans="1:8" ht="27.75" customHeight="1">
      <c r="A55" s="23" t="s">
        <v>865</v>
      </c>
      <c r="B55" s="23" t="s">
        <v>4953</v>
      </c>
      <c r="C55" s="23" t="s">
        <v>5986</v>
      </c>
      <c r="D55" s="23" t="s">
        <v>6037</v>
      </c>
      <c r="E55" s="23">
        <v>25</v>
      </c>
      <c r="F55" s="23" t="s">
        <v>5150</v>
      </c>
      <c r="G55" s="23" t="s">
        <v>5152</v>
      </c>
      <c r="H55" s="23" t="s">
        <v>6041</v>
      </c>
    </row>
    <row r="56" spans="1:8" ht="27.75" customHeight="1">
      <c r="A56" s="23" t="s">
        <v>4960</v>
      </c>
      <c r="B56" s="23" t="s">
        <v>4961</v>
      </c>
      <c r="C56" s="23" t="s">
        <v>5986</v>
      </c>
      <c r="D56" s="23" t="s">
        <v>36</v>
      </c>
      <c r="E56" s="23">
        <v>18</v>
      </c>
      <c r="F56" s="23" t="s">
        <v>5158</v>
      </c>
      <c r="G56" s="23" t="s">
        <v>5156</v>
      </c>
      <c r="H56" s="23" t="s">
        <v>6042</v>
      </c>
    </row>
    <row r="57" spans="1:8" ht="27.75" customHeight="1">
      <c r="A57" s="23" t="s">
        <v>5000</v>
      </c>
      <c r="B57" s="23" t="s">
        <v>5001</v>
      </c>
      <c r="C57" s="23" t="s">
        <v>5986</v>
      </c>
      <c r="D57" s="23" t="s">
        <v>36</v>
      </c>
      <c r="E57" s="23">
        <v>9</v>
      </c>
      <c r="F57" s="23" t="s">
        <v>1691</v>
      </c>
      <c r="G57" s="23" t="s">
        <v>5165</v>
      </c>
      <c r="H57" s="23" t="s">
        <v>6043</v>
      </c>
    </row>
    <row r="58" spans="1:8" ht="15" customHeight="1">
      <c r="A58" s="23" t="s">
        <v>4996</v>
      </c>
      <c r="B58" s="23" t="s">
        <v>4997</v>
      </c>
      <c r="C58" s="23" t="s">
        <v>5986</v>
      </c>
      <c r="D58" s="23" t="s">
        <v>36</v>
      </c>
      <c r="E58" s="23">
        <v>5</v>
      </c>
      <c r="F58" s="23" t="s">
        <v>1698</v>
      </c>
      <c r="G58" s="23" t="s">
        <v>915</v>
      </c>
      <c r="H58" s="23" t="s">
        <v>6044</v>
      </c>
    </row>
    <row r="59" spans="1:8" ht="15" customHeight="1">
      <c r="A59" s="23"/>
      <c r="B59" s="23"/>
      <c r="C59" s="23"/>
      <c r="D59" s="23"/>
      <c r="E59" s="23"/>
      <c r="F59" s="23"/>
      <c r="G59" s="23"/>
      <c r="H59" s="23"/>
    </row>
    <row r="60" spans="1:8" ht="15" customHeight="1">
      <c r="A60" s="307" t="s">
        <v>6045</v>
      </c>
      <c r="B60" s="308"/>
      <c r="C60" s="308"/>
      <c r="D60" s="308"/>
      <c r="E60" s="308"/>
      <c r="F60" s="308"/>
      <c r="G60" s="308"/>
      <c r="H60" s="308"/>
    </row>
    <row r="61" spans="1:8" ht="15" customHeight="1">
      <c r="A61" s="309" t="s">
        <v>4904</v>
      </c>
      <c r="B61" s="309" t="s">
        <v>5882</v>
      </c>
      <c r="C61" s="309" t="s">
        <v>243</v>
      </c>
      <c r="D61" s="309" t="s">
        <v>5985</v>
      </c>
      <c r="E61" s="309" t="s">
        <v>4905</v>
      </c>
      <c r="F61" s="309" t="s">
        <v>5853</v>
      </c>
      <c r="G61" s="309" t="s">
        <v>5832</v>
      </c>
      <c r="H61" s="309" t="s">
        <v>5734</v>
      </c>
    </row>
    <row r="62" spans="1:8" ht="27.75" customHeight="1">
      <c r="A62" s="23" t="s">
        <v>5003</v>
      </c>
      <c r="B62" s="23" t="s">
        <v>5004</v>
      </c>
      <c r="C62" s="23" t="s">
        <v>5986</v>
      </c>
      <c r="D62" s="23" t="s">
        <v>36</v>
      </c>
      <c r="E62" s="23">
        <v>8</v>
      </c>
      <c r="F62" s="23" t="s">
        <v>1687</v>
      </c>
      <c r="G62" s="23" t="s">
        <v>5169</v>
      </c>
      <c r="H62" s="23" t="s">
        <v>6046</v>
      </c>
    </row>
    <row r="63" spans="1:8" ht="15" customHeight="1">
      <c r="A63" s="23" t="s">
        <v>5007</v>
      </c>
      <c r="B63" s="23" t="s">
        <v>5008</v>
      </c>
      <c r="C63" s="23" t="s">
        <v>5986</v>
      </c>
      <c r="D63" s="23" t="s">
        <v>36</v>
      </c>
      <c r="E63" s="23">
        <v>6</v>
      </c>
      <c r="F63" s="23" t="s">
        <v>1688</v>
      </c>
      <c r="G63" s="23" t="s">
        <v>5185</v>
      </c>
      <c r="H63" s="23" t="s">
        <v>6047</v>
      </c>
    </row>
    <row r="64" spans="1:8" ht="15" customHeight="1">
      <c r="A64" s="23" t="s">
        <v>5010</v>
      </c>
      <c r="B64" s="23" t="s">
        <v>5011</v>
      </c>
      <c r="C64" s="23" t="s">
        <v>5986</v>
      </c>
      <c r="D64" s="23" t="s">
        <v>36</v>
      </c>
      <c r="E64" s="23">
        <v>6</v>
      </c>
      <c r="F64" s="23" t="s">
        <v>6048</v>
      </c>
      <c r="G64" s="23" t="s">
        <v>915</v>
      </c>
      <c r="H64" s="23" t="s">
        <v>6049</v>
      </c>
    </row>
    <row r="65" spans="1:8" ht="27.75" customHeight="1">
      <c r="A65" s="23" t="s">
        <v>5014</v>
      </c>
      <c r="B65" s="23" t="s">
        <v>5015</v>
      </c>
      <c r="C65" s="23" t="s">
        <v>5986</v>
      </c>
      <c r="D65" s="23" t="s">
        <v>36</v>
      </c>
      <c r="E65" s="23">
        <v>51</v>
      </c>
      <c r="F65" s="23" t="s">
        <v>1706</v>
      </c>
      <c r="G65" s="23" t="s">
        <v>915</v>
      </c>
      <c r="H65" s="23" t="s">
        <v>6050</v>
      </c>
    </row>
    <row r="66" spans="1:8" ht="15" customHeight="1">
      <c r="A66" s="23" t="s">
        <v>5017</v>
      </c>
      <c r="B66" s="23" t="s">
        <v>5018</v>
      </c>
      <c r="C66" s="23" t="s">
        <v>5986</v>
      </c>
      <c r="D66" s="23" t="s">
        <v>36</v>
      </c>
      <c r="E66" s="23">
        <v>7</v>
      </c>
      <c r="F66" s="23" t="s">
        <v>6051</v>
      </c>
      <c r="G66" s="23" t="s">
        <v>915</v>
      </c>
      <c r="H66" s="23" t="s">
        <v>6052</v>
      </c>
    </row>
    <row r="67" spans="1:8" ht="15" customHeight="1">
      <c r="A67" s="23"/>
      <c r="B67" s="23"/>
      <c r="C67" s="23"/>
      <c r="D67" s="23"/>
      <c r="E67" s="23"/>
      <c r="F67" s="23"/>
      <c r="G67" s="23"/>
      <c r="H67" s="23"/>
    </row>
    <row r="68" spans="1:8" ht="15" customHeight="1">
      <c r="A68" s="307" t="s">
        <v>6053</v>
      </c>
      <c r="B68" s="308"/>
      <c r="C68" s="308"/>
      <c r="D68" s="308"/>
      <c r="E68" s="308"/>
      <c r="F68" s="308"/>
      <c r="G68" s="308"/>
      <c r="H68" s="308"/>
    </row>
    <row r="69" spans="1:8" ht="15" customHeight="1">
      <c r="A69" s="309" t="s">
        <v>4904</v>
      </c>
      <c r="B69" s="309" t="s">
        <v>5882</v>
      </c>
      <c r="C69" s="309" t="s">
        <v>243</v>
      </c>
      <c r="D69" s="309" t="s">
        <v>5985</v>
      </c>
      <c r="E69" s="309" t="s">
        <v>4905</v>
      </c>
      <c r="F69" s="309" t="s">
        <v>5853</v>
      </c>
      <c r="G69" s="309" t="s">
        <v>156</v>
      </c>
      <c r="H69" s="309" t="s">
        <v>5734</v>
      </c>
    </row>
    <row r="70" spans="1:8" ht="27.75" customHeight="1">
      <c r="A70" s="23" t="s">
        <v>4992</v>
      </c>
      <c r="B70" s="23" t="s">
        <v>4993</v>
      </c>
      <c r="C70" s="23" t="s">
        <v>5986</v>
      </c>
      <c r="D70" s="23" t="s">
        <v>36</v>
      </c>
      <c r="E70" s="23">
        <v>14</v>
      </c>
      <c r="F70" s="23" t="s">
        <v>1683</v>
      </c>
      <c r="G70" s="23" t="s">
        <v>6054</v>
      </c>
      <c r="H70" s="23" t="s">
        <v>6055</v>
      </c>
    </row>
    <row r="71" spans="1:8" ht="27.75" customHeight="1">
      <c r="A71" s="23" t="s">
        <v>5045</v>
      </c>
      <c r="B71" s="23" t="s">
        <v>5046</v>
      </c>
      <c r="C71" s="23" t="s">
        <v>5986</v>
      </c>
      <c r="D71" s="23" t="s">
        <v>36</v>
      </c>
      <c r="E71" s="23">
        <v>4</v>
      </c>
      <c r="F71" s="23" t="s">
        <v>1703</v>
      </c>
      <c r="G71" s="23" t="s">
        <v>6056</v>
      </c>
      <c r="H71" s="23" t="s">
        <v>6057</v>
      </c>
    </row>
    <row r="72" spans="1:8" ht="27.75" customHeight="1">
      <c r="A72" s="23" t="s">
        <v>5048</v>
      </c>
      <c r="B72" s="23" t="s">
        <v>5049</v>
      </c>
      <c r="C72" s="23" t="s">
        <v>5986</v>
      </c>
      <c r="D72" s="23" t="s">
        <v>36</v>
      </c>
      <c r="E72" s="23">
        <v>4</v>
      </c>
      <c r="F72" s="23" t="s">
        <v>1695</v>
      </c>
      <c r="G72" s="23" t="s">
        <v>6058</v>
      </c>
      <c r="H72" s="23" t="s">
        <v>6059</v>
      </c>
    </row>
    <row r="73" spans="1:8" ht="27.75" customHeight="1">
      <c r="A73" s="23" t="s">
        <v>5051</v>
      </c>
      <c r="B73" s="23" t="s">
        <v>5052</v>
      </c>
      <c r="C73" s="23" t="s">
        <v>5986</v>
      </c>
      <c r="D73" s="23" t="s">
        <v>36</v>
      </c>
      <c r="E73" s="23">
        <v>5</v>
      </c>
      <c r="F73" s="23" t="s">
        <v>6060</v>
      </c>
      <c r="G73" s="23" t="s">
        <v>4958</v>
      </c>
      <c r="H73" s="23" t="s">
        <v>6061</v>
      </c>
    </row>
    <row r="74" spans="1:8" ht="27.75" customHeight="1">
      <c r="A74" s="23" t="s">
        <v>1672</v>
      </c>
      <c r="B74" s="23" t="s">
        <v>5079</v>
      </c>
      <c r="C74" s="23" t="s">
        <v>5986</v>
      </c>
      <c r="D74" s="23" t="s">
        <v>36</v>
      </c>
      <c r="E74" s="23">
        <v>5</v>
      </c>
      <c r="F74" s="23" t="s">
        <v>1701</v>
      </c>
      <c r="G74" s="23" t="s">
        <v>6062</v>
      </c>
      <c r="H74" s="23" t="s">
        <v>6063</v>
      </c>
    </row>
    <row r="75" spans="1:8" ht="15" customHeight="1">
      <c r="A75" s="23"/>
      <c r="B75" s="23"/>
      <c r="C75" s="23"/>
      <c r="D75" s="23"/>
      <c r="E75" s="23"/>
      <c r="F75" s="23"/>
      <c r="G75" s="23"/>
      <c r="H75" s="23"/>
    </row>
    <row r="76" spans="1:8" ht="15" customHeight="1">
      <c r="A76" s="307" t="s">
        <v>6064</v>
      </c>
      <c r="B76" s="308"/>
      <c r="C76" s="308"/>
      <c r="D76" s="308"/>
      <c r="E76" s="308"/>
      <c r="F76" s="308"/>
      <c r="G76" s="308"/>
      <c r="H76" s="308"/>
    </row>
    <row r="77" spans="1:8" ht="15" customHeight="1">
      <c r="A77" s="309" t="s">
        <v>4904</v>
      </c>
      <c r="B77" s="309" t="s">
        <v>5882</v>
      </c>
      <c r="C77" s="309" t="s">
        <v>243</v>
      </c>
      <c r="D77" s="309" t="s">
        <v>5985</v>
      </c>
      <c r="E77" s="309" t="s">
        <v>4905</v>
      </c>
      <c r="F77" s="309" t="s">
        <v>5853</v>
      </c>
      <c r="G77" s="309" t="s">
        <v>6012</v>
      </c>
      <c r="H77" s="309" t="s">
        <v>5734</v>
      </c>
    </row>
    <row r="78" spans="1:8" ht="15" customHeight="1">
      <c r="A78" s="23" t="s">
        <v>4943</v>
      </c>
      <c r="B78" s="23" t="s">
        <v>4944</v>
      </c>
      <c r="C78" s="23" t="s">
        <v>5986</v>
      </c>
      <c r="D78" s="23" t="s">
        <v>36</v>
      </c>
      <c r="E78" s="23">
        <v>3</v>
      </c>
      <c r="F78" s="23" t="s">
        <v>6065</v>
      </c>
      <c r="G78" s="23" t="s">
        <v>6013</v>
      </c>
      <c r="H78" s="23" t="s">
        <v>6066</v>
      </c>
    </row>
    <row r="79" spans="1:8" ht="15" customHeight="1">
      <c r="A79" s="23" t="s">
        <v>4947</v>
      </c>
      <c r="B79" s="23" t="s">
        <v>4948</v>
      </c>
      <c r="C79" s="23" t="s">
        <v>5986</v>
      </c>
      <c r="D79" s="23" t="s">
        <v>5936</v>
      </c>
      <c r="E79" s="23">
        <v>3</v>
      </c>
      <c r="F79" s="23" t="s">
        <v>6016</v>
      </c>
      <c r="G79" s="23" t="s">
        <v>6067</v>
      </c>
      <c r="H79" s="23" t="s">
        <v>6068</v>
      </c>
    </row>
    <row r="80" spans="1:8" ht="27.75" customHeight="1">
      <c r="A80" s="23" t="s">
        <v>4950</v>
      </c>
      <c r="B80" s="23" t="s">
        <v>4951</v>
      </c>
      <c r="C80" s="23" t="s">
        <v>5986</v>
      </c>
      <c r="D80" s="23" t="s">
        <v>5936</v>
      </c>
      <c r="E80" s="23">
        <v>3</v>
      </c>
      <c r="F80" s="23" t="s">
        <v>6016</v>
      </c>
      <c r="G80" s="23" t="s">
        <v>6069</v>
      </c>
      <c r="H80" s="23" t="s">
        <v>6070</v>
      </c>
    </row>
    <row r="81" spans="1:8" ht="15" customHeight="1">
      <c r="A81" s="23" t="s">
        <v>5020</v>
      </c>
      <c r="B81" s="23" t="s">
        <v>5021</v>
      </c>
      <c r="C81" s="23" t="s">
        <v>5986</v>
      </c>
      <c r="D81" s="23" t="s">
        <v>36</v>
      </c>
      <c r="E81" s="23">
        <v>5</v>
      </c>
      <c r="F81" s="23" t="s">
        <v>1689</v>
      </c>
      <c r="G81" s="23" t="s">
        <v>6013</v>
      </c>
      <c r="H81" s="23" t="s">
        <v>6071</v>
      </c>
    </row>
    <row r="82" spans="1:8" ht="15" customHeight="1">
      <c r="A82" s="23"/>
      <c r="B82" s="23"/>
      <c r="C82" s="23"/>
      <c r="D82" s="23"/>
      <c r="E82" s="23"/>
      <c r="F82" s="23"/>
      <c r="G82" s="23"/>
      <c r="H82" s="23"/>
    </row>
    <row r="83" spans="1:8" ht="15" customHeight="1">
      <c r="A83" s="307" t="s">
        <v>6072</v>
      </c>
      <c r="B83" s="308"/>
      <c r="C83" s="308"/>
      <c r="D83" s="308"/>
      <c r="E83" s="308"/>
      <c r="F83" s="308"/>
      <c r="G83" s="308"/>
      <c r="H83" s="308"/>
    </row>
    <row r="84" spans="1:8" ht="15" customHeight="1">
      <c r="A84" s="309" t="s">
        <v>4904</v>
      </c>
      <c r="B84" s="309" t="s">
        <v>5882</v>
      </c>
      <c r="C84" s="309" t="s">
        <v>243</v>
      </c>
      <c r="D84" s="309" t="s">
        <v>5985</v>
      </c>
      <c r="E84" s="309" t="s">
        <v>4905</v>
      </c>
      <c r="F84" s="309" t="s">
        <v>5853</v>
      </c>
      <c r="G84" s="309" t="s">
        <v>5883</v>
      </c>
      <c r="H84" s="309" t="s">
        <v>5734</v>
      </c>
    </row>
    <row r="85" spans="1:8" ht="27.75" customHeight="1">
      <c r="A85" s="23" t="s">
        <v>5064</v>
      </c>
      <c r="B85" s="23" t="s">
        <v>5065</v>
      </c>
      <c r="C85" s="23" t="s">
        <v>5986</v>
      </c>
      <c r="D85" s="23" t="s">
        <v>36</v>
      </c>
      <c r="E85" s="23">
        <v>3</v>
      </c>
      <c r="F85" s="23" t="s">
        <v>6073</v>
      </c>
      <c r="G85" s="23" t="s">
        <v>5886</v>
      </c>
      <c r="H85" s="23" t="s">
        <v>6074</v>
      </c>
    </row>
    <row r="86" spans="1:8" ht="27.75" customHeight="1">
      <c r="A86" s="23" t="s">
        <v>5060</v>
      </c>
      <c r="B86" s="23" t="s">
        <v>5061</v>
      </c>
      <c r="C86" s="23" t="s">
        <v>5986</v>
      </c>
      <c r="D86" s="23" t="s">
        <v>36</v>
      </c>
      <c r="E86" s="23">
        <v>6</v>
      </c>
      <c r="F86" s="23" t="s">
        <v>6075</v>
      </c>
      <c r="G86" s="23" t="s">
        <v>6076</v>
      </c>
      <c r="H86" s="23" t="s">
        <v>6077</v>
      </c>
    </row>
    <row r="87" spans="1:8" ht="27.75" customHeight="1">
      <c r="A87" s="23" t="s">
        <v>5067</v>
      </c>
      <c r="B87" s="23" t="s">
        <v>5068</v>
      </c>
      <c r="C87" s="23" t="s">
        <v>5986</v>
      </c>
      <c r="D87" s="23" t="s">
        <v>36</v>
      </c>
      <c r="E87" s="23">
        <v>9</v>
      </c>
      <c r="F87" s="23" t="s">
        <v>6078</v>
      </c>
      <c r="G87" s="23" t="s">
        <v>5894</v>
      </c>
      <c r="H87" s="23" t="s">
        <v>6079</v>
      </c>
    </row>
    <row r="88" spans="1:8" ht="27.75" customHeight="1">
      <c r="A88" s="23" t="s">
        <v>5070</v>
      </c>
      <c r="B88" s="23" t="s">
        <v>5071</v>
      </c>
      <c r="C88" s="23" t="s">
        <v>5986</v>
      </c>
      <c r="D88" s="23" t="s">
        <v>36</v>
      </c>
      <c r="E88" s="23">
        <v>7</v>
      </c>
      <c r="F88" s="23" t="s">
        <v>6080</v>
      </c>
      <c r="G88" s="23" t="s">
        <v>6081</v>
      </c>
      <c r="H88" s="23" t="s">
        <v>6082</v>
      </c>
    </row>
    <row r="89" spans="1:8" ht="27.75" customHeight="1">
      <c r="A89" s="23" t="s">
        <v>5073</v>
      </c>
      <c r="B89" s="23" t="s">
        <v>5074</v>
      </c>
      <c r="C89" s="23" t="s">
        <v>5986</v>
      </c>
      <c r="D89" s="23" t="s">
        <v>36</v>
      </c>
      <c r="E89" s="23">
        <v>9</v>
      </c>
      <c r="F89" s="23" t="s">
        <v>6083</v>
      </c>
      <c r="G89" s="23" t="s">
        <v>5902</v>
      </c>
      <c r="H89" s="23" t="s">
        <v>6084</v>
      </c>
    </row>
    <row r="90" spans="1:8" ht="27.75" customHeight="1">
      <c r="A90" s="23" t="s">
        <v>5076</v>
      </c>
      <c r="B90" s="23" t="s">
        <v>5077</v>
      </c>
      <c r="C90" s="23" t="s">
        <v>5986</v>
      </c>
      <c r="D90" s="23" t="s">
        <v>5936</v>
      </c>
      <c r="E90" s="23">
        <v>7</v>
      </c>
      <c r="F90" s="23" t="s">
        <v>6016</v>
      </c>
      <c r="G90" s="23" t="s">
        <v>6085</v>
      </c>
      <c r="H90" s="23" t="s">
        <v>6086</v>
      </c>
    </row>
    <row r="91" spans="1:8" ht="15" customHeight="1">
      <c r="A91" s="23"/>
      <c r="B91" s="23"/>
      <c r="C91" s="23"/>
      <c r="D91" s="23"/>
      <c r="E91" s="23"/>
      <c r="F91" s="23"/>
      <c r="G91" s="23"/>
      <c r="H91" s="23"/>
    </row>
    <row r="92" spans="1:8" ht="15" customHeight="1">
      <c r="A92" s="307" t="s">
        <v>6087</v>
      </c>
      <c r="B92" s="308"/>
      <c r="C92" s="308"/>
      <c r="D92" s="308"/>
      <c r="E92" s="308"/>
      <c r="F92" s="308"/>
      <c r="G92" s="308"/>
      <c r="H92" s="308"/>
    </row>
    <row r="93" spans="1:8" ht="15" customHeight="1">
      <c r="A93" s="309" t="s">
        <v>4904</v>
      </c>
      <c r="B93" s="309" t="s">
        <v>5882</v>
      </c>
      <c r="C93" s="309" t="s">
        <v>243</v>
      </c>
      <c r="D93" s="309" t="s">
        <v>5985</v>
      </c>
      <c r="E93" s="309" t="s">
        <v>4905</v>
      </c>
      <c r="F93" s="309" t="s">
        <v>156</v>
      </c>
      <c r="G93" s="309" t="s">
        <v>6088</v>
      </c>
      <c r="H93" s="309" t="s">
        <v>5734</v>
      </c>
    </row>
    <row r="94" spans="1:8" ht="15" customHeight="1">
      <c r="A94" s="23" t="s">
        <v>5028</v>
      </c>
      <c r="B94" s="23" t="s">
        <v>5029</v>
      </c>
      <c r="C94" s="23" t="s">
        <v>5986</v>
      </c>
      <c r="D94" s="23" t="s">
        <v>6089</v>
      </c>
      <c r="E94" s="23">
        <v>2</v>
      </c>
      <c r="F94" s="23" t="s">
        <v>6090</v>
      </c>
      <c r="G94" s="23" t="s">
        <v>6091</v>
      </c>
      <c r="H94" s="23" t="s">
        <v>6092</v>
      </c>
    </row>
    <row r="95" spans="1:8" ht="15" customHeight="1">
      <c r="A95" s="23" t="s">
        <v>5032</v>
      </c>
      <c r="B95" s="23" t="s">
        <v>5033</v>
      </c>
      <c r="C95" s="23" t="s">
        <v>5986</v>
      </c>
      <c r="D95" s="23" t="s">
        <v>6089</v>
      </c>
      <c r="E95" s="23">
        <v>3</v>
      </c>
      <c r="F95" s="23" t="s">
        <v>6093</v>
      </c>
      <c r="G95" s="23" t="s">
        <v>6091</v>
      </c>
      <c r="H95" s="23" t="s">
        <v>6094</v>
      </c>
    </row>
    <row r="96" spans="1:8" ht="15" customHeight="1">
      <c r="A96" s="23" t="s">
        <v>5035</v>
      </c>
      <c r="B96" s="23" t="s">
        <v>5036</v>
      </c>
      <c r="C96" s="23" t="s">
        <v>5986</v>
      </c>
      <c r="D96" s="23" t="s">
        <v>6089</v>
      </c>
      <c r="E96" s="23">
        <v>2</v>
      </c>
      <c r="F96" s="23" t="s">
        <v>6095</v>
      </c>
      <c r="G96" s="23" t="s">
        <v>6091</v>
      </c>
      <c r="H96" s="23" t="s">
        <v>6096</v>
      </c>
    </row>
    <row r="97" spans="1:8" ht="15" customHeight="1">
      <c r="A97" s="23"/>
      <c r="B97" s="23"/>
      <c r="C97" s="23"/>
      <c r="D97" s="23"/>
      <c r="E97" s="23"/>
      <c r="F97" s="23"/>
      <c r="G97" s="23"/>
      <c r="H97" s="23"/>
    </row>
    <row r="98" spans="1:8" ht="15" customHeight="1">
      <c r="A98" s="315" t="s">
        <v>6097</v>
      </c>
      <c r="B98" s="316"/>
      <c r="C98" s="316"/>
      <c r="D98" s="316"/>
      <c r="E98" s="316"/>
      <c r="F98" s="316"/>
      <c r="G98" s="316"/>
      <c r="H98" s="316"/>
    </row>
    <row r="99" spans="1:8" ht="15" customHeight="1">
      <c r="A99" s="309" t="s">
        <v>4904</v>
      </c>
      <c r="B99" s="309" t="s">
        <v>5882</v>
      </c>
      <c r="C99" s="309" t="s">
        <v>243</v>
      </c>
      <c r="D99" s="309" t="s">
        <v>3383</v>
      </c>
      <c r="E99" s="309" t="s">
        <v>4905</v>
      </c>
      <c r="F99" s="309" t="s">
        <v>6098</v>
      </c>
      <c r="G99" s="309" t="s">
        <v>6099</v>
      </c>
      <c r="H99" s="309" t="s">
        <v>6100</v>
      </c>
    </row>
    <row r="100" spans="1:8" ht="15" customHeight="1">
      <c r="A100" s="317" t="s">
        <v>5081</v>
      </c>
      <c r="B100" s="317" t="s">
        <v>5082</v>
      </c>
      <c r="C100" s="318" t="s">
        <v>6101</v>
      </c>
      <c r="D100" s="23" t="s">
        <v>236</v>
      </c>
      <c r="E100" s="23">
        <v>3</v>
      </c>
      <c r="F100" s="23" t="s">
        <v>915</v>
      </c>
      <c r="G100" s="23" t="s">
        <v>237</v>
      </c>
      <c r="H100" s="23" t="s">
        <v>6102</v>
      </c>
    </row>
    <row r="101" spans="1:8" ht="15" customHeight="1">
      <c r="A101" s="317" t="s">
        <v>5085</v>
      </c>
      <c r="B101" s="317" t="s">
        <v>5086</v>
      </c>
      <c r="C101" s="318" t="s">
        <v>6103</v>
      </c>
      <c r="D101" s="23" t="s">
        <v>5026</v>
      </c>
      <c r="E101" s="23">
        <v>15</v>
      </c>
      <c r="F101" s="23" t="s">
        <v>2807</v>
      </c>
      <c r="G101" s="23" t="s">
        <v>6104</v>
      </c>
      <c r="H101" s="23" t="s">
        <v>6105</v>
      </c>
    </row>
    <row r="102" spans="1:8" ht="15" customHeight="1">
      <c r="A102" s="317" t="s">
        <v>5089</v>
      </c>
      <c r="B102" s="317" t="s">
        <v>5090</v>
      </c>
      <c r="C102" s="318" t="s">
        <v>6103</v>
      </c>
      <c r="D102" s="23" t="s">
        <v>5091</v>
      </c>
      <c r="E102" s="23">
        <v>2</v>
      </c>
      <c r="F102" s="23" t="s">
        <v>2807</v>
      </c>
      <c r="G102" s="23" t="s">
        <v>915</v>
      </c>
      <c r="H102" s="23" t="s">
        <v>6106</v>
      </c>
    </row>
    <row r="103" spans="1:8" ht="15" customHeight="1">
      <c r="A103" s="317" t="s">
        <v>5093</v>
      </c>
      <c r="B103" s="317" t="s">
        <v>5094</v>
      </c>
      <c r="C103" s="318" t="s">
        <v>6103</v>
      </c>
      <c r="D103" s="23" t="s">
        <v>5026</v>
      </c>
      <c r="E103" s="23">
        <v>12</v>
      </c>
      <c r="F103" s="23" t="s">
        <v>2807</v>
      </c>
      <c r="G103" s="23" t="s">
        <v>6104</v>
      </c>
      <c r="H103" s="23" t="s">
        <v>6107</v>
      </c>
    </row>
    <row r="104" spans="1:8" ht="15" customHeight="1">
      <c r="A104" s="317" t="s">
        <v>5096</v>
      </c>
      <c r="B104" s="317" t="s">
        <v>5097</v>
      </c>
      <c r="C104" s="318" t="s">
        <v>6103</v>
      </c>
      <c r="D104" s="23" t="s">
        <v>236</v>
      </c>
      <c r="E104" s="23">
        <v>2</v>
      </c>
      <c r="F104" s="23" t="s">
        <v>2807</v>
      </c>
      <c r="G104" s="23" t="s">
        <v>6108</v>
      </c>
      <c r="H104" s="23" t="s">
        <v>6109</v>
      </c>
    </row>
    <row r="105" spans="1:8" ht="15" customHeight="1">
      <c r="A105" s="317" t="s">
        <v>5099</v>
      </c>
      <c r="B105" s="317" t="s">
        <v>5100</v>
      </c>
      <c r="C105" s="318" t="s">
        <v>6103</v>
      </c>
      <c r="D105" s="23" t="s">
        <v>236</v>
      </c>
      <c r="E105" s="23">
        <v>3</v>
      </c>
      <c r="F105" s="23" t="s">
        <v>2807</v>
      </c>
      <c r="G105" s="23" t="s">
        <v>6110</v>
      </c>
      <c r="H105" s="23" t="s">
        <v>6111</v>
      </c>
    </row>
    <row r="106" spans="1:8" ht="15" customHeight="1">
      <c r="A106" s="317" t="s">
        <v>5102</v>
      </c>
      <c r="B106" s="317" t="s">
        <v>5103</v>
      </c>
      <c r="C106" s="318" t="s">
        <v>6103</v>
      </c>
      <c r="D106" s="23" t="s">
        <v>5104</v>
      </c>
      <c r="E106" s="23">
        <v>3</v>
      </c>
      <c r="F106" s="23" t="s">
        <v>2807</v>
      </c>
      <c r="G106" s="23" t="s">
        <v>724</v>
      </c>
      <c r="H106" s="23" t="s">
        <v>6112</v>
      </c>
    </row>
    <row r="107" spans="1:8" ht="15" customHeight="1">
      <c r="A107" s="317" t="s">
        <v>5106</v>
      </c>
      <c r="B107" s="317" t="s">
        <v>5107</v>
      </c>
      <c r="C107" s="318" t="s">
        <v>6103</v>
      </c>
      <c r="D107" s="23" t="s">
        <v>236</v>
      </c>
      <c r="E107" s="23">
        <v>3</v>
      </c>
      <c r="F107" s="23" t="s">
        <v>2807</v>
      </c>
      <c r="G107" s="23" t="s">
        <v>237</v>
      </c>
      <c r="H107" s="23" t="s">
        <v>6113</v>
      </c>
    </row>
    <row r="108" spans="1:8" ht="15" customHeight="1">
      <c r="A108" s="317" t="s">
        <v>5109</v>
      </c>
      <c r="B108" s="317" t="s">
        <v>5110</v>
      </c>
      <c r="C108" s="318" t="s">
        <v>6103</v>
      </c>
      <c r="D108" s="23" t="s">
        <v>236</v>
      </c>
      <c r="E108" s="23">
        <v>3</v>
      </c>
      <c r="F108" s="23" t="s">
        <v>2807</v>
      </c>
      <c r="G108" s="23" t="s">
        <v>237</v>
      </c>
      <c r="H108" s="23" t="s">
        <v>6114</v>
      </c>
    </row>
    <row r="109" spans="1:8" ht="15" customHeight="1">
      <c r="A109" s="317" t="s">
        <v>5112</v>
      </c>
      <c r="B109" s="317" t="s">
        <v>5113</v>
      </c>
      <c r="C109" s="318" t="s">
        <v>6103</v>
      </c>
      <c r="D109" s="23" t="s">
        <v>5012</v>
      </c>
      <c r="E109" s="23">
        <v>7</v>
      </c>
      <c r="F109" s="23" t="s">
        <v>2807</v>
      </c>
      <c r="G109" s="23" t="s">
        <v>6115</v>
      </c>
      <c r="H109" s="23" t="s">
        <v>6116</v>
      </c>
    </row>
    <row r="110" spans="1:8" ht="15" customHeight="1">
      <c r="A110" s="317" t="s">
        <v>5115</v>
      </c>
      <c r="B110" s="317" t="s">
        <v>5116</v>
      </c>
      <c r="C110" s="318" t="s">
        <v>6103</v>
      </c>
      <c r="D110" s="23" t="s">
        <v>5104</v>
      </c>
      <c r="E110" s="23">
        <v>5</v>
      </c>
      <c r="F110" s="23" t="s">
        <v>2807</v>
      </c>
      <c r="G110" s="23" t="s">
        <v>6117</v>
      </c>
      <c r="H110" s="23" t="s">
        <v>6118</v>
      </c>
    </row>
    <row r="111" spans="1:8" ht="15" customHeight="1">
      <c r="A111" s="317" t="s">
        <v>5118</v>
      </c>
      <c r="B111" s="317" t="s">
        <v>5119</v>
      </c>
      <c r="C111" s="318" t="s">
        <v>6103</v>
      </c>
      <c r="D111" s="23" t="s">
        <v>236</v>
      </c>
      <c r="E111" s="23">
        <v>3</v>
      </c>
      <c r="F111" s="23" t="s">
        <v>2807</v>
      </c>
      <c r="G111" s="23" t="s">
        <v>237</v>
      </c>
      <c r="H111" s="23" t="s">
        <v>6119</v>
      </c>
    </row>
    <row r="112" spans="1:8" ht="15" customHeight="1">
      <c r="A112" s="317" t="s">
        <v>5121</v>
      </c>
      <c r="B112" s="317" t="s">
        <v>5122</v>
      </c>
      <c r="C112" s="318" t="s">
        <v>6103</v>
      </c>
      <c r="D112" s="23" t="s">
        <v>236</v>
      </c>
      <c r="E112" s="23">
        <v>6</v>
      </c>
      <c r="F112" s="23" t="s">
        <v>2807</v>
      </c>
      <c r="G112" s="23" t="s">
        <v>237</v>
      </c>
      <c r="H112" s="23" t="s">
        <v>6120</v>
      </c>
    </row>
    <row r="113" spans="1:8" ht="15" customHeight="1">
      <c r="A113" s="23"/>
      <c r="B113" s="23"/>
      <c r="C113" s="23"/>
      <c r="D113" s="23"/>
      <c r="E113" s="23"/>
      <c r="F113" s="23"/>
      <c r="G113" s="23"/>
      <c r="H113" s="23"/>
    </row>
    <row r="114" spans="1:8" ht="15" customHeight="1">
      <c r="A114" s="310" t="s">
        <v>6121</v>
      </c>
      <c r="B114" s="305"/>
      <c r="C114" s="305"/>
      <c r="D114" s="305"/>
      <c r="E114" s="305"/>
      <c r="F114" s="305"/>
      <c r="G114" s="305"/>
      <c r="H114" s="305"/>
    </row>
    <row r="115" spans="1:8" ht="15" customHeight="1">
      <c r="A115" s="319" t="s">
        <v>3383</v>
      </c>
      <c r="B115" s="319" t="s">
        <v>6122</v>
      </c>
      <c r="C115" s="320" t="s">
        <v>6123</v>
      </c>
      <c r="D115" s="309" t="s">
        <v>6124</v>
      </c>
      <c r="E115" s="23"/>
      <c r="F115" s="23"/>
      <c r="G115" s="23"/>
      <c r="H115" s="23"/>
    </row>
    <row r="116" spans="1:8" ht="15" customHeight="1">
      <c r="A116" s="23" t="s">
        <v>4907</v>
      </c>
      <c r="B116" s="23">
        <v>2</v>
      </c>
      <c r="C116" s="23">
        <v>32</v>
      </c>
      <c r="D116" s="23" t="s">
        <v>6125</v>
      </c>
      <c r="E116" s="23"/>
      <c r="F116" s="23"/>
      <c r="G116" s="23"/>
      <c r="H116" s="23"/>
    </row>
    <row r="117" spans="1:8" ht="15" customHeight="1">
      <c r="A117" s="23" t="s">
        <v>2004</v>
      </c>
      <c r="B117" s="23">
        <v>9</v>
      </c>
      <c r="C117" s="23" t="s">
        <v>1579</v>
      </c>
      <c r="D117" s="23" t="s">
        <v>6126</v>
      </c>
      <c r="E117" s="23"/>
      <c r="F117" s="23"/>
      <c r="G117" s="23"/>
      <c r="H117" s="23"/>
    </row>
    <row r="118" spans="1:8" ht="15" customHeight="1">
      <c r="A118" s="23" t="s">
        <v>6127</v>
      </c>
      <c r="B118" s="23">
        <v>8</v>
      </c>
      <c r="C118" s="23" t="s">
        <v>6128</v>
      </c>
      <c r="D118" s="23" t="s">
        <v>6129</v>
      </c>
      <c r="E118" s="23"/>
      <c r="F118" s="23"/>
      <c r="G118" s="23"/>
      <c r="H118" s="23"/>
    </row>
    <row r="119" spans="1:8" ht="15" customHeight="1">
      <c r="A119" s="23" t="s">
        <v>6130</v>
      </c>
      <c r="B119" s="23">
        <v>7</v>
      </c>
      <c r="C119" s="23" t="s">
        <v>6131</v>
      </c>
      <c r="D119" s="23" t="s">
        <v>6132</v>
      </c>
      <c r="E119" s="23"/>
      <c r="F119" s="23"/>
      <c r="G119" s="23"/>
      <c r="H119" s="23"/>
    </row>
    <row r="120" spans="1:8" ht="15" customHeight="1">
      <c r="A120" s="23" t="s">
        <v>6133</v>
      </c>
      <c r="B120" s="23">
        <v>4</v>
      </c>
      <c r="C120" s="23" t="s">
        <v>6134</v>
      </c>
      <c r="D120" s="23" t="s">
        <v>6135</v>
      </c>
      <c r="E120" s="23"/>
      <c r="F120" s="23"/>
      <c r="G120" s="23"/>
      <c r="H120" s="23"/>
    </row>
    <row r="121" spans="1:8" ht="15" customHeight="1">
      <c r="A121" s="23" t="s">
        <v>6136</v>
      </c>
      <c r="B121" s="23">
        <v>5</v>
      </c>
      <c r="C121" s="23" t="s">
        <v>6137</v>
      </c>
      <c r="D121" s="23" t="s">
        <v>6138</v>
      </c>
      <c r="E121" s="23"/>
      <c r="F121" s="23"/>
      <c r="G121" s="23"/>
      <c r="H121" s="23"/>
    </row>
    <row r="122" spans="1:8" ht="15" customHeight="1">
      <c r="A122" s="23" t="s">
        <v>6139</v>
      </c>
      <c r="B122" s="23">
        <v>5</v>
      </c>
      <c r="C122" s="23" t="s">
        <v>6140</v>
      </c>
      <c r="D122" s="23" t="s">
        <v>6141</v>
      </c>
      <c r="E122" s="23"/>
      <c r="F122" s="23"/>
      <c r="G122" s="23"/>
      <c r="H122" s="23"/>
    </row>
    <row r="123" spans="1:8" ht="15" customHeight="1">
      <c r="A123" s="23" t="s">
        <v>6142</v>
      </c>
      <c r="B123" s="23">
        <v>4</v>
      </c>
      <c r="C123" s="23" t="s">
        <v>6143</v>
      </c>
      <c r="D123" s="23" t="s">
        <v>6144</v>
      </c>
      <c r="E123" s="23"/>
      <c r="F123" s="23"/>
      <c r="G123" s="23"/>
      <c r="H123" s="23"/>
    </row>
    <row r="124" spans="1:8" ht="15" customHeight="1">
      <c r="A124" s="23" t="s">
        <v>6145</v>
      </c>
      <c r="B124" s="23">
        <v>6</v>
      </c>
      <c r="C124" s="23" t="s">
        <v>6146</v>
      </c>
      <c r="D124" s="23" t="s">
        <v>6147</v>
      </c>
      <c r="E124" s="23"/>
      <c r="F124" s="23"/>
      <c r="G124" s="23"/>
      <c r="H124" s="23"/>
    </row>
    <row r="125" spans="1:8" ht="15" customHeight="1">
      <c r="A125" s="23" t="s">
        <v>6148</v>
      </c>
      <c r="B125" s="23">
        <v>3</v>
      </c>
      <c r="C125" s="23" t="s">
        <v>6149</v>
      </c>
      <c r="D125" s="23" t="s">
        <v>6090</v>
      </c>
      <c r="E125" s="23"/>
      <c r="F125" s="23"/>
      <c r="G125" s="23"/>
      <c r="H125" s="23"/>
    </row>
    <row r="126" spans="1:8" ht="15" customHeight="1">
      <c r="A126" s="321" t="s">
        <v>6150</v>
      </c>
      <c r="B126" s="321">
        <v>54</v>
      </c>
      <c r="C126" s="321" t="s">
        <v>6151</v>
      </c>
      <c r="D126" s="321" t="s">
        <v>6152</v>
      </c>
      <c r="E126" s="23"/>
      <c r="F126" s="23"/>
      <c r="G126" s="23"/>
      <c r="H126" s="23"/>
    </row>
    <row r="128" spans="1:8" ht="15" customHeight="1">
      <c r="A128" s="17" t="s">
        <v>6153</v>
      </c>
      <c r="B128" s="312"/>
      <c r="C128" s="312"/>
      <c r="D128" s="312"/>
      <c r="E128" s="312"/>
      <c r="F128" s="312"/>
      <c r="G128" s="312"/>
      <c r="H128" s="312"/>
    </row>
    <row r="129" spans="1:8" ht="23.25" customHeight="1">
      <c r="A129" s="7" t="s">
        <v>6154</v>
      </c>
      <c r="B129" s="7" t="s">
        <v>6155</v>
      </c>
      <c r="C129" s="7" t="s">
        <v>2790</v>
      </c>
      <c r="D129" s="7" t="s">
        <v>6156</v>
      </c>
      <c r="E129" s="7"/>
      <c r="F129" s="7" t="s">
        <v>6157</v>
      </c>
    </row>
    <row r="130" spans="1:8" ht="34.5" customHeight="1">
      <c r="A130" s="7" t="s">
        <v>6158</v>
      </c>
      <c r="B130" s="7" t="s">
        <v>6159</v>
      </c>
      <c r="C130" s="7" t="s">
        <v>2790</v>
      </c>
      <c r="D130" s="7" t="s">
        <v>6160</v>
      </c>
      <c r="E130" s="7"/>
      <c r="F130" s="7" t="s">
        <v>6161</v>
      </c>
    </row>
    <row r="131" spans="1:8" ht="23.25" customHeight="1">
      <c r="A131" s="130" t="s">
        <v>6162</v>
      </c>
      <c r="B131" s="130" t="s">
        <v>6163</v>
      </c>
      <c r="C131" s="130" t="s">
        <v>2790</v>
      </c>
      <c r="D131" s="130" t="s">
        <v>1577</v>
      </c>
      <c r="E131" s="130"/>
      <c r="F131" s="130" t="s">
        <v>6164</v>
      </c>
    </row>
    <row r="133" spans="1:8" ht="15" customHeight="1">
      <c r="A133" s="17" t="s">
        <v>6165</v>
      </c>
      <c r="B133" s="135"/>
      <c r="C133" s="135"/>
      <c r="D133" s="135"/>
      <c r="E133" s="135"/>
      <c r="F133" s="135"/>
      <c r="G133" s="135"/>
      <c r="H133" s="135"/>
    </row>
    <row r="134" spans="1:8" ht="15" customHeight="1">
      <c r="A134" s="6" t="s">
        <v>5060</v>
      </c>
      <c r="B134" s="7" t="s">
        <v>5061</v>
      </c>
      <c r="C134" s="6" t="s">
        <v>2790</v>
      </c>
      <c r="D134" s="7" t="s">
        <v>6166</v>
      </c>
      <c r="F134" s="7" t="s">
        <v>6167</v>
      </c>
    </row>
    <row r="135" spans="1:8" ht="15" customHeight="1">
      <c r="A135" s="8" t="s">
        <v>5064</v>
      </c>
      <c r="B135" s="9" t="s">
        <v>5065</v>
      </c>
      <c r="C135" s="8" t="s">
        <v>2790</v>
      </c>
      <c r="D135" s="9" t="s">
        <v>6166</v>
      </c>
      <c r="F135" s="9" t="s">
        <v>2300</v>
      </c>
    </row>
    <row r="136" spans="1:8" ht="15" customHeight="1">
      <c r="A136" s="6" t="s">
        <v>5070</v>
      </c>
      <c r="B136" s="7" t="s">
        <v>5071</v>
      </c>
      <c r="C136" s="6" t="s">
        <v>2790</v>
      </c>
      <c r="D136" s="7" t="s">
        <v>1577</v>
      </c>
      <c r="F136" s="7" t="s">
        <v>6168</v>
      </c>
    </row>
    <row r="137" spans="1:8" ht="15" customHeight="1">
      <c r="A137" s="8" t="s">
        <v>5067</v>
      </c>
      <c r="B137" s="9" t="s">
        <v>5068</v>
      </c>
      <c r="C137" s="8" t="s">
        <v>2790</v>
      </c>
      <c r="D137" s="9" t="s">
        <v>1577</v>
      </c>
      <c r="F137" s="9" t="s">
        <v>6169</v>
      </c>
    </row>
    <row r="138" spans="1:8" ht="15" customHeight="1">
      <c r="A138" s="6" t="s">
        <v>5073</v>
      </c>
      <c r="B138" s="7" t="s">
        <v>5074</v>
      </c>
      <c r="C138" s="6" t="s">
        <v>2790</v>
      </c>
      <c r="D138" s="7" t="s">
        <v>1577</v>
      </c>
      <c r="F138" s="7" t="s">
        <v>6170</v>
      </c>
    </row>
    <row r="139" spans="1:8" ht="15" customHeight="1">
      <c r="A139" s="8" t="s">
        <v>5076</v>
      </c>
      <c r="B139" s="9" t="s">
        <v>6163</v>
      </c>
      <c r="C139" s="8" t="s">
        <v>2790</v>
      </c>
      <c r="D139" s="9" t="s">
        <v>1577</v>
      </c>
      <c r="F139" s="9" t="s">
        <v>6171</v>
      </c>
    </row>
    <row r="140" spans="1:8" ht="15" customHeight="1">
      <c r="A140" s="6" t="s">
        <v>6172</v>
      </c>
      <c r="B140" s="7" t="s">
        <v>6173</v>
      </c>
      <c r="C140" s="6" t="s">
        <v>2790</v>
      </c>
      <c r="D140" s="7" t="s">
        <v>1577</v>
      </c>
      <c r="F140" s="7" t="s">
        <v>6174</v>
      </c>
    </row>
    <row r="141" spans="1:8" ht="15" customHeight="1">
      <c r="A141" s="8" t="s">
        <v>6175</v>
      </c>
      <c r="B141" s="9" t="s">
        <v>6176</v>
      </c>
      <c r="C141" s="8" t="s">
        <v>2790</v>
      </c>
      <c r="D141" s="9" t="s">
        <v>1577</v>
      </c>
      <c r="F141" s="9" t="s">
        <v>6177</v>
      </c>
    </row>
    <row r="142" spans="1:8" ht="15" customHeight="1">
      <c r="A142" s="6" t="s">
        <v>3769</v>
      </c>
      <c r="B142" s="7" t="s">
        <v>5021</v>
      </c>
      <c r="C142" s="6" t="s">
        <v>2790</v>
      </c>
      <c r="D142" s="7" t="s">
        <v>1577</v>
      </c>
      <c r="F142" s="7" t="s">
        <v>6178</v>
      </c>
    </row>
    <row r="143" spans="1:8">
      <c r="A143" s="333" t="s">
        <v>6179</v>
      </c>
      <c r="B143" s="333" t="s">
        <v>6180</v>
      </c>
      <c r="C143" s="333" t="s">
        <v>1592</v>
      </c>
      <c r="D143" s="333" t="s">
        <v>6181</v>
      </c>
      <c r="E143" s="333" t="s">
        <v>334</v>
      </c>
      <c r="F143" s="333" t="s">
        <v>1981</v>
      </c>
    </row>
    <row r="144" spans="1:8">
      <c r="A144" s="333" t="s">
        <v>6182</v>
      </c>
      <c r="B144" s="333" t="s">
        <v>6183</v>
      </c>
      <c r="C144" s="333" t="s">
        <v>6184</v>
      </c>
      <c r="D144" s="333" t="s">
        <v>6185</v>
      </c>
      <c r="E144" s="333" t="s">
        <v>334</v>
      </c>
      <c r="F144" s="333" t="s">
        <v>1981</v>
      </c>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826</v>
      </c>
      <c r="B1" s="322" t="s">
        <v>522</v>
      </c>
      <c r="C1" s="322" t="s">
        <v>827</v>
      </c>
      <c r="D1" s="322" t="s">
        <v>322</v>
      </c>
      <c r="E1" s="322" t="s">
        <v>647</v>
      </c>
      <c r="F1" s="322" t="s">
        <v>243</v>
      </c>
    </row>
    <row r="2" spans="1:6" ht="15" customHeight="1">
      <c r="A2" s="23">
        <v>8</v>
      </c>
      <c r="B2" s="23" t="s">
        <v>6186</v>
      </c>
      <c r="C2" s="23" t="s">
        <v>6187</v>
      </c>
      <c r="D2" s="23">
        <v>1462</v>
      </c>
      <c r="E2" s="23" t="s">
        <v>6188</v>
      </c>
      <c r="F2" s="23" t="s">
        <v>361</v>
      </c>
    </row>
    <row r="3" spans="1:6" ht="15" customHeight="1">
      <c r="A3" s="23">
        <v>9</v>
      </c>
      <c r="B3" s="23" t="s">
        <v>6189</v>
      </c>
      <c r="C3" s="23" t="s">
        <v>6190</v>
      </c>
      <c r="D3" s="23">
        <v>1474</v>
      </c>
      <c r="E3" s="23" t="s">
        <v>6191</v>
      </c>
      <c r="F3" s="23" t="s">
        <v>6192</v>
      </c>
    </row>
    <row r="4" spans="1:6" ht="15" customHeight="1">
      <c r="A4" s="23" t="s">
        <v>558</v>
      </c>
      <c r="B4" s="23" t="s">
        <v>6193</v>
      </c>
      <c r="C4" s="23" t="s">
        <v>6194</v>
      </c>
      <c r="D4" s="23">
        <v>1462</v>
      </c>
      <c r="E4" s="23" t="s">
        <v>6195</v>
      </c>
      <c r="F4" s="23" t="s">
        <v>6196</v>
      </c>
    </row>
    <row r="5" spans="1:6" ht="15" customHeight="1">
      <c r="A5" s="23">
        <v>10</v>
      </c>
      <c r="B5" s="23" t="s">
        <v>6197</v>
      </c>
      <c r="C5" s="23" t="s">
        <v>6198</v>
      </c>
      <c r="D5" s="23">
        <v>1468</v>
      </c>
      <c r="E5" s="23" t="s">
        <v>6199</v>
      </c>
      <c r="F5" s="23" t="s">
        <v>361</v>
      </c>
    </row>
    <row r="6" spans="1:6" ht="27.75" customHeight="1">
      <c r="A6" s="23">
        <v>11</v>
      </c>
      <c r="B6" s="23" t="s">
        <v>6200</v>
      </c>
      <c r="C6" s="23" t="s">
        <v>6201</v>
      </c>
      <c r="D6" s="23">
        <v>1477</v>
      </c>
      <c r="E6" s="23" t="s">
        <v>6202</v>
      </c>
      <c r="F6" s="23" t="s">
        <v>361</v>
      </c>
    </row>
    <row r="7" spans="1:6" ht="27.75" customHeight="1">
      <c r="A7" s="23">
        <v>12</v>
      </c>
      <c r="B7" s="23" t="s">
        <v>6203</v>
      </c>
      <c r="C7" s="23" t="s">
        <v>6204</v>
      </c>
      <c r="D7" s="23">
        <v>1470</v>
      </c>
      <c r="E7" s="23" t="s">
        <v>6205</v>
      </c>
      <c r="F7" s="23" t="s">
        <v>361</v>
      </c>
    </row>
    <row r="8" spans="1:6" ht="27.75" customHeight="1">
      <c r="A8" s="23">
        <v>13</v>
      </c>
      <c r="B8" s="23" t="s">
        <v>6206</v>
      </c>
      <c r="C8" s="23" t="s">
        <v>6207</v>
      </c>
      <c r="D8" s="23">
        <v>1486</v>
      </c>
      <c r="E8" s="23" t="s">
        <v>6208</v>
      </c>
      <c r="F8" s="23" t="s">
        <v>361</v>
      </c>
    </row>
    <row r="9" spans="1:6" ht="15" customHeight="1">
      <c r="A9" s="23">
        <v>13</v>
      </c>
      <c r="B9" s="23" t="s">
        <v>6206</v>
      </c>
      <c r="C9" s="23" t="s">
        <v>6209</v>
      </c>
      <c r="D9" s="23">
        <v>1486</v>
      </c>
      <c r="E9" s="23" t="s">
        <v>6208</v>
      </c>
      <c r="F9" s="23" t="s">
        <v>361</v>
      </c>
    </row>
    <row r="10" spans="1:6" ht="15" customHeight="1">
      <c r="A10" s="23">
        <v>14</v>
      </c>
      <c r="B10" s="23" t="s">
        <v>6210</v>
      </c>
      <c r="C10" s="23" t="s">
        <v>6211</v>
      </c>
      <c r="D10" s="23">
        <v>1486</v>
      </c>
      <c r="E10" s="23" t="s">
        <v>6212</v>
      </c>
      <c r="F10" s="23" t="s">
        <v>361</v>
      </c>
    </row>
    <row r="11" spans="1:6" ht="15" customHeight="1">
      <c r="A11" s="23">
        <v>15</v>
      </c>
      <c r="B11" s="23" t="s">
        <v>6213</v>
      </c>
      <c r="C11" s="23" t="s">
        <v>6214</v>
      </c>
      <c r="D11" s="23">
        <v>1486</v>
      </c>
      <c r="E11" s="23" t="s">
        <v>6215</v>
      </c>
      <c r="F11" s="23" t="s">
        <v>361</v>
      </c>
    </row>
    <row r="12" spans="1:6" ht="15" customHeight="1">
      <c r="A12" s="23">
        <v>16</v>
      </c>
      <c r="B12" s="23" t="s">
        <v>6216</v>
      </c>
      <c r="C12" s="23" t="s">
        <v>6217</v>
      </c>
      <c r="D12" s="23">
        <v>1486</v>
      </c>
      <c r="E12" s="23" t="s">
        <v>6218</v>
      </c>
      <c r="F12" s="23" t="s">
        <v>361</v>
      </c>
    </row>
    <row r="13" spans="1:6" ht="15" customHeight="1">
      <c r="A13" s="23">
        <v>17</v>
      </c>
      <c r="B13" s="23" t="s">
        <v>6219</v>
      </c>
      <c r="C13" s="23" t="s">
        <v>6220</v>
      </c>
      <c r="D13" s="23">
        <v>1488</v>
      </c>
      <c r="E13" s="23" t="s">
        <v>6221</v>
      </c>
      <c r="F13" s="23" t="s">
        <v>361</v>
      </c>
    </row>
    <row r="14" spans="1:6" ht="15" customHeight="1">
      <c r="A14" s="23">
        <v>18</v>
      </c>
      <c r="B14" s="23" t="s">
        <v>6222</v>
      </c>
      <c r="C14" s="23" t="s">
        <v>6223</v>
      </c>
      <c r="D14" s="23">
        <v>1488</v>
      </c>
      <c r="E14" s="23" t="s">
        <v>6224</v>
      </c>
      <c r="F14" s="23" t="s">
        <v>361</v>
      </c>
    </row>
    <row r="15" spans="1:6" ht="15" customHeight="1">
      <c r="A15" s="23">
        <v>19</v>
      </c>
      <c r="B15" s="23" t="s">
        <v>6225</v>
      </c>
      <c r="C15" s="23" t="s">
        <v>6226</v>
      </c>
      <c r="D15" s="23">
        <v>1493</v>
      </c>
      <c r="E15" s="23" t="s">
        <v>6227</v>
      </c>
      <c r="F15" s="23" t="s">
        <v>361</v>
      </c>
    </row>
    <row r="16" spans="1:6" ht="15" customHeight="1">
      <c r="A16" s="23">
        <v>20</v>
      </c>
      <c r="B16" s="23"/>
      <c r="C16" s="23" t="s">
        <v>6228</v>
      </c>
      <c r="D16" s="23">
        <v>1493</v>
      </c>
      <c r="E16" s="23"/>
      <c r="F16" s="23" t="s">
        <v>6229</v>
      </c>
    </row>
    <row r="17" spans="1:6" ht="15" customHeight="1">
      <c r="A17" s="23">
        <v>21</v>
      </c>
      <c r="B17" s="23"/>
      <c r="C17" s="23" t="s">
        <v>6230</v>
      </c>
      <c r="D17" s="23">
        <v>1493</v>
      </c>
      <c r="E17" s="23"/>
      <c r="F17" s="23" t="s">
        <v>6229</v>
      </c>
    </row>
    <row r="18" spans="1:6" ht="15" customHeight="1">
      <c r="A18" s="23">
        <v>20</v>
      </c>
      <c r="B18" s="23" t="s">
        <v>6231</v>
      </c>
      <c r="C18" s="23" t="s">
        <v>6232</v>
      </c>
      <c r="D18" s="23">
        <v>1518</v>
      </c>
      <c r="E18" s="23" t="s">
        <v>6233</v>
      </c>
      <c r="F18" s="23" t="s">
        <v>361</v>
      </c>
    </row>
    <row r="19" spans="1:6" ht="15" customHeight="1">
      <c r="A19" s="23">
        <v>21</v>
      </c>
      <c r="B19" s="23" t="s">
        <v>6234</v>
      </c>
      <c r="C19" s="23" t="s">
        <v>6235</v>
      </c>
      <c r="D19" s="23">
        <v>1520</v>
      </c>
      <c r="E19" s="23" t="s">
        <v>6236</v>
      </c>
      <c r="F19" s="23" t="s">
        <v>6237</v>
      </c>
    </row>
    <row r="20" spans="1:6" ht="15" customHeight="1">
      <c r="A20" s="23">
        <v>22</v>
      </c>
      <c r="B20" s="23" t="s">
        <v>6238</v>
      </c>
      <c r="C20" s="23" t="s">
        <v>6239</v>
      </c>
      <c r="D20" s="23">
        <v>1520</v>
      </c>
      <c r="E20" s="23" t="s">
        <v>6236</v>
      </c>
      <c r="F20" s="23" t="s">
        <v>361</v>
      </c>
    </row>
    <row r="21" spans="1:6" ht="15" customHeight="1">
      <c r="A21" s="23"/>
      <c r="B21" s="23"/>
      <c r="C21" s="23"/>
      <c r="D21" s="23"/>
      <c r="E21" s="23"/>
      <c r="F21" s="23"/>
    </row>
    <row r="22" spans="1:6" ht="15" customHeight="1">
      <c r="A22" s="323" t="s">
        <v>6240</v>
      </c>
      <c r="B22" s="23"/>
      <c r="C22" s="23"/>
      <c r="D22" s="23"/>
      <c r="E22" s="23"/>
      <c r="F22" s="23"/>
    </row>
    <row r="23" spans="1:6" ht="15" customHeight="1">
      <c r="A23" s="324">
        <v>23</v>
      </c>
      <c r="B23" s="324" t="s">
        <v>6241</v>
      </c>
      <c r="C23" s="324" t="s">
        <v>6242</v>
      </c>
      <c r="D23" s="324">
        <v>1520</v>
      </c>
      <c r="E23" s="324" t="s">
        <v>6243</v>
      </c>
      <c r="F23" s="325" t="s">
        <v>361</v>
      </c>
    </row>
    <row r="24" spans="1:6" ht="15" customHeight="1">
      <c r="A24" s="324">
        <v>24</v>
      </c>
      <c r="B24" s="324" t="s">
        <v>6244</v>
      </c>
      <c r="C24" s="324" t="s">
        <v>6245</v>
      </c>
      <c r="D24" s="324">
        <v>1628</v>
      </c>
      <c r="E24" s="324" t="s">
        <v>6246</v>
      </c>
      <c r="F24" s="325" t="s">
        <v>361</v>
      </c>
    </row>
    <row r="25" spans="1:6" ht="15" customHeight="1">
      <c r="A25" s="324">
        <v>25</v>
      </c>
      <c r="B25" s="324" t="s">
        <v>6247</v>
      </c>
      <c r="C25" s="324" t="s">
        <v>6248</v>
      </c>
      <c r="D25" s="324">
        <v>1628</v>
      </c>
      <c r="E25" s="324" t="s">
        <v>6249</v>
      </c>
      <c r="F25" s="325" t="s">
        <v>361</v>
      </c>
    </row>
    <row r="26" spans="1:6" ht="15" customHeight="1">
      <c r="A26" s="324">
        <v>26</v>
      </c>
      <c r="B26" s="324" t="s">
        <v>6250</v>
      </c>
      <c r="C26" s="324" t="s">
        <v>6251</v>
      </c>
      <c r="D26" s="324">
        <v>1628</v>
      </c>
      <c r="E26" s="324"/>
      <c r="F26" s="326" t="s">
        <v>1665</v>
      </c>
    </row>
    <row r="27" spans="1:6" ht="15" customHeight="1">
      <c r="A27" s="324">
        <v>27</v>
      </c>
      <c r="B27" s="324" t="s">
        <v>6252</v>
      </c>
      <c r="C27" s="324" t="s">
        <v>6253</v>
      </c>
      <c r="D27" s="324">
        <v>1568</v>
      </c>
      <c r="E27" s="324" t="s">
        <v>6254</v>
      </c>
      <c r="F27" s="325" t="s">
        <v>361</v>
      </c>
    </row>
    <row r="28" spans="1:6" ht="15" customHeight="1">
      <c r="A28" s="324">
        <v>28</v>
      </c>
      <c r="B28" s="324" t="s">
        <v>6255</v>
      </c>
      <c r="C28" s="324" t="s">
        <v>6256</v>
      </c>
      <c r="D28" s="324">
        <v>1568</v>
      </c>
      <c r="E28" s="324" t="s">
        <v>6257</v>
      </c>
      <c r="F28" s="325" t="s">
        <v>361</v>
      </c>
    </row>
    <row r="29" spans="1:6" ht="15" customHeight="1">
      <c r="A29" s="324">
        <v>29</v>
      </c>
      <c r="B29" s="324" t="s">
        <v>6258</v>
      </c>
      <c r="C29" s="324" t="s">
        <v>6259</v>
      </c>
      <c r="D29" s="324">
        <v>1568</v>
      </c>
      <c r="E29" s="324" t="s">
        <v>6260</v>
      </c>
      <c r="F29" s="325" t="s">
        <v>361</v>
      </c>
    </row>
    <row r="30" spans="1:6" ht="15" customHeight="1">
      <c r="A30" s="324">
        <v>30</v>
      </c>
      <c r="B30" s="324" t="s">
        <v>6261</v>
      </c>
      <c r="C30" s="324" t="s">
        <v>6262</v>
      </c>
      <c r="D30" s="324">
        <v>1597</v>
      </c>
      <c r="E30" s="324" t="s">
        <v>6263</v>
      </c>
      <c r="F30" s="325" t="s">
        <v>361</v>
      </c>
    </row>
    <row r="31" spans="1:6" ht="15" customHeight="1">
      <c r="A31" s="324">
        <v>31</v>
      </c>
      <c r="B31" s="324" t="s">
        <v>6264</v>
      </c>
      <c r="C31" s="324" t="s">
        <v>6265</v>
      </c>
      <c r="D31" s="324">
        <v>1597</v>
      </c>
      <c r="E31" s="324" t="s">
        <v>6266</v>
      </c>
      <c r="F31" s="325" t="s">
        <v>361</v>
      </c>
    </row>
    <row r="32" spans="1:6" ht="15" customHeight="1">
      <c r="A32" s="324">
        <v>32</v>
      </c>
      <c r="B32" s="324" t="s">
        <v>6267</v>
      </c>
      <c r="C32" s="324" t="s">
        <v>6268</v>
      </c>
      <c r="D32" s="324">
        <v>1597</v>
      </c>
      <c r="E32" s="324" t="s">
        <v>6269</v>
      </c>
      <c r="F32" s="325" t="s">
        <v>361</v>
      </c>
    </row>
    <row r="33" spans="1:6" ht="15" customHeight="1">
      <c r="A33" s="324">
        <v>33</v>
      </c>
      <c r="B33" s="324" t="s">
        <v>6270</v>
      </c>
      <c r="C33" s="324" t="s">
        <v>6271</v>
      </c>
      <c r="D33" s="324">
        <v>1597</v>
      </c>
      <c r="E33" s="324" t="s">
        <v>6272</v>
      </c>
      <c r="F33" s="325" t="s">
        <v>361</v>
      </c>
    </row>
    <row r="34" spans="1:6" ht="15" customHeight="1">
      <c r="A34" s="324">
        <v>34</v>
      </c>
      <c r="B34" s="324" t="s">
        <v>6273</v>
      </c>
      <c r="C34" s="324" t="s">
        <v>6274</v>
      </c>
      <c r="D34" s="324">
        <v>1597</v>
      </c>
      <c r="E34" s="324" t="s">
        <v>6275</v>
      </c>
      <c r="F34" s="325" t="s">
        <v>361</v>
      </c>
    </row>
    <row r="35" spans="1:6" ht="15" customHeight="1">
      <c r="A35" s="324">
        <v>35</v>
      </c>
      <c r="B35" s="324" t="s">
        <v>6276</v>
      </c>
      <c r="C35" s="324" t="s">
        <v>6277</v>
      </c>
      <c r="D35" s="324">
        <v>1597</v>
      </c>
      <c r="E35" s="324" t="s">
        <v>6278</v>
      </c>
      <c r="F35" s="325" t="s">
        <v>361</v>
      </c>
    </row>
    <row r="36" spans="1:6" ht="23.25" customHeight="1">
      <c r="A36" s="324">
        <v>36</v>
      </c>
      <c r="B36" s="324" t="s">
        <v>6279</v>
      </c>
      <c r="C36" s="324" t="s">
        <v>6280</v>
      </c>
      <c r="D36" s="324">
        <v>1597</v>
      </c>
      <c r="E36" s="324" t="s">
        <v>6281</v>
      </c>
      <c r="F36" s="325" t="s">
        <v>361</v>
      </c>
    </row>
    <row r="37" spans="1:6" ht="23.25" customHeight="1">
      <c r="A37" s="324">
        <v>37</v>
      </c>
      <c r="B37" s="324" t="s">
        <v>6282</v>
      </c>
      <c r="C37" s="324" t="s">
        <v>6283</v>
      </c>
      <c r="D37" s="324">
        <v>1616</v>
      </c>
      <c r="E37" s="324" t="s">
        <v>6284</v>
      </c>
      <c r="F37" s="325" t="s">
        <v>361</v>
      </c>
    </row>
    <row r="38" spans="1:6" ht="15" customHeight="1">
      <c r="A38" s="324">
        <v>38</v>
      </c>
      <c r="B38" s="324" t="s">
        <v>6285</v>
      </c>
      <c r="C38" s="324" t="s">
        <v>6286</v>
      </c>
      <c r="D38" s="324">
        <v>1619</v>
      </c>
      <c r="E38" s="324" t="s">
        <v>6287</v>
      </c>
      <c r="F38" s="325" t="s">
        <v>361</v>
      </c>
    </row>
    <row r="39" spans="1:6" ht="15" customHeight="1">
      <c r="A39" s="324">
        <v>39</v>
      </c>
      <c r="B39" s="324" t="s">
        <v>6288</v>
      </c>
      <c r="C39" s="324" t="s">
        <v>6289</v>
      </c>
      <c r="D39" s="324">
        <v>1622</v>
      </c>
      <c r="E39" s="324" t="s">
        <v>6290</v>
      </c>
      <c r="F39" s="325" t="s">
        <v>361</v>
      </c>
    </row>
    <row r="40" spans="1:6" ht="15" customHeight="1">
      <c r="A40" s="324">
        <v>40</v>
      </c>
      <c r="B40" s="324" t="s">
        <v>6291</v>
      </c>
      <c r="C40" s="324" t="s">
        <v>6292</v>
      </c>
      <c r="D40" s="324">
        <v>1625</v>
      </c>
      <c r="E40" s="324" t="s">
        <v>6293</v>
      </c>
      <c r="F40" s="325" t="s">
        <v>361</v>
      </c>
    </row>
    <row r="41" spans="1:6" ht="15" customHeight="1">
      <c r="A41" s="324">
        <v>41</v>
      </c>
      <c r="B41" s="324" t="s">
        <v>6294</v>
      </c>
      <c r="C41" s="324" t="s">
        <v>6295</v>
      </c>
      <c r="D41" s="324">
        <v>1625</v>
      </c>
      <c r="E41" s="324" t="s">
        <v>6296</v>
      </c>
      <c r="F41" s="325" t="s">
        <v>361</v>
      </c>
    </row>
    <row r="42" spans="1:6" ht="15" customHeight="1">
      <c r="A42" s="324">
        <v>42</v>
      </c>
      <c r="B42" s="324" t="s">
        <v>6297</v>
      </c>
      <c r="C42" s="324" t="s">
        <v>6298</v>
      </c>
      <c r="D42" s="324">
        <v>1628</v>
      </c>
      <c r="E42" s="324" t="s">
        <v>6299</v>
      </c>
      <c r="F42" s="325" t="s">
        <v>361</v>
      </c>
    </row>
    <row r="43" spans="1:6" ht="15" customHeight="1">
      <c r="A43" s="324">
        <v>43</v>
      </c>
      <c r="B43" s="324" t="s">
        <v>6300</v>
      </c>
      <c r="C43" s="324" t="s">
        <v>6301</v>
      </c>
      <c r="D43" s="324">
        <v>1628</v>
      </c>
      <c r="E43" s="324" t="s">
        <v>6302</v>
      </c>
      <c r="F43" s="325" t="s">
        <v>361</v>
      </c>
    </row>
    <row r="44" spans="1:6" ht="15" customHeight="1">
      <c r="A44" s="324">
        <v>44</v>
      </c>
      <c r="B44" s="324" t="s">
        <v>6303</v>
      </c>
      <c r="C44" s="324" t="s">
        <v>6304</v>
      </c>
      <c r="D44" s="324">
        <v>1628</v>
      </c>
      <c r="E44" s="324" t="s">
        <v>6305</v>
      </c>
      <c r="F44" s="325" t="s">
        <v>361</v>
      </c>
    </row>
    <row r="45" spans="1:6" ht="15" customHeight="1">
      <c r="A45" s="324">
        <v>45</v>
      </c>
      <c r="B45" s="324" t="s">
        <v>6306</v>
      </c>
      <c r="C45" s="324" t="s">
        <v>6307</v>
      </c>
      <c r="D45" s="324">
        <v>1628</v>
      </c>
      <c r="E45" s="324" t="s">
        <v>6308</v>
      </c>
      <c r="F45" s="325" t="s">
        <v>361</v>
      </c>
    </row>
    <row r="46" spans="1:6" ht="15" customHeight="1">
      <c r="A46" s="324">
        <v>46</v>
      </c>
      <c r="B46" s="324" t="s">
        <v>6309</v>
      </c>
      <c r="C46" s="324" t="s">
        <v>6310</v>
      </c>
      <c r="D46" s="324">
        <v>1628</v>
      </c>
      <c r="E46" s="324" t="s">
        <v>6308</v>
      </c>
      <c r="F46" s="325" t="s">
        <v>361</v>
      </c>
    </row>
  </sheetData>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826</v>
      </c>
      <c r="B1" s="322" t="s">
        <v>522</v>
      </c>
      <c r="C1" s="322" t="s">
        <v>827</v>
      </c>
      <c r="D1" s="322" t="s">
        <v>322</v>
      </c>
      <c r="E1" s="322" t="s">
        <v>647</v>
      </c>
      <c r="F1" s="322" t="s">
        <v>243</v>
      </c>
    </row>
    <row r="2" spans="1:6" ht="15" customHeight="1">
      <c r="A2" s="23">
        <v>1</v>
      </c>
      <c r="B2" s="23" t="s">
        <v>6311</v>
      </c>
      <c r="C2" s="23" t="s">
        <v>6312</v>
      </c>
      <c r="D2" s="23">
        <v>1427</v>
      </c>
      <c r="E2" s="23" t="s">
        <v>6313</v>
      </c>
      <c r="F2" s="23" t="s">
        <v>361</v>
      </c>
    </row>
    <row r="3" spans="1:6" ht="15" customHeight="1">
      <c r="A3" s="23">
        <v>2</v>
      </c>
      <c r="B3" s="23" t="s">
        <v>6314</v>
      </c>
      <c r="C3" s="23" t="s">
        <v>6315</v>
      </c>
      <c r="D3" s="23">
        <v>1468</v>
      </c>
      <c r="E3" s="23" t="s">
        <v>6316</v>
      </c>
      <c r="F3" s="23" t="s">
        <v>361</v>
      </c>
    </row>
    <row r="4" spans="1:6" ht="15" customHeight="1">
      <c r="A4" s="23">
        <v>3</v>
      </c>
      <c r="B4" s="23" t="s">
        <v>6317</v>
      </c>
      <c r="C4" s="23" t="s">
        <v>6318</v>
      </c>
      <c r="D4" s="23">
        <v>1492</v>
      </c>
      <c r="E4" s="23" t="s">
        <v>6319</v>
      </c>
      <c r="F4" s="23" t="s">
        <v>361</v>
      </c>
    </row>
    <row r="5" spans="1:6" ht="15" customHeight="1">
      <c r="A5" s="23">
        <v>4</v>
      </c>
      <c r="B5" s="23" t="s">
        <v>6320</v>
      </c>
      <c r="C5" s="23" t="s">
        <v>6321</v>
      </c>
      <c r="D5" s="23">
        <v>0</v>
      </c>
      <c r="E5" s="23" t="s">
        <v>6202</v>
      </c>
      <c r="F5" s="23" t="s">
        <v>361</v>
      </c>
    </row>
    <row r="6" spans="1:6" ht="15" customHeight="1">
      <c r="A6" s="23">
        <v>5</v>
      </c>
      <c r="B6" s="23" t="s">
        <v>6322</v>
      </c>
      <c r="C6" s="23" t="s">
        <v>6323</v>
      </c>
      <c r="D6" s="23">
        <v>1441</v>
      </c>
      <c r="E6" s="23" t="s">
        <v>6233</v>
      </c>
      <c r="F6" s="23" t="s">
        <v>361</v>
      </c>
    </row>
    <row r="7" spans="1:6" ht="15" customHeight="1">
      <c r="A7" s="23">
        <v>6</v>
      </c>
      <c r="B7" s="23" t="s">
        <v>6324</v>
      </c>
      <c r="C7" s="23" t="s">
        <v>6325</v>
      </c>
      <c r="D7" s="23">
        <v>1457</v>
      </c>
      <c r="E7" s="23" t="s">
        <v>6326</v>
      </c>
      <c r="F7" s="23" t="s">
        <v>361</v>
      </c>
    </row>
    <row r="8" spans="1:6" ht="15" customHeight="1">
      <c r="A8" s="23">
        <v>7</v>
      </c>
      <c r="B8" s="23" t="s">
        <v>6327</v>
      </c>
      <c r="C8" s="23" t="s">
        <v>6328</v>
      </c>
      <c r="D8" s="23">
        <v>1462</v>
      </c>
      <c r="E8" s="23" t="s">
        <v>6329</v>
      </c>
      <c r="F8" s="23" t="s">
        <v>361</v>
      </c>
    </row>
  </sheetData>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28" t="s">
        <v>6330</v>
      </c>
      <c r="B1" s="418"/>
      <c r="C1" s="418"/>
      <c r="D1" s="418"/>
      <c r="E1" s="418"/>
      <c r="F1" s="418"/>
    </row>
    <row r="3" spans="1:6">
      <c r="A3" s="332" t="s">
        <v>285</v>
      </c>
      <c r="B3" s="332" t="s">
        <v>6331</v>
      </c>
      <c r="C3" s="332" t="s">
        <v>2017</v>
      </c>
      <c r="D3" s="332" t="s">
        <v>3383</v>
      </c>
      <c r="E3" s="332" t="s">
        <v>919</v>
      </c>
      <c r="F3" s="332" t="s">
        <v>6332</v>
      </c>
    </row>
    <row r="4" spans="1:6">
      <c r="A4" s="333" t="s">
        <v>6333</v>
      </c>
      <c r="B4" s="333" t="s">
        <v>6334</v>
      </c>
      <c r="C4" s="338" t="s">
        <v>46</v>
      </c>
      <c r="D4" s="333" t="s">
        <v>6335</v>
      </c>
      <c r="E4" s="333" t="s">
        <v>598</v>
      </c>
      <c r="F4" s="333" t="s">
        <v>6336</v>
      </c>
    </row>
    <row r="5" spans="1:6">
      <c r="A5" s="333" t="s">
        <v>6337</v>
      </c>
      <c r="B5" s="333" t="s">
        <v>6338</v>
      </c>
      <c r="C5" s="339" t="s">
        <v>474</v>
      </c>
      <c r="D5" s="333" t="s">
        <v>6339</v>
      </c>
      <c r="E5" s="333" t="s">
        <v>598</v>
      </c>
      <c r="F5" s="333" t="s">
        <v>6340</v>
      </c>
    </row>
    <row r="6" spans="1:6">
      <c r="A6" s="333" t="s">
        <v>6341</v>
      </c>
      <c r="B6" s="333" t="s">
        <v>6342</v>
      </c>
      <c r="C6" s="339" t="s">
        <v>474</v>
      </c>
      <c r="D6" s="333" t="s">
        <v>6343</v>
      </c>
      <c r="E6" s="333" t="s">
        <v>598</v>
      </c>
      <c r="F6" s="333" t="s">
        <v>6344</v>
      </c>
    </row>
    <row r="7" spans="1:6">
      <c r="A7" s="333" t="s">
        <v>6345</v>
      </c>
      <c r="B7" s="333" t="s">
        <v>6346</v>
      </c>
      <c r="C7" s="339" t="s">
        <v>474</v>
      </c>
      <c r="D7" s="333" t="s">
        <v>6347</v>
      </c>
      <c r="E7" s="333" t="s">
        <v>598</v>
      </c>
      <c r="F7" s="333" t="s">
        <v>6348</v>
      </c>
    </row>
    <row r="8" spans="1:6">
      <c r="A8" s="333" t="s">
        <v>6349</v>
      </c>
      <c r="B8" s="333" t="s">
        <v>6350</v>
      </c>
      <c r="C8" s="340" t="s">
        <v>492</v>
      </c>
      <c r="D8" s="333" t="s">
        <v>6351</v>
      </c>
      <c r="E8" s="333" t="s">
        <v>6352</v>
      </c>
      <c r="F8" s="333" t="s">
        <v>6340</v>
      </c>
    </row>
    <row r="9" spans="1:6">
      <c r="A9" s="333" t="s">
        <v>6353</v>
      </c>
      <c r="B9" s="333" t="s">
        <v>6354</v>
      </c>
      <c r="C9" s="339" t="s">
        <v>474</v>
      </c>
      <c r="D9" s="333" t="s">
        <v>6355</v>
      </c>
      <c r="E9" s="333" t="s">
        <v>598</v>
      </c>
      <c r="F9" s="333" t="s">
        <v>6356</v>
      </c>
    </row>
    <row r="10" spans="1:6">
      <c r="A10" s="333" t="s">
        <v>6357</v>
      </c>
      <c r="B10" s="333" t="s">
        <v>6358</v>
      </c>
      <c r="C10" s="340" t="s">
        <v>492</v>
      </c>
      <c r="D10" s="333" t="s">
        <v>6343</v>
      </c>
      <c r="E10" s="333" t="s">
        <v>598</v>
      </c>
      <c r="F10" s="333" t="s">
        <v>6336</v>
      </c>
    </row>
    <row r="11" spans="1:6">
      <c r="A11" s="333" t="s">
        <v>6359</v>
      </c>
      <c r="B11" s="333" t="s">
        <v>6360</v>
      </c>
      <c r="C11" s="338" t="s">
        <v>46</v>
      </c>
      <c r="D11" s="333" t="s">
        <v>6361</v>
      </c>
      <c r="E11" s="333" t="s">
        <v>6362</v>
      </c>
      <c r="F11" s="333" t="s">
        <v>6363</v>
      </c>
    </row>
  </sheetData>
  <mergeCells count="1">
    <mergeCell ref="A1:F1"/>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28" t="s">
        <v>6364</v>
      </c>
      <c r="B1" s="418"/>
      <c r="C1" s="418"/>
      <c r="D1" s="418"/>
      <c r="E1" s="418"/>
      <c r="F1" s="418"/>
      <c r="G1" s="418"/>
      <c r="H1" s="418"/>
    </row>
    <row r="2" spans="1:8">
      <c r="A2" s="341" t="s">
        <v>6365</v>
      </c>
    </row>
    <row r="4" spans="1:8">
      <c r="A4" s="332" t="s">
        <v>6366</v>
      </c>
      <c r="B4" s="332" t="s">
        <v>6367</v>
      </c>
      <c r="C4" s="332" t="s">
        <v>6368</v>
      </c>
      <c r="D4" s="332" t="s">
        <v>6369</v>
      </c>
      <c r="E4" s="332" t="s">
        <v>6370</v>
      </c>
      <c r="F4" s="332" t="s">
        <v>6371</v>
      </c>
      <c r="G4" s="332" t="s">
        <v>6372</v>
      </c>
      <c r="H4" s="332" t="s">
        <v>6373</v>
      </c>
    </row>
    <row r="5" spans="1:8">
      <c r="A5" s="333" t="s">
        <v>6374</v>
      </c>
      <c r="B5" s="333" t="s">
        <v>6375</v>
      </c>
      <c r="C5" s="335" t="s">
        <v>6376</v>
      </c>
      <c r="D5" s="333" t="s">
        <v>6377</v>
      </c>
      <c r="E5" s="333" t="s">
        <v>6378</v>
      </c>
      <c r="F5" s="333" t="s">
        <v>6379</v>
      </c>
      <c r="G5" s="333" t="s">
        <v>6380</v>
      </c>
      <c r="H5" s="333" t="s">
        <v>6381</v>
      </c>
    </row>
    <row r="6" spans="1:8">
      <c r="A6" s="333" t="s">
        <v>6382</v>
      </c>
      <c r="B6" s="333" t="s">
        <v>6383</v>
      </c>
      <c r="C6" s="335" t="s">
        <v>6376</v>
      </c>
      <c r="D6" s="333" t="s">
        <v>6384</v>
      </c>
      <c r="E6" s="333" t="s">
        <v>6385</v>
      </c>
      <c r="F6" s="333" t="s">
        <v>6386</v>
      </c>
      <c r="G6" s="333" t="s">
        <v>6387</v>
      </c>
      <c r="H6" s="333" t="s">
        <v>6381</v>
      </c>
    </row>
    <row r="8" spans="1:8">
      <c r="A8" s="331" t="s">
        <v>6388</v>
      </c>
    </row>
    <row r="9" spans="1:8">
      <c r="A9" s="342" t="s">
        <v>6389</v>
      </c>
    </row>
  </sheetData>
  <mergeCells count="1">
    <mergeCell ref="A1:H1"/>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28" t="s">
        <v>6390</v>
      </c>
      <c r="B1" s="418"/>
      <c r="C1" s="418"/>
      <c r="D1" s="418"/>
      <c r="E1" s="418"/>
    </row>
    <row r="2" spans="1:5">
      <c r="A2" s="351" t="s">
        <v>6391</v>
      </c>
    </row>
    <row r="4" spans="1:5">
      <c r="A4" s="332" t="s">
        <v>285</v>
      </c>
      <c r="B4" s="332" t="s">
        <v>1128</v>
      </c>
      <c r="C4" s="332" t="s">
        <v>243</v>
      </c>
      <c r="D4" s="332" t="s">
        <v>244</v>
      </c>
      <c r="E4" s="332" t="s">
        <v>6392</v>
      </c>
    </row>
    <row r="5" spans="1:5">
      <c r="A5" s="333" t="s">
        <v>288</v>
      </c>
      <c r="B5" s="333" t="s">
        <v>1681</v>
      </c>
      <c r="C5" s="352" t="s">
        <v>526</v>
      </c>
      <c r="D5" s="333" t="s">
        <v>6393</v>
      </c>
      <c r="E5" s="333"/>
    </row>
    <row r="6" spans="1:5">
      <c r="A6" s="333" t="s">
        <v>291</v>
      </c>
      <c r="B6" s="333" t="s">
        <v>6394</v>
      </c>
      <c r="C6" s="352" t="s">
        <v>526</v>
      </c>
      <c r="D6" s="333" t="s">
        <v>6395</v>
      </c>
      <c r="E6" s="333"/>
    </row>
    <row r="7" spans="1:5">
      <c r="A7" s="333" t="s">
        <v>294</v>
      </c>
      <c r="B7" s="333" t="s">
        <v>1692</v>
      </c>
      <c r="C7" s="353" t="s">
        <v>3633</v>
      </c>
      <c r="D7" s="333" t="s">
        <v>6396</v>
      </c>
      <c r="E7" s="333" t="s">
        <v>6397</v>
      </c>
    </row>
    <row r="8" spans="1:5">
      <c r="A8" s="333" t="s">
        <v>297</v>
      </c>
      <c r="B8" s="333" t="s">
        <v>6398</v>
      </c>
      <c r="C8" s="352" t="s">
        <v>526</v>
      </c>
      <c r="D8" s="333" t="s">
        <v>6399</v>
      </c>
      <c r="E8" s="333"/>
    </row>
    <row r="9" spans="1:5">
      <c r="A9" s="333" t="s">
        <v>300</v>
      </c>
      <c r="B9" s="333" t="s">
        <v>1683</v>
      </c>
      <c r="C9" s="352" t="s">
        <v>526</v>
      </c>
      <c r="D9" s="333" t="s">
        <v>6400</v>
      </c>
      <c r="E9" s="333"/>
    </row>
    <row r="10" spans="1:5">
      <c r="A10" s="333" t="s">
        <v>309</v>
      </c>
      <c r="B10" s="333" t="s">
        <v>6401</v>
      </c>
      <c r="C10" s="352" t="s">
        <v>526</v>
      </c>
      <c r="D10" s="333" t="s">
        <v>6402</v>
      </c>
      <c r="E10" s="333"/>
    </row>
    <row r="11" spans="1:5">
      <c r="A11" s="333" t="s">
        <v>311</v>
      </c>
      <c r="B11" s="333" t="s">
        <v>1686</v>
      </c>
      <c r="C11" s="352" t="s">
        <v>526</v>
      </c>
      <c r="D11" s="333" t="s">
        <v>6403</v>
      </c>
      <c r="E11" s="333"/>
    </row>
    <row r="12" spans="1:5">
      <c r="A12" s="333" t="s">
        <v>313</v>
      </c>
      <c r="B12" s="333" t="s">
        <v>6404</v>
      </c>
      <c r="C12" s="353" t="s">
        <v>3633</v>
      </c>
      <c r="D12" s="333" t="s">
        <v>6396</v>
      </c>
      <c r="E12" s="333" t="s">
        <v>6397</v>
      </c>
    </row>
    <row r="13" spans="1:5">
      <c r="A13" s="333" t="s">
        <v>315</v>
      </c>
      <c r="B13" s="333" t="s">
        <v>1684</v>
      </c>
      <c r="C13" s="352" t="s">
        <v>526</v>
      </c>
      <c r="D13" s="333" t="s">
        <v>6405</v>
      </c>
      <c r="E13" s="333"/>
    </row>
    <row r="14" spans="1:5">
      <c r="A14" s="333" t="s">
        <v>317</v>
      </c>
      <c r="B14" s="333" t="s">
        <v>1700</v>
      </c>
      <c r="C14" s="352" t="s">
        <v>526</v>
      </c>
      <c r="D14" s="333" t="s">
        <v>6406</v>
      </c>
      <c r="E14" s="333"/>
    </row>
    <row r="15" spans="1:5">
      <c r="A15" s="333" t="s">
        <v>1548</v>
      </c>
      <c r="B15" s="333" t="s">
        <v>6080</v>
      </c>
      <c r="C15" s="354" t="s">
        <v>1677</v>
      </c>
      <c r="D15" s="333" t="s">
        <v>6407</v>
      </c>
      <c r="E15" s="333" t="s">
        <v>6408</v>
      </c>
    </row>
    <row r="16" spans="1:5">
      <c r="A16" s="333" t="s">
        <v>6409</v>
      </c>
      <c r="B16" s="333" t="s">
        <v>6078</v>
      </c>
      <c r="C16" s="354" t="s">
        <v>1677</v>
      </c>
      <c r="D16" s="333" t="s">
        <v>6407</v>
      </c>
      <c r="E16" s="333" t="s">
        <v>6408</v>
      </c>
    </row>
    <row r="17" spans="1:5">
      <c r="A17" s="333" t="s">
        <v>6410</v>
      </c>
      <c r="B17" s="333" t="s">
        <v>6411</v>
      </c>
      <c r="C17" s="354" t="s">
        <v>1677</v>
      </c>
      <c r="D17" s="333" t="s">
        <v>6407</v>
      </c>
      <c r="E17" s="333" t="s">
        <v>6408</v>
      </c>
    </row>
    <row r="19" spans="1:5">
      <c r="A19" s="331" t="s">
        <v>6412</v>
      </c>
      <c r="B19" s="342" t="s">
        <v>6413</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SESSION START - READ FIRST</vt:lpstr>
      <vt:lpstr>PLATFORM SPECS - MUST HAVES</vt:lpstr>
      <vt:lpstr>DATABASE SCHEMA</vt:lpstr>
      <vt:lpstr>WORKFLOW RULES</vt:lpstr>
      <vt:lpstr>CURRENT STATUS 3-16-2026</vt:lpstr>
      <vt:lpstr>SHAWNS RULES</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2026-03-16T19:34:33Z</dcterms:modified>
  <dc:language>en-US</dc:language>
</cp:coreProperties>
</file>