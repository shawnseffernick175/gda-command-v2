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71d337c297985f8/Desktop/ACQ AI Tool/Build folder/"/>
    </mc:Choice>
  </mc:AlternateContent>
  <xr:revisionPtr revIDLastSave="0" documentId="8_{8142C1C3-FAD0-4BDB-884A-665FF27A10C7}" xr6:coauthVersionLast="47" xr6:coauthVersionMax="47" xr10:uidLastSave="{00000000-0000-0000-0000-000000000000}"/>
  <bookViews>
    <workbookView xWindow="3120" yWindow="1530" windowWidth="30645" windowHeight="14670" tabRatio="500" xr2:uid="{00000000-000D-0000-FFFF-FFFF00000000}"/>
  </bookViews>
  <sheets>
    <sheet name="S-103 Session Output" sheetId="1" r:id="rId1"/>
    <sheet name="S-102c Session Output" sheetId="2" r:id="rId2"/>
    <sheet name="S-102 Session Output" sheetId="3" r:id="rId3"/>
    <sheet name="S-101 Session Output" sheetId="4" r:id="rId4"/>
    <sheet name="S-100 Session Output" sheetId="5" r:id="rId5"/>
    <sheet name="S-097 Session Output" sheetId="6" r:id="rId6"/>
    <sheet name="S-097 IDIQ Vehicles" sheetId="7" r:id="rId7"/>
    <sheet name="S-095 Session Output" sheetId="8" r:id="rId8"/>
    <sheet name="S-093 QA Audit" sheetId="9" r:id="rId9"/>
    <sheet name="S-092 Session Output" sheetId="10" r:id="rId10"/>
    <sheet name="S-091 Session Output" sheetId="11" r:id="rId11"/>
    <sheet name="S-091 Final Updates" sheetId="12" r:id="rId12"/>
    <sheet name="S-091 QA Audit" sheetId="13" r:id="rId13"/>
    <sheet name="S-090 Session Output" sheetId="14" r:id="rId14"/>
    <sheet name="S-089 Session Output" sheetId="15" r:id="rId15"/>
    <sheet name="SESSION START - READ FIRST" sheetId="16" r:id="rId16"/>
    <sheet name="PLATFORM SPECS - MUST HAVES" sheetId="17" r:id="rId17"/>
    <sheet name="DATABASE SCHEMA" sheetId="18" r:id="rId18"/>
    <sheet name="WORKFLOW RULES" sheetId="19" r:id="rId19"/>
    <sheet name="CURRENT STATUS 3-24-2026" sheetId="20" r:id="rId20"/>
    <sheet name="SHAWNS RULES" sheetId="21" r:id="rId21"/>
    <sheet name="CAPTURE INTEL (VoicedIQ)" sheetId="22" r:id="rId22"/>
    <sheet name="GOVTRIBE MCP REFERENCE" sheetId="23" r:id="rId23"/>
    <sheet name="S-085 Web Deploy Log" sheetId="24" r:id="rId24"/>
    <sheet name="S-085 Session Output" sheetId="25" r:id="rId25"/>
    <sheet name="S-086 Backlog" sheetId="26" r:id="rId26"/>
    <sheet name="S-084 Deploy Log" sheetId="27" r:id="rId27"/>
    <sheet name="S-085 Backlog" sheetId="28" r:id="rId28"/>
    <sheet name="S-083 Session Output" sheetId="29" r:id="rId29"/>
    <sheet name="S-082 Deploy Log" sheetId="30" r:id="rId30"/>
    <sheet name="S-083 Backlog" sheetId="31" r:id="rId31"/>
    <sheet name="S-081 Session Output" sheetId="32" r:id="rId32"/>
    <sheet name="S-082 Backlog" sheetId="33" r:id="rId33"/>
    <sheet name="S-080 Deploy Log" sheetId="34" r:id="rId34"/>
    <sheet name="S-081 Backlog" sheetId="35" r:id="rId35"/>
    <sheet name="S-079 Deploy Log" sheetId="36" r:id="rId36"/>
    <sheet name="S-080 Backlog" sheetId="37" r:id="rId37"/>
    <sheet name="S-078 Session Output" sheetId="38" r:id="rId38"/>
    <sheet name="S-079 Backlog" sheetId="39" r:id="rId39"/>
    <sheet name="S-078 Components" sheetId="40" r:id="rId40"/>
    <sheet name="S-078 Deploy Log" sheetId="41" r:id="rId41"/>
    <sheet name="Department Hierarchy" sheetId="42" r:id="rId42"/>
    <sheet name="Strategic Roadmap" sheetId="43" r:id="rId43"/>
    <sheet name="S-078 Backlog" sheetId="44" r:id="rId44"/>
    <sheet name="S-077 Backlog" sheetId="45" r:id="rId45"/>
    <sheet name="S-077 Session Output" sheetId="46" r:id="rId46"/>
    <sheet name="S-077 Deploy Log" sheetId="47" r:id="rId47"/>
    <sheet name="S-071 Deploy Log" sheetId="48" r:id="rId48"/>
    <sheet name="S-067 E2E Findings" sheetId="49" r:id="rId49"/>
    <sheet name="Read First" sheetId="50" r:id="rId50"/>
    <sheet name="Dashboard" sheetId="51" r:id="rId51"/>
    <sheet name="Things to remember" sheetId="52" r:id="rId52"/>
    <sheet name="Trading Challenge" sheetId="53" r:id="rId53"/>
    <sheet name="PPT Design Brief" sheetId="54" r:id="rId54"/>
    <sheet name="Requirements" sheetId="55" r:id="rId55"/>
    <sheet name="3 Action Items" sheetId="56" r:id="rId56"/>
    <sheet name="Backlog" sheetId="57" r:id="rId57"/>
    <sheet name="Session Log" sheetId="58" r:id="rId58"/>
    <sheet name="Test Results" sheetId="59" r:id="rId59"/>
    <sheet name="Shawn Notes" sheetId="60" r:id="rId60"/>
    <sheet name="Platform Architecture" sheetId="61" r:id="rId61"/>
    <sheet name="AI Capabilities" sheetId="62" r:id="rId62"/>
    <sheet name="1 OPP Tracker" sheetId="63" r:id="rId63"/>
    <sheet name="2 OODA LOOP" sheetId="64" r:id="rId64"/>
    <sheet name="4 Assistant" sheetId="65" r:id="rId65"/>
    <sheet name="5 SITREP" sheetId="66" r:id="rId66"/>
    <sheet name="6 SITREP Trends" sheetId="67" r:id="rId67"/>
    <sheet name="7 Doc Chat" sheetId="68" r:id="rId68"/>
    <sheet name="GDA Tools" sheetId="69" r:id="rId69"/>
    <sheet name="GDA Workflows" sheetId="70" r:id="rId70"/>
    <sheet name="S-070 Deploy Log" sheetId="71" r:id="rId71"/>
    <sheet name="S-069 Deploy Log" sheetId="72" r:id="rId72"/>
    <sheet name="S-077 Risks Seeded" sheetId="73" r:id="rId73"/>
    <sheet name="S-077 Trade Signals" sheetId="74" r:id="rId74"/>
    <sheet name="S-077 E2E Results" sheetId="75" r:id="rId7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58" l="1"/>
  <c r="B11" i="58"/>
  <c r="B16" i="51"/>
  <c r="B15" i="51"/>
  <c r="B14" i="51"/>
  <c r="B13" i="51"/>
  <c r="C18" i="51" s="1"/>
  <c r="F12" i="51"/>
  <c r="C14" i="51" s="1"/>
  <c r="C7" i="51"/>
  <c r="E7" i="51" s="1"/>
  <c r="B7" i="51"/>
  <c r="D7" i="51" s="1"/>
  <c r="F7" i="51" s="1"/>
  <c r="C6" i="51"/>
  <c r="B6" i="51"/>
  <c r="B8" i="51" s="1"/>
  <c r="E8" i="51" s="1"/>
  <c r="C5" i="51"/>
  <c r="C8" i="51" s="1"/>
  <c r="B5" i="51"/>
  <c r="E5" i="51" s="1"/>
  <c r="C15" i="51" l="1"/>
  <c r="C16" i="51"/>
  <c r="D6" i="51"/>
  <c r="F6" i="51" s="1"/>
  <c r="E6" i="51"/>
  <c r="B17" i="51"/>
  <c r="C17" i="51"/>
  <c r="B18" i="51"/>
  <c r="D5" i="51"/>
  <c r="C13" i="51"/>
  <c r="F5" i="51" l="1"/>
  <c r="D8" i="51"/>
  <c r="F8" i="5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3700-000001000000}">
      <text>
        <r>
          <rPr>
            <sz val="11"/>
            <color theme="1"/>
            <rFont val="Aptos Narrow"/>
            <family val="2"/>
            <charset val="1"/>
          </rPr>
          <t>shawn seffernick:
2026-03-09: Root cause was sequential chain dying on empty Postgres results. Fix: alwaysOutputData=true on all 3 PG nodes + simplified Respond expression. Now runs 32s successfully.</t>
        </r>
      </text>
    </comment>
    <comment ref="F4" authorId="0" shapeId="0" xr:uid="{00000000-0006-0000-3700-000002000000}">
      <text>
        <r>
          <rPr>
            <sz val="11"/>
            <color theme="1"/>
            <rFont val="Aptos Narrow"/>
            <family val="2"/>
            <charset val="1"/>
          </rPr>
          <t>shawn seffernick:
2026-03-09: save-opp (kW8RLL4hbAuGV6qr) + saved-opps (9orS3FVOlInMes9r) both active. GET /gda-saved-opps returns 1 test opp. Frontend star UI already wired in OpportunityTrackerPage.</t>
        </r>
      </text>
    </comment>
    <comment ref="F5" authorId="0" shapeId="0" xr:uid="{00000000-0006-0000-3700-000003000000}">
      <text>
        <r>
          <rPr>
            <sz val="11"/>
            <color theme="1"/>
            <rFont val="Aptos Narrow"/>
            <family val="2"/>
            <charset val="1"/>
          </rPr>
          <t>shawn seffernick:
2026-03-09: predict-intel (FlfwRXW31NnEzzFb) active=true. Backend operational. Needs frontend Predictions section still.</t>
        </r>
      </text>
    </comment>
    <comment ref="F6" authorId="0" shapeId="0" xr:uid="{00000000-0006-0000-3700-000004000000}">
      <text>
        <r>
          <rPr>
            <sz val="11"/>
            <color theme="1"/>
            <rFont val="Aptos Narrow"/>
            <family val="2"/>
            <charset val="1"/>
          </rPr>
          <t>shawn seffernick:
2026-03-09: Action items (yzbfYwft9fcRyShT) active. fetchActionItems + createActionItem wired. Overdue badge still pending.</t>
        </r>
      </text>
    </comment>
    <comment ref="F7" authorId="0" shapeId="0" xr:uid="{00000000-0006-0000-3700-000005000000}">
      <text>
        <r>
          <rPr>
            <sz val="11"/>
            <color theme="1"/>
            <rFont val="Aptos Narrow"/>
            <family val="2"/>
            <charset val="1"/>
          </rPr>
          <t>shawn seffernick:
2026-03-09: ai-feedback (EeR3nC8l30Vdsu5b) active=true. Backend operational. Needs frontend accept/reject/modify buttons.</t>
        </r>
      </text>
    </comment>
    <comment ref="F8" authorId="0" shapeId="0" xr:uid="{00000000-0006-0000-3700-000006000000}">
      <text>
        <r>
          <rPr>
            <sz val="11"/>
            <color theme="1"/>
            <rFont val="Aptos Narrow"/>
            <family val="2"/>
            <charset val="1"/>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3700-000007000000}">
      <text>
        <r>
          <rPr>
            <sz val="11"/>
            <color theme="1"/>
            <rFont val="Aptos Narrow"/>
            <family val="2"/>
            <charset val="1"/>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3700-000008000000}">
      <text>
        <r>
          <rPr>
            <sz val="11"/>
            <color theme="1"/>
            <rFont val="Aptos Narrow"/>
            <family val="2"/>
            <charset val="1"/>
          </rPr>
          <t>shawn seffernick:
2026-03-09: Verified patcher webhook (81fmjwHbVCUgzmem) is active=true. Test call returned App.jsx in 386ms. Permanently active.</t>
        </r>
      </text>
    </comment>
    <comment ref="F11" authorId="0" shapeId="0" xr:uid="{00000000-0006-0000-3700-000009000000}">
      <text>
        <r>
          <rPr>
            <sz val="11"/>
            <color theme="1"/>
            <rFont val="Aptos Narrow"/>
            <family val="2"/>
            <charset val="1"/>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3700-00000A000000}">
      <text>
        <r>
          <rPr>
            <sz val="11"/>
            <color theme="1"/>
            <rFont val="Aptos Narrow"/>
            <family val="2"/>
            <charset val="1"/>
          </rPr>
          <t>shawn seffernick:
2026-03-09: data-learn (Fn02pKArk2YcyQp5) active=true. trackEvent() wired to OODA+SAM. Needs more page coverage.</t>
        </r>
      </text>
    </comment>
    <comment ref="F15" authorId="0" shapeId="0" xr:uid="{00000000-0006-0000-3700-00000B000000}">
      <text>
        <r>
          <rPr>
            <sz val="11"/>
            <color theme="1"/>
            <rFont val="Aptos Narrow"/>
            <family val="2"/>
            <charset val="1"/>
          </rPr>
          <t>shawn seffernick:
2026-03-09: proactive-scan (wOQOmSX0fQ475nB3) active=true. Daily 6AM cron + manual webhook. Predictions UI optional.</t>
        </r>
      </text>
    </comment>
    <comment ref="F20" authorId="0" shapeId="0" xr:uid="{00000000-0006-0000-3700-00000C000000}">
      <text>
        <r>
          <rPr>
            <sz val="11"/>
            <color theme="1"/>
            <rFont val="Aptos Narrow"/>
            <family val="2"/>
            <charset val="1"/>
          </rPr>
          <t>shawn seffernick:
Seed data _isSeedData flag (4a60b969) + DEMO DATA warning banner (c409e9fd). Yellow banner with ⚠️ icon shows when fallback data is active. Banner text: 'DEMO DATA — Live API returned no data.'</t>
        </r>
      </text>
    </comment>
    <comment ref="F24" authorId="0" shapeId="0" xr:uid="{00000000-0006-0000-3700-00000D000000}">
      <text>
        <r>
          <rPr>
            <sz val="11"/>
            <color theme="1"/>
            <rFont val="Aptos Narrow"/>
            <family val="2"/>
            <charset val="1"/>
          </rPr>
          <t>shawn seffernick:
System status indicators moved to sidebar (fbf83fb2). SYSTEM_CHECKS bubbles now render in sidebar with compact dot+label format. Sidebar accepts sysStatuses prop.</t>
        </r>
      </text>
    </comment>
    <comment ref="F25" authorId="0" shapeId="0" xr:uid="{00000000-0006-0000-3700-00000E000000}">
      <text>
        <r>
          <rPr>
            <sz val="11"/>
            <color theme="1"/>
            <rFont val="Aptos Narrow"/>
            <family val="2"/>
            <charset val="1"/>
          </rPr>
          <t>shawn seffernick:
Two-column module status grid on Launchpad (54adcda2). Clickable tiles show status dot + READY/POLLING/ERROR/WIP. Each tile navigates to module on click.</t>
        </r>
      </text>
    </comment>
    <comment ref="F26" authorId="0" shapeId="0" xr:uid="{00000000-0006-0000-3700-00000F000000}">
      <text>
        <r>
          <rPr>
            <sz val="11"/>
            <color theme="1"/>
            <rFont val="Aptos Narrow"/>
            <family val="2"/>
            <charset val="1"/>
          </rPr>
          <t>shawn seffernick:
Budget columns integrated via Top 5 Target Agencies table — already shows FY26 BUDGET + GDA ADDRESSABLE columns. Data pulled from Postgres via /gda-target-agencies.</t>
        </r>
      </text>
    </comment>
    <comment ref="F27" authorId="0" shapeId="0" xr:uid="{00000000-0006-0000-3700-000010000000}">
      <text>
        <r>
          <rPr>
            <sz val="11"/>
            <color theme="1"/>
            <rFont val="Aptos Narrow"/>
            <family val="2"/>
            <charset val="1"/>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3800-000001000000}">
      <text>
        <r>
          <rPr>
            <sz val="11"/>
            <color theme="1"/>
            <rFont val="Aptos Narrow"/>
            <family val="2"/>
            <charset val="1"/>
          </rPr>
          <t>shawn seffernick:
Document upload UI added to DocChat page (11a92868). Supports PDF, DOCX, TXT, CSV, XLSX. Uploads to gda-ai-agent-upload webhook. File indexed into Pinecone for RAG queries.</t>
        </r>
      </text>
    </comment>
    <comment ref="E2" authorId="0" shapeId="0" xr:uid="{00000000-0006-0000-3800-000002000000}">
      <text>
        <r>
          <rPr>
            <sz val="11"/>
            <color theme="1"/>
            <rFont val="Aptos Narrow"/>
            <family val="2"/>
            <charset val="1"/>
          </rPr>
          <t>shawn seffernick:
Frontend Auth Header Integration complete. All API calls now include x-gda-auth: gda-api-2026-secure</t>
        </r>
      </text>
    </comment>
    <comment ref="C3" authorId="0" shapeId="0" xr:uid="{00000000-0006-0000-3800-000003000000}">
      <text>
        <r>
          <rPr>
            <sz val="11"/>
            <color theme="1"/>
            <rFont val="Aptos Narrow"/>
            <family val="2"/>
            <charset val="1"/>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3800-000004000000}">
      <text>
        <r>
          <rPr>
            <sz val="11"/>
            <color theme="1"/>
            <rFont val="Aptos Narrow"/>
            <family val="2"/>
            <charset val="1"/>
          </rPr>
          <t>shawn seffernick:
Help button added to header (75d02166). Links to claude.ai. Orange accent, matches GDA style.</t>
        </r>
      </text>
    </comment>
    <comment ref="C5" authorId="0" shapeId="0" xr:uid="{00000000-0006-0000-3800-000005000000}">
      <text>
        <r>
          <rPr>
            <sz val="11"/>
            <color theme="1"/>
            <rFont val="Aptos Narrow"/>
            <family val="2"/>
            <charset val="1"/>
          </rPr>
          <t>shawn seffernick:
BL-005 was already done - navigation restructure complete.</t>
        </r>
      </text>
    </comment>
    <comment ref="C7" authorId="0" shapeId="0" xr:uid="{00000000-0006-0000-3800-000006000000}">
      <text>
        <r>
          <rPr>
            <sz val="11"/>
            <color theme="1"/>
            <rFont val="Aptos Narrow"/>
            <family val="2"/>
            <charset val="1"/>
          </rPr>
          <t>shawn seffernick:
2026-03-09: 6 workflows archived, 3 duplicate groups flagged. Active count reduced from 51 to 45.</t>
        </r>
      </text>
    </comment>
    <comment ref="C8" authorId="0" shapeId="0" xr:uid="{00000000-0006-0000-3800-000007000000}">
      <text>
        <r>
          <rPr>
            <sz val="11"/>
            <color theme="1"/>
            <rFont val="Aptos Narrow"/>
            <family val="2"/>
            <charset val="1"/>
          </rPr>
          <t>Vite chunk splitting configured (b56f9e57). React+ReactDOM in vendor-react chunk. Recharts in vendor-charts chunk. Warning limit raised to 800kB. Reduces main bundle size.</t>
        </r>
      </text>
    </comment>
    <comment ref="C9" authorId="0" shapeId="0" xr:uid="{00000000-0006-0000-3800-000008000000}">
      <text>
        <r>
          <rPr>
            <sz val="11"/>
            <color theme="1"/>
            <rFont val="Aptos Narrow"/>
            <family val="2"/>
            <charset val="1"/>
          </rPr>
          <t>Timestamps deployed to SitrepPage (f8301ff0), CompIntelPage (8da8a1b2), DocChatPage+OppTracker (8bf13901). PageHeader enhanced with lastUpdated prop (2fece453).</t>
        </r>
      </text>
    </comment>
    <comment ref="C10" authorId="0" shapeId="0" xr:uid="{00000000-0006-0000-3800-000009000000}">
      <text>
        <r>
          <rPr>
            <sz val="11"/>
            <color theme="1"/>
            <rFont val="Aptos Narrow"/>
            <family val="2"/>
            <charset val="1"/>
          </rPr>
          <t>shawn seffernick:
ExternalAPIs stubs deployed (b9cb1cf8). SAM.gov v2, USASpending spending_by_award + autocomplete. Uses public endpoints. Full integration when API keys provided.</t>
        </r>
      </text>
    </comment>
    <comment ref="C11" authorId="0" shapeId="0" xr:uid="{00000000-0006-0000-3800-00000A000000}">
      <text>
        <r>
          <rPr>
            <sz val="11"/>
            <color theme="1"/>
            <rFont val="Aptos Narrow"/>
            <family val="2"/>
            <charset val="1"/>
          </rPr>
          <t>shawn seffernick:
USASpending spending_by_award API integrated in ExternalAPIs module (b9cb1cf8). Queries federal awards by keyword.</t>
        </r>
      </text>
    </comment>
    <comment ref="C12" authorId="0" shapeId="0" xr:uid="{00000000-0006-0000-3800-00000B000000}">
      <text>
        <r>
          <rPr>
            <sz val="11"/>
            <color theme="1"/>
            <rFont val="Aptos Narrow"/>
            <family val="2"/>
            <charset val="1"/>
          </rPr>
          <t>DLA DIBBS integration stub deployed (2f7ead89). ExternalAPIs.searchDIBBS routes through n8n gda-dibbs-search proxy workflow. DIBBS has no REST API — n8n workflow scrapes public RFQ pages at dibbs.bsm.dla.mil.</t>
        </r>
      </text>
    </comment>
    <comment ref="C13" authorId="0" shapeId="0" xr:uid="{00000000-0006-0000-3800-00000C000000}">
      <text>
        <r>
          <rPr>
            <sz val="11"/>
            <color theme="1"/>
            <rFont val="Aptos Narrow"/>
            <family val="2"/>
            <charset val="1"/>
          </rPr>
          <t>shawn seffernick:
SAM Entity API integrated via ExternalAPIs.searchSAM (b9cb1cf8). Uses api.sam.gov/opportunities/v2. Full entity search when API key configured.</t>
        </r>
      </text>
    </comment>
    <comment ref="C14" authorId="0" shapeId="0" xr:uid="{00000000-0006-0000-3800-00000D000000}">
      <text>
        <r>
          <rPr>
            <sz val="11"/>
            <color theme="1"/>
            <rFont val="Aptos Narrow"/>
            <family val="2"/>
            <charset val="1"/>
          </rPr>
          <t>shawn seffernick:
Verified: Word Doc Standard workflow not needed — doc-ingest handles Word files.</t>
        </r>
      </text>
    </comment>
    <comment ref="C15" authorId="0" shapeId="0" xr:uid="{00000000-0006-0000-3800-00000E000000}">
      <text>
        <r>
          <rPr>
            <sz val="11"/>
            <color theme="1"/>
            <rFont val="Aptos Narrow"/>
            <family val="2"/>
            <charset val="1"/>
          </rPr>
          <t>SourceTag wired into SITREP BLUF (00fc33b1) + CompIntel Executive Summary (8459627e). RFP Red Team pattern didn't match — needs manual fix. 2/3 major sections done.</t>
        </r>
      </text>
    </comment>
    <comment ref="C16" authorId="0" shapeId="0" xr:uid="{00000000-0006-0000-3800-00000F000000}">
      <text>
        <r>
          <rPr>
            <sz val="11"/>
            <color theme="1"/>
            <rFont val="Aptos Narrow"/>
            <family val="2"/>
            <charset val="1"/>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3800-000010000000}">
      <text>
        <r>
          <rPr>
            <sz val="11"/>
            <color theme="1"/>
            <rFont val="Aptos Narrow"/>
            <family val="2"/>
            <charset val="1"/>
          </rPr>
          <t>Backend: discussions API (FMYsT157mKuqn06v) active. Frontend: AI Agent page now has 📋 HISTORY / 💾 SAVE / 🔄 NEW buttons (c8aa8b82/15f8002f). Click history items to reload past conversations.</t>
        </r>
      </text>
    </comment>
    <comment ref="C19" authorId="0" shapeId="0" xr:uid="{00000000-0006-0000-3800-000011000000}">
      <text>
        <r>
          <rPr>
            <sz val="11"/>
            <color theme="1"/>
            <rFont val="Aptos Narrow"/>
            <family val="2"/>
            <charset val="1"/>
          </rPr>
          <t>shawn seffernick:
System status indicators in sidebar (fbf83fb2). SYSTEM_CHECKS compact dots with label.</t>
        </r>
      </text>
    </comment>
    <comment ref="C20" authorId="0" shapeId="0" xr:uid="{00000000-0006-0000-3800-000012000000}">
      <text>
        <r>
          <rPr>
            <sz val="11"/>
            <color theme="1"/>
            <rFont val="Aptos Narrow"/>
            <family val="2"/>
            <charset val="1"/>
          </rPr>
          <t>shawn seffernick:
Two-column module grid on Launchpad (54adcda2). Clickable tiles per module.</t>
        </r>
      </text>
    </comment>
    <comment ref="C21" authorId="0" shapeId="0" xr:uid="{00000000-0006-0000-3800-000013000000}">
      <text>
        <r>
          <rPr>
            <sz val="11"/>
            <color theme="1"/>
            <rFont val="Aptos Narrow"/>
            <family val="2"/>
            <charset val="1"/>
          </rPr>
          <t>shawn seffernick:
Budget already in Top 5 Target Agencies table — FY26 BUDGET + GDA ADDRESSABLE columns. From Postgres.</t>
        </r>
      </text>
    </comment>
    <comment ref="C22" authorId="0" shapeId="0" xr:uid="{00000000-0006-0000-3800-000014000000}">
      <text>
        <r>
          <rPr>
            <sz val="11"/>
            <color theme="1"/>
            <rFont val="Aptos Narrow"/>
            <family val="2"/>
            <charset val="1"/>
          </rPr>
          <t>shawn seffernick:
SubComponentBlock AVG + % of parent (fdd3f640/9e24e523).</t>
        </r>
      </text>
    </comment>
    <comment ref="C24" authorId="0" shapeId="0" xr:uid="{00000000-0006-0000-3800-000015000000}">
      <text>
        <r>
          <rPr>
            <sz val="11"/>
            <color theme="1"/>
            <rFont val="Aptos Narrow"/>
            <family val="2"/>
            <charset val="1"/>
          </rPr>
          <t>shawn seffernick:
OpportunityCharts stacked bar + pie chart deployed (9863d08e). Programs by dept &amp; urgency + primary fit distribution. Uses Recharts.</t>
        </r>
      </text>
    </comment>
    <comment ref="C25" authorId="0" shapeId="0" xr:uid="{00000000-0006-0000-3800-000016000000}">
      <text>
        <r>
          <rPr>
            <sz val="11"/>
            <color theme="1"/>
            <rFont val="Aptos Narrow"/>
            <family val="2"/>
            <charset val="1"/>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3800-000017000000}">
      <text>
        <r>
          <rPr>
            <sz val="11"/>
            <color theme="1"/>
            <rFont val="Aptos Narrow"/>
            <family val="2"/>
            <charset val="1"/>
          </rPr>
          <t>shawn seffernick:
RiskMatrix component built (afb6d610) + mounted in OppTracker (14ede700). 5x5 grid with color gradient, risk register sidebar. Maps live program data to likelihood×impact.</t>
        </r>
      </text>
    </comment>
    <comment ref="C27" authorId="0" shapeId="0" xr:uid="{00000000-0006-0000-3800-000018000000}">
      <text>
        <r>
          <rPr>
            <sz val="11"/>
            <color theme="1"/>
            <rFont val="Aptos Narrow"/>
            <family val="2"/>
            <charset val="1"/>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<sst xmlns="http://schemas.openxmlformats.org/spreadsheetml/2006/main" count="13215" uniqueCount="8118">
  <si>
    <t>S-103 SESSION OUTPUT — March 25, 2026</t>
  </si>
  <si>
    <t>Session Type</t>
  </si>
  <si>
    <t>Web MCP + Claude Code (CC)</t>
  </si>
  <si>
    <t>Duration</t>
  </si>
  <si>
    <t>~8 hours</t>
  </si>
  <si>
    <t>CC Deploys</t>
  </si>
  <si>
    <t>5 (AOP build, contract data, rename, color fix, polish)</t>
  </si>
  <si>
    <t>MCP Fixes</t>
  </si>
  <si>
    <t>6 (definitions wf, black-hat deactivate, teaming DDL, incumbent fix, SHIELD scan, MAPS find)</t>
  </si>
  <si>
    <t>Deploy Method</t>
  </si>
  <si>
    <t>Local Vite build → SCP dist to VPS → docker restart (avoids server OOM)</t>
  </si>
  <si>
    <t>COMPLETED</t>
  </si>
  <si>
    <t>#</t>
  </si>
  <si>
    <t>Item</t>
  </si>
  <si>
    <t>Status</t>
  </si>
  <si>
    <t>1</t>
  </si>
  <si>
    <t>Contract Portfolio page built → rebuilt as Contract Waterfall (stacked bar FY25-FY29, revenue table, detail cards)</t>
  </si>
  <si>
    <t>DONE</t>
  </si>
  <si>
    <t>2</t>
  </si>
  <si>
    <t>Financial Bible 4-tab toggle: Contract Waterfall | AOP Execution | AOP Capture | Definitions</t>
  </si>
  <si>
    <t>3</t>
  </si>
  <si>
    <t>5 real GovTribe contracts: IEW&amp;S $26.9M, STEP $92.4M, PM MC $30.5M, C5ISR $65.6M, DEVCOM $20.3M</t>
  </si>
  <si>
    <t>4</t>
  </si>
  <si>
    <t>10 KPI boxes (2x5): AOP Target, YTD Actuals, Planned Exec, Gap$, Gap%, R&amp;O$, R&amp;O%, Revised Est, Revised Gap$, Revised Gap%</t>
  </si>
  <si>
    <t>5</t>
  </si>
  <si>
    <t>Quarterly Detail: Q/Target/Plan/Actual/Plan vs Actual $/% Over-Under, green/red, gear editor</t>
  </si>
  <si>
    <t>6</t>
  </si>
  <si>
    <t>Execution Table 12 cols: Client/Scope/Ceiling/Funded/Planned/Revised Est (arrow $5M→$7M)/Actual/Burn+−/Burn%/R&amp;O dropdown/R&amp;O$/Notes</t>
  </si>
  <si>
    <t>7</t>
  </si>
  <si>
    <t>Pwin column DELETED from execution table</t>
  </si>
  <si>
    <t>8</t>
  </si>
  <si>
    <t>R&amp;O dropdown logic: Risk subtracts, Opportunity adds, cascades to all KPIs in real-time</t>
  </si>
  <si>
    <t>9</t>
  </si>
  <si>
    <t>Backlog section: 4 KPI boxes (Funded/Unfunded/Executed/Revised) + central bar chart</t>
  </si>
  <si>
    <t>10</t>
  </si>
  <si>
    <t>Definitions tab: 81 terms, 15 sources, 7 collapsible categories from AOP Definitions DoW doc</t>
  </si>
  <si>
    <t>11</t>
  </si>
  <si>
    <t>FY26 gap visible: $18.3M existing vs $42.8M target = -$24.5M (red)</t>
  </si>
  <si>
    <t>12</t>
  </si>
  <si>
    <t>AOP Tracker renamed to Financial Bible (sidebar icon FB)</t>
  </si>
  <si>
    <t>13</t>
  </si>
  <si>
    <t>Contract Portfolio removed from sidebar (moved into Financial Bible toggle)</t>
  </si>
  <si>
    <t>14</t>
  </si>
  <si>
    <t>Black Hat Review removed from sidebar (merged under RFP Red Team)</t>
  </si>
  <si>
    <t>15</t>
  </si>
  <si>
    <t>Light theme palette swap: all dark navy backgrounds → white/light gray across all 4 tabs</t>
  </si>
  <si>
    <t>16</t>
  </si>
  <si>
    <t>Min font 11px: 42 instances of 9px/10px bumped</t>
  </si>
  <si>
    <t>17</t>
  </si>
  <si>
    <t>Status badges fixed 80px width, centered</t>
  </si>
  <si>
    <t>18</t>
  </si>
  <si>
    <t>Dollar formatting $X.XM in waterfall table with +$/-$ on gap row</t>
  </si>
  <si>
    <t>19</t>
  </si>
  <si>
    <t>KPI active-path visual system (plan vs revised highlighting with solid/fade)</t>
  </si>
  <si>
    <t>20</t>
  </si>
  <si>
    <t>Contract detail card headers: status badge right-aligned with STATUS label</t>
  </si>
  <si>
    <t>21</t>
  </si>
  <si>
    <t>GDA.api.aop-definitions (PdWaOEGY2Ukzke9i) created + activated</t>
  </si>
  <si>
    <t>22</t>
  </si>
  <si>
    <t>GDA.api.black-hat (lexPGeKyyYcD1lv6) DEACTIVATED</t>
  </si>
  <si>
    <t>23</t>
  </si>
  <si>
    <t>Teaming Finder DDL fixed: company_name column mismatch resolved</t>
  </si>
  <si>
    <t>24</t>
  </si>
  <si>
    <t>Incumbent Analysis fixed: undefined field ref → parameterized query</t>
  </si>
  <si>
    <t>25</t>
  </si>
  <si>
    <t>Wargame backend confirmed clean: 0 executions, frontend not calling it</t>
  </si>
  <si>
    <t>26</t>
  </si>
  <si>
    <t>SHIELD intel: 2005 activation TOs ($500 each), zero real-dollar TOs</t>
  </si>
  <si>
    <t>INTEL</t>
  </si>
  <si>
    <t>27</t>
  </si>
  <si>
    <t>MAPS solicitation found: PANAPG24P0000006913, posted Mar 20, Intent to Bundle</t>
  </si>
  <si>
    <t>PENDING — NEXT SESSION (S-104)</t>
  </si>
  <si>
    <t>P-1</t>
  </si>
  <si>
    <t>AOP Capture walkthrough with Shawn</t>
  </si>
  <si>
    <t>PENDING</t>
  </si>
  <si>
    <t>P-2</t>
  </si>
  <si>
    <t>Contract Waterfall walkthrough with Shawn</t>
  </si>
  <si>
    <t>P-3</t>
  </si>
  <si>
    <t>37 AOP scenarios to build</t>
  </si>
  <si>
    <t>P-4</t>
  </si>
  <si>
    <t>Option year tracking per contract</t>
  </si>
  <si>
    <t>P-5</t>
  </si>
  <si>
    <t>Wire wargame frontend to /gda-wargame endpoint</t>
  </si>
  <si>
    <t>P-6</t>
  </si>
  <si>
    <t>DROP + recreate gda_teaming_partners table</t>
  </si>
  <si>
    <t>P-7</t>
  </si>
  <si>
    <t>Create MAPS saved search for daily monitoring</t>
  </si>
  <si>
    <t>P-8</t>
  </si>
  <si>
    <t>Confirm FY25-FY29 revenue estimates per contract</t>
  </si>
  <si>
    <t>S-102c SESSION OUTPUT — March 25, 2026 (Evening)</t>
  </si>
  <si>
    <t>AOP Tracker 2-Tab Build</t>
  </si>
  <si>
    <t>Execution + Capture toggle deployed via CC. Full dark theme.</t>
  </si>
  <si>
    <t>AOP Execution Tab</t>
  </si>
  <si>
    <t>FY/CY toggle (FY26/27/28 + CY26/27/28), month dropdown, 5 centered KPIs, quarterly detail with gear editor, revenue vs target chart, single combined card</t>
  </si>
  <si>
    <t>AOP Capture Tab</t>
  </si>
  <si>
    <t>4 Shipley boxes (5x/3x/1.5-2x/&gt;=1x), wins/losses, pipeline progress bars, 6 stage tables with stage/pwin dropdowns, $34.03M pipeline FY26</t>
  </si>
  <si>
    <t>Contract Waterfall Tab (NEW)</t>
  </si>
  <si>
    <t>Stacked bar chart FY25-FY29, revenue table (7 contracts + TOTAL/AOP TARGET/GAP rows), expandable detail cards, status filter (All/Active/Closing/Recompete)</t>
  </si>
  <si>
    <t>Postgres Tables Created</t>
  </si>
  <si>
    <t>gda_aop_execution, gda_aop_capture</t>
  </si>
  <si>
    <t>YoY Growth Corrected</t>
  </si>
  <si>
    <t>7% (was 12%). FY26: $42.8M, FY27: $45.8M, FY28: $49.0M</t>
  </si>
  <si>
    <t>CORRECTIONS</t>
  </si>
  <si>
    <t>YoY Growth</t>
  </si>
  <si>
    <t>7% not 12%. Memory updated.</t>
  </si>
  <si>
    <t>AOP Execution Layout</t>
  </si>
  <si>
    <t>ONE combined card (not two). Current Execution table moves to Contract Waterfall.</t>
  </si>
  <si>
    <t>Pwin Exec Removed</t>
  </si>
  <si>
    <t>Replaced with Execution Likelihood (client execution risk, not win probability)</t>
  </si>
  <si>
    <t>Contract Portfolio Renamed</t>
  </si>
  <si>
    <t>Now Contract Waterfall — revenue by contract flowing across FY years</t>
  </si>
  <si>
    <t>AOP DESIGN SPEC (from Shawn sketches)</t>
  </si>
  <si>
    <t>Shawn uploaded 6 wireframes</t>
  </si>
  <si>
    <t>Defined full AOP Execution + Capture layout. Toggle at top, FY/CY selector, month dropdown, collapsible sections.</t>
  </si>
  <si>
    <t>37 AOP SCENARIOS DOCUMENTED</t>
  </si>
  <si>
    <t>1. Monthly revenue recognition</t>
  </si>
  <si>
    <t>2. Contract burn rate tracking</t>
  </si>
  <si>
    <t>3. New contract onboarding</t>
  </si>
  <si>
    <t>4. Contract modification</t>
  </si>
  <si>
    <t>5. Contract closeout</t>
  </si>
  <si>
    <t>6. Recompete transition</t>
  </si>
  <si>
    <t>7. Quarterly forecast adjustment</t>
  </si>
  <si>
    <t>8. Revenue at risk</t>
  </si>
  <si>
    <t>9. Subcontractor pass-through</t>
  </si>
  <si>
    <t>10. Headcount vs revenue</t>
  </si>
  <si>
    <t>11. YTD variance drill-down</t>
  </si>
  <si>
    <t>12. FY-to-CY translation</t>
  </si>
  <si>
    <t>13. New opportunity identification</t>
  </si>
  <si>
    <t>14. Stage advancement</t>
  </si>
  <si>
    <t>15. Pwin adjustment</t>
  </si>
  <si>
    <t>16. Loss recording</t>
  </si>
  <si>
    <t>17. Win recording</t>
  </si>
  <si>
    <t>18. No-Go decision</t>
  </si>
  <si>
    <t>19. RFI/RFQ/Award date tracking</t>
  </si>
  <si>
    <t>20. Pipeline gap analysis</t>
  </si>
  <si>
    <t>21. Shipley coverage health</t>
  </si>
  <si>
    <t>22. Competitor intel per opp</t>
  </si>
  <si>
    <t>23. Teaming decision</t>
  </si>
  <si>
    <t>24. B&amp;P budget allocation</t>
  </si>
  <si>
    <t>25. Must-win flagging</t>
  </si>
  <si>
    <t>26. Recompete vs new biz split</t>
  </si>
  <si>
    <t>27. IDIQ vehicle eligibility</t>
  </si>
  <si>
    <t>28. Cross-OU opportunities</t>
  </si>
  <si>
    <t>29. Win to Execution handoff</t>
  </si>
  <si>
    <t>30. Execution informs Capture</t>
  </si>
  <si>
    <t>31. Annual planning cycle</t>
  </si>
  <si>
    <t>32. Board/investor reporting</t>
  </si>
  <si>
    <t>33. What-if modeling</t>
  </si>
  <si>
    <t>34. Growth gap calculation</t>
  </si>
  <si>
    <t>35. Monthly executive review</t>
  </si>
  <si>
    <t>36. Option year exercise risk</t>
  </si>
  <si>
    <t>37. Option year pricing</t>
  </si>
  <si>
    <t>DEPLOY NOTES</t>
  </si>
  <si>
    <t>Webhook pipeline limit</t>
  </si>
  <si>
    <t>Cannot handle &gt;22K payloads (base64 encoding limit). Must use CC for large deploys.</t>
  </si>
  <si>
    <t>CC deploy method</t>
  </si>
  <si>
    <t>tar+SSH approach. CC writes files directly on VPS, builds, copies dist, restarts container.</t>
  </si>
  <si>
    <t>CC login saved to memory</t>
  </si>
  <si>
    <t>PowerShell &gt; claude auth login &gt; OAuth &gt; approve &gt; claude. Daily struggle documented.</t>
  </si>
  <si>
    <t>GOVTRIBE CONTRACT DATA PULLED</t>
  </si>
  <si>
    <t>Contract</t>
  </si>
  <si>
    <t>Client / Vehicle / Ceiling / Obligated / Ends</t>
  </si>
  <si>
    <t>W56KGU23F0016</t>
  </si>
  <si>
    <t>C5ISR/RDECOM | RS3 | $92.4M ceiling | $54.5M obligated | Apr 2026</t>
  </si>
  <si>
    <t>W15P7T21F0209</t>
  </si>
  <si>
    <t>RDECOM | RS3 | $65.6M ceiling | $4.3M obligated | Jun 2026</t>
  </si>
  <si>
    <t>47QFMA23F0008</t>
  </si>
  <si>
    <t>PEO C3T | OASIS SB | $30.5M ceiling | $11.2M obligated | May 2028</t>
  </si>
  <si>
    <t>W56KGY22F0028</t>
  </si>
  <si>
    <t>PEO IEW&amp;S | RS3 | $26.9M ceiling | $25.3M obligated | Feb 2026</t>
  </si>
  <si>
    <t>W56JSR23F0038</t>
  </si>
  <si>
    <t>PEO IEW&amp;S | RS3 | $20.3M ceiling | $5.3M obligated | May 2028</t>
  </si>
  <si>
    <t>NEXT STEPS</t>
  </si>
  <si>
    <t>Walk through AOP Execution tab step-by-step with Shawn</t>
  </si>
  <si>
    <t>Walk through AOP Capture tab</t>
  </si>
  <si>
    <t>Walk through Contract Waterfall</t>
  </si>
  <si>
    <t>Replace fake CC contract data with real GovTribe contracts</t>
  </si>
  <si>
    <t>Connect Contract Waterfall → AOP Execution as data source</t>
  </si>
  <si>
    <t>Build out 37 AOP scenarios</t>
  </si>
  <si>
    <t>Add option year tracking per contract</t>
  </si>
  <si>
    <t>S-102 SESSION OUTPUT — March 24, 2026</t>
  </si>
  <si>
    <t>Web MCP + n8n MCP + Business Plan Review</t>
  </si>
  <si>
    <t>HEAD Commit</t>
  </si>
  <si>
    <t>dfe6c39</t>
  </si>
  <si>
    <t>Deploys</t>
  </si>
  <si>
    <t>8 successful</t>
  </si>
  <si>
    <t>Word Doc Version</t>
  </si>
  <si>
    <t>V3 Full Review (38 tracked changes, 8 comments)</t>
  </si>
  <si>
    <t>Category</t>
  </si>
  <si>
    <t>Detail</t>
  </si>
  <si>
    <t>ANALYSIS</t>
  </si>
  <si>
    <t>SBA Size Standard Determination</t>
  </si>
  <si>
    <t>GDA LARGE in all 8 revenue NAICS ($54.1M avg). SMALL in 3 employee NAICS (281 emp). RS3 SB recert risk flagged.</t>
  </si>
  <si>
    <t>Shipley Pipeline Coverage FY26-FY28</t>
  </si>
  <si>
    <t>5x=$224M (have $435M), 3x=$134M (have $200M), weighted=$177M (3.9x). $125M in 2 recompetes.</t>
  </si>
  <si>
    <t>OU3 Pipeline Tiering</t>
  </si>
  <si>
    <t>T1: IEW&amp;S+FORCE ($200M must-win). T2: C5ISR Eng+DEVCOM SEC+Leonard Wood. T3: STEP+RS3-25-0035. Drop: USSOCOM $125M.</t>
  </si>
  <si>
    <t>Revenue/Employee Data Locked</t>
  </si>
  <si>
    <t>FY21 $46.7M, FY22 $45.5M, FY23 $48.7M, FY24 $67.9M, FY25 $61.7M. PDS 178, Envision 80, Riverstone 20.</t>
  </si>
  <si>
    <t>BACKEND</t>
  </si>
  <si>
    <t>14 Trading Backends Deactivated</t>
  </si>
  <si>
    <t>evF3mrj3n3bdZtVp, NQmaj5nu4TBQxBgD, + 12 more. Trading fully removed.</t>
  </si>
  <si>
    <t>Capture Hub Aggregator</t>
  </si>
  <si>
    <t>kZT3jlZn4lKfuhwh. 7 nodes, fans to 7 Postgres tables, 395 records, 63 EVALUATE opps.</t>
  </si>
  <si>
    <t>Contacts/Vehicle/Wargame/Teaming CRUDs</t>
  </si>
  <si>
    <t>AuwOV685PipTOXWJ, O4aAvY3mHxxGGJ0P, 76V9lZ2CsmudoFEs, lWWNkWxgRIEHAwuP.</t>
  </si>
  <si>
    <t>FRONTEND</t>
  </si>
  <si>
    <t>ShipleyKPIBar Component</t>
  </si>
  <si>
    <t>5 KPI cards: AOP, Qualified Pipeline, Weighted, Must-Win Recompetes, New Biz Gap. Injected Launchpad + OppTracker.</t>
  </si>
  <si>
    <t>IdiqOnRamp Stub + Real Component</t>
  </si>
  <si>
    <t>Fixes OppTracker crash. dcb950c + 2b64b32.</t>
  </si>
  <si>
    <t>Email Drafter Fix + Trading Removal + 4 Capture Pages</t>
  </si>
  <si>
    <t>setHistory useState, sidebar cleanup, Teaming/Wargame/Incumbent/BlackHat pages.</t>
  </si>
  <si>
    <t>DOC</t>
  </si>
  <si>
    <t>Business Plan Section 2 (Enterprise)</t>
  </si>
  <si>
    <t>9 tracked changes: SWOT size confirmed, SHIELD added, Mentor-Protege urgent, 95% retention verify, MAPS anchor fixed.</t>
  </si>
  <si>
    <t>Business Plan Section 3 OU3 (Full)</t>
  </si>
  <si>
    <t>29 tracked changes. All tables filled. PD Systems content removed. Revenue/Pipeline/Risks all real data.</t>
  </si>
  <si>
    <t>Table of Tables Auto-Updating</t>
  </si>
  <si>
    <t>48 captions → SEQ Table fields. Manual listing → TOC \c field. Right-click Update Field to refresh.</t>
  </si>
  <si>
    <t>Doc Formatting Fixes</t>
  </si>
  <si>
    <t>Page numbers right-aligned (9026→10080). Grade cell white lines fixed. 5 bar chart graphics removed.</t>
  </si>
  <si>
    <t>PPTX Instructions (12 Slides)</t>
  </si>
  <si>
    <t>Surgical slide-by-slide instructions for Claude in PP. One message per slide.</t>
  </si>
  <si>
    <t>Size Standard Tracker Artifact</t>
  </si>
  <si>
    <t>React JSX. Real data pre-loaded. 4 tabs: Dashboard/Employees/Revenue/NAICS.</t>
  </si>
  <si>
    <t>DECISION</t>
  </si>
  <si>
    <t>Retool Migration CANCELLED</t>
  </si>
  <si>
    <t>React SPA at gda.csr-llc.tech is permanent. All UI via gda-deploy webhook.</t>
  </si>
  <si>
    <t>OU3 = Envision ONLY</t>
  </si>
  <si>
    <t>No PD Systems content in Section 3 OU3. Army Reserve/561210/Facilities = PDS.</t>
  </si>
  <si>
    <t>SHIELD = Golden Dome</t>
  </si>
  <si>
    <t>Same program. GDA holds position on IDIQ HQ085925RE001.</t>
  </si>
  <si>
    <t>12% YoY Growth Target</t>
  </si>
  <si>
    <t>$40M FY25 → $44.8M FY26 → $50.2M FY27 → $56.2M FY28. Enterprise: $100M.</t>
  </si>
  <si>
    <t>PENDING / NEXT</t>
  </si>
  <si>
    <t>URGENT</t>
  </si>
  <si>
    <t>RS3 Size Recertification Check</t>
  </si>
  <si>
    <t>13 CFR 121.404(g) long-term contract exception. Verify with KO before IEW&amp;S submission.</t>
  </si>
  <si>
    <t>Mentor-Protege/JV Formalization</t>
  </si>
  <si>
    <t>90-day deadline. GDA exceeds all revenue NAICS. Without JV, all SB prime eligibility lost.</t>
  </si>
  <si>
    <t>OPEN</t>
  </si>
  <si>
    <t>Color Team Review Backend Rebuild</t>
  </si>
  <si>
    <t>Distinct prompts per review type. Rename from RFP Red Team. Merge Black Hat + Incumbent Analysis.</t>
  </si>
  <si>
    <t>Wire Shipley Modules to Frontend</t>
  </si>
  <si>
    <t>Pwin Calculator, Capture Plan, Compliance Matrix, Relationship Tracker, Win/Loss DB.</t>
  </si>
  <si>
    <t>BL-101 IDIQ Deep-Dive</t>
  </si>
  <si>
    <t>Backend 4fhTge7p4iIEDza9 exists. Frontend is stub. Full IDIQ On-Ramp intelligence.</t>
  </si>
  <si>
    <t>BL-102 On-Ramp Detection</t>
  </si>
  <si>
    <t>Auto-monitor target IDIQs for Open Season announcements.</t>
  </si>
  <si>
    <t>Pull CPAR Ratings</t>
  </si>
  <si>
    <t>Needed for past performance tables in all 3 OUs.</t>
  </si>
  <si>
    <t>Pull KO/COR Names</t>
  </si>
  <si>
    <t>Needed for Account Deep Dive and Contract Portfolio tables.</t>
  </si>
  <si>
    <t>OU1/OU2 Section 3</t>
  </si>
  <si>
    <t>Tom Rogers and Derrick Elliot need to fill their OU sections.</t>
  </si>
  <si>
    <t>PPTX Slide Updates</t>
  </si>
  <si>
    <t>Give 12 messages to Claude in PP. One per slide.</t>
  </si>
  <si>
    <t>DEPLOY LOG</t>
  </si>
  <si>
    <t>Commit</t>
  </si>
  <si>
    <t>Description</t>
  </si>
  <si>
    <t>1439853</t>
  </si>
  <si>
    <t>Email Drafter setHistory fix</t>
  </si>
  <si>
    <t>dcb950c</t>
  </si>
  <si>
    <t>IdiqOnRamp stub</t>
  </si>
  <si>
    <t>2b64b32</t>
  </si>
  <si>
    <t>IdiqOnRamp real component</t>
  </si>
  <si>
    <t>c21487b</t>
  </si>
  <si>
    <t>4 capture module pages (Teaming/Wargame/Incumbent/BlackHat)</t>
  </si>
  <si>
    <t>85aa694</t>
  </si>
  <si>
    <t>Trading sidebar removal</t>
  </si>
  <si>
    <t>ShipleyKPIBar component + Launchpad injection</t>
  </si>
  <si>
    <t>dfe6c39+</t>
  </si>
  <si>
    <t>ShipleyKPIBar injected into OppTracker</t>
  </si>
  <si>
    <t>dfe6c39++</t>
  </si>
  <si>
    <t>ShipleyKPIBar.jsx component file created</t>
  </si>
  <si>
    <t>KEY NUMBERS (LOCKED)</t>
  </si>
  <si>
    <t>OU3 FY25 Actual</t>
  </si>
  <si>
    <t>$40.0M</t>
  </si>
  <si>
    <t>OU3 FY26 Target</t>
  </si>
  <si>
    <t>$44.8M (+12% YoY)</t>
  </si>
  <si>
    <t>OU3 FY27 Target</t>
  </si>
  <si>
    <t>$50.2M (+12% YoY)</t>
  </si>
  <si>
    <t>OU3 FY28 Target</t>
  </si>
  <si>
    <t>$56.2M (+12% YoY)</t>
  </si>
  <si>
    <t>Enterprise Target</t>
  </si>
  <si>
    <t>$100M</t>
  </si>
  <si>
    <t>GDA 5-Yr Avg Revenue</t>
  </si>
  <si>
    <t>$54.1M (LARGE in all revenue NAICS)</t>
  </si>
  <si>
    <t>GDA 12-Mo Avg Employees</t>
  </si>
  <si>
    <t>281 (SMALL in all employee NAICS)</t>
  </si>
  <si>
    <t>OU3 Raw Pipeline</t>
  </si>
  <si>
    <t>$670M</t>
  </si>
  <si>
    <t>OU3 Qualified Pipeline</t>
  </si>
  <si>
    <t>$435M</t>
  </si>
  <si>
    <t>OU3 Pwin-Weighted</t>
  </si>
  <si>
    <t>$177M (3.9x coverage)</t>
  </si>
  <si>
    <t>Shipley 5x Target (FY26)</t>
  </si>
  <si>
    <t>$224M (have $435M ✓)</t>
  </si>
  <si>
    <t>Shipley 3x Target (FY26)</t>
  </si>
  <si>
    <t>$134M (have $200M ✓)</t>
  </si>
  <si>
    <t>Must-Win Recompete Value</t>
  </si>
  <si>
    <t>$200M (IEW&amp;S $100M + FORCE $100M)</t>
  </si>
  <si>
    <t>New Biz Gap</t>
  </si>
  <si>
    <t>$5.4M/yr to close 12% YoY</t>
  </si>
  <si>
    <t>S-101 SESSION OUTPUT - March 23, 2026</t>
  </si>
  <si>
    <t>Web MCP + n8n MCP</t>
  </si>
  <si>
    <t>~4 hours</t>
  </si>
  <si>
    <t>16 successful</t>
  </si>
  <si>
    <t>HEAD</t>
  </si>
  <si>
    <t>6d7de85</t>
  </si>
  <si>
    <t>Lines</t>
  </si>
  <si>
    <t>~4200</t>
  </si>
  <si>
    <t>COMPLETED DEPLOYS (16)</t>
  </si>
  <si>
    <t>Deploy</t>
  </si>
  <si>
    <t>D1</t>
  </si>
  <si>
    <t>Remove Trading/28-Day + Rename AI Agent tab</t>
  </si>
  <si>
    <t>Nav + import + PAGES removed</t>
  </si>
  <si>
    <t>fadc0be</t>
  </si>
  <si>
    <t>D2</t>
  </si>
  <si>
    <t>Fix AI Agent + ChatWidget resp parsing</t>
  </si>
  <si>
    <t>gda-chat-&gt;v2 + resp.data-&gt;resp</t>
  </si>
  <si>
    <t>1cfe2f2</t>
  </si>
  <si>
    <t>D3</t>
  </si>
  <si>
    <t>Fix CompIntel React #310 crash</t>
  </si>
  <si>
    <t>useState in .map() removed</t>
  </si>
  <si>
    <t>d419985</t>
  </si>
  <si>
    <t>D4</t>
  </si>
  <si>
    <t>Color palette + burnt orange bullet CSS</t>
  </si>
  <si>
    <t>GDA_TEAL/GOLD/GREEN/BLUE + CSS marker</t>
  </si>
  <si>
    <t>396e3fa</t>
  </si>
  <si>
    <t>D5</t>
  </si>
  <si>
    <t>Remove Predictive Insights from OppTracker</t>
  </si>
  <si>
    <t>Entire IIFE section removed</t>
  </si>
  <si>
    <t>49ec92b</t>
  </si>
  <si>
    <t>D6</t>
  </si>
  <si>
    <t>Red Team review type state + chat fix</t>
  </si>
  <si>
    <t>6 types + review_type in payload</t>
  </si>
  <si>
    <t>a4f9fb2</t>
  </si>
  <si>
    <t>D7</t>
  </si>
  <si>
    <t>Red Team review type selector UI</t>
  </si>
  <si>
    <t>Blue/Pink/Red/Green/Gold/WhiteHat</t>
  </si>
  <si>
    <t>eec1168</t>
  </si>
  <si>
    <t>D8</t>
  </si>
  <si>
    <t>Global color unification to #D14A2A</t>
  </si>
  <si>
    <t>All source files updated</t>
  </si>
  <si>
    <t>c75240f</t>
  </si>
  <si>
    <t>D9</t>
  </si>
  <si>
    <t>OppTracker scoring = Launchpad</t>
  </si>
  <si>
    <t>Replaced EIS Fit with Tier 1/2/3</t>
  </si>
  <si>
    <t>b6fa281</t>
  </si>
  <si>
    <t>D10</t>
  </si>
  <si>
    <t>IDIQ merged into OppTracker bottom</t>
  </si>
  <si>
    <t>IdiqOnRamp embedded + nav removed</t>
  </si>
  <si>
    <t>b95880e</t>
  </si>
  <si>
    <t>D11</t>
  </si>
  <si>
    <t>NDAA ingest fixed</t>
  </si>
  <si>
    <t>Correct endpoint + file upload</t>
  </si>
  <si>
    <t>974d252</t>
  </si>
  <si>
    <t>D12</t>
  </si>
  <si>
    <t>Remove IDIQ nav from App.jsx</t>
  </si>
  <si>
    <t>Inline NAV_ITEMS entry removed</t>
  </si>
  <si>
    <t>646e6ea</t>
  </si>
  <si>
    <t>D13</t>
  </si>
  <si>
    <t>Platform Health clickable errors</t>
  </si>
  <si>
    <t>Expanded row with error detail</t>
  </si>
  <si>
    <t>a89f54f</t>
  </si>
  <si>
    <t>D14</t>
  </si>
  <si>
    <t>Opp titles clickable + CompIntel SRC</t>
  </si>
  <si>
    <t>Titles link to source_url</t>
  </si>
  <si>
    <t>607068a</t>
  </si>
  <si>
    <t>D15</t>
  </si>
  <si>
    <t>SITREP field mapping fixed</t>
  </si>
  <si>
    <t>Backend fields mapped correctly</t>
  </si>
  <si>
    <t>aa53136</t>
  </si>
  <si>
    <t>D16</t>
  </si>
  <si>
    <t>SITREP clickable source links</t>
  </si>
  <si>
    <t>News + signal source links</t>
  </si>
  <si>
    <t>BACKLOG ITEMS - FINAL STATUS</t>
  </si>
  <si>
    <t>Resolution</t>
  </si>
  <si>
    <t>Red Team review type dropdown</t>
  </si>
  <si>
    <t>6 color-coded review types</t>
  </si>
  <si>
    <t>Scoring consistency</t>
  </si>
  <si>
    <t>OppTracker = Launchpad Unified Model</t>
  </si>
  <si>
    <t>Rename AI Agent Chat</t>
  </si>
  <si>
    <t>Now AI Agent</t>
  </si>
  <si>
    <t>AI tool to update capture plans</t>
  </si>
  <si>
    <t>Needs new workflow</t>
  </si>
  <si>
    <t>BACKLOG</t>
  </si>
  <si>
    <t>CompIntel crash (#310)</t>
  </si>
  <si>
    <t>NDAA inject Error 500</t>
  </si>
  <si>
    <t>Wrong endpoint + no file. Both fixed.</t>
  </si>
  <si>
    <t>IDIQ &amp; NDAA on OppTracker</t>
  </si>
  <si>
    <t>Merged into bottom section</t>
  </si>
  <si>
    <t>Compliance Matrix</t>
  </si>
  <si>
    <t>Kept separate per decision</t>
  </si>
  <si>
    <t>Burnt orange bullets</t>
  </si>
  <si>
    <t>CSS marker rule + palette</t>
  </si>
  <si>
    <t>Depts with no requirements</t>
  </si>
  <si>
    <t>SAM cron updated. GovTribe needed.</t>
  </si>
  <si>
    <t>PARTIAL</t>
  </si>
  <si>
    <t>Color palette</t>
  </si>
  <si>
    <t>5-color palette applied globally</t>
  </si>
  <si>
    <t>Remove Trading/28-Day</t>
  </si>
  <si>
    <t>Fully removed</t>
  </si>
  <si>
    <t>Remove Predictive Insights</t>
  </si>
  <si>
    <t>Removed from OppTracker</t>
  </si>
  <si>
    <t>S1</t>
  </si>
  <si>
    <t>Clickable sources everywhere</t>
  </si>
  <si>
    <t>Opp titles + CompIntel + SITREP</t>
  </si>
  <si>
    <t>S2</t>
  </si>
  <si>
    <t>SITREP empty sections</t>
  </si>
  <si>
    <t>Field mapping fixed, sections populate</t>
  </si>
  <si>
    <t>S3</t>
  </si>
  <si>
    <t>Platform Health errors</t>
  </si>
  <si>
    <t>Click to expand error detail</t>
  </si>
  <si>
    <t>S4</t>
  </si>
  <si>
    <t>IDIQ nav removal</t>
  </si>
  <si>
    <t>Both nav files cleaned</t>
  </si>
  <si>
    <t>NEXT SESSION PRIORITIES</t>
  </si>
  <si>
    <t>Platform Guide rewrite</t>
  </si>
  <si>
    <t>User-facing help with KPI cards</t>
  </si>
  <si>
    <t>CompIntel charts</t>
  </si>
  <si>
    <t>Review workbook for expected layout</t>
  </si>
  <si>
    <t>Contract Portfolio</t>
  </si>
  <si>
    <t>Wire pipeline_status to SITREP</t>
  </si>
  <si>
    <t>Capture Plan AI tool</t>
  </si>
  <si>
    <t>New workflow with approve/reject</t>
  </si>
  <si>
    <t>Dept cron via GovTribe</t>
  </si>
  <si>
    <t>Replace SAM with GovTribe searches</t>
  </si>
  <si>
    <t>Remaining source links</t>
  </si>
  <si>
    <t>Acquisition news, intel feed</t>
  </si>
  <si>
    <t>KEY ROOT CAUSES FOUND</t>
  </si>
  <si>
    <t>ChatWidget bug</t>
  </si>
  <si>
    <t>api.post returns parsed JSON, not axios. resp.data was undefined.</t>
  </si>
  <si>
    <t>CompIntel #310</t>
  </si>
  <si>
    <t>useState called inside .map callback violates Rules of Hooks.</t>
  </si>
  <si>
    <t>SITREP empty</t>
  </si>
  <si>
    <t>Frontend expected wrong field names vs backend response.</t>
  </si>
  <si>
    <t>NDAA 500</t>
  </si>
  <si>
    <t>Wrong webhook path (gda-doc-ingest vs gda-ingest-direct) + no file payload.</t>
  </si>
  <si>
    <t>Scoring mismatch</t>
  </si>
  <si>
    <t>Launchpad: Tier 1/2/3, 80+=PURSUE. OppTracker had different formula+bands.</t>
  </si>
  <si>
    <t>Deploy Read 404</t>
  </si>
  <si>
    <t>Missing webhookId on Read Webhook node. Fixed.</t>
  </si>
  <si>
    <t>S-100 SESSION OUTPUT — March 23, 2026</t>
  </si>
  <si>
    <t>Web MCP + Claude in Chrome + n8n MCP</t>
  </si>
  <si>
    <t>~3 hours</t>
  </si>
  <si>
    <t>a856751</t>
  </si>
  <si>
    <t>5 (b79ea84, aa6d961, ffced77, c8799de, a856751)</t>
  </si>
  <si>
    <t>Active Workflows</t>
  </si>
  <si>
    <t>~103 (1 new)</t>
  </si>
  <si>
    <t>DECISIONS</t>
  </si>
  <si>
    <t>Retool migration attempted</t>
  </si>
  <si>
    <t>gdacommand.retool.com - Command Center page built with live KPIs from GDA Postgres. Header + 6 KPI cards working with real data (336 opps, $815.8M pipeline, 45 avg score). ABANDONED - Retool Assist cannot replicate the DoD department hierarchy and institutional knowledge baked into 100+ sessions of the React app.</t>
  </si>
  <si>
    <t>ABANDONED</t>
  </si>
  <si>
    <t>React SPA stays as primary</t>
  </si>
  <si>
    <t>gda.csr-llc.tech remains the GDA Command frontend. No migration. Backend stays at n8n.csr-llc.tech.</t>
  </si>
  <si>
    <t>CONFIRMED</t>
  </si>
  <si>
    <t>DELIVERABLES</t>
  </si>
  <si>
    <t># Frontend Changes</t>
  </si>
  <si>
    <t>Floating Chat Widget (ChatWidget)</t>
  </si>
  <si>
    <t>Bottom-right orange gradient bubble. Click to open 420x560 chat panel. Text input + Send button + +File upload button. Dark theme panel, scrollable message history. Renders on every page via &lt;ChatWidget /&gt; before &lt;/ErrorBoundary&gt;.</t>
  </si>
  <si>
    <t>DEPLOYED</t>
  </si>
  <si>
    <t>Chat endpoint fix (all pages)</t>
  </si>
  <si>
    <t>All /gda-chat references updated to /gda-chat-v2 via regex. Covers old AI Agent Chat page, OODA integration, Help tab, and floating widget. 3 instances without leading slash also caught.</t>
  </si>
  <si>
    <t>File upload button</t>
  </si>
  <si>
    <t>+File button added to chat widget input bar. Accepts .txt,.pdf,.doc,.docx,.csv,.json,.md. Sends file text to /gda-chat-v2 with rfp_text field for Red Team analysis.</t>
  </si>
  <si>
    <t># Backend Changes</t>
  </si>
  <si>
    <t>Workflow ID</t>
  </si>
  <si>
    <t>GDA.api.chat-simple (NEW)</t>
  </si>
  <si>
    <t>b8ldzYA5LNM9Gz00 — 5-node workflow: Webhook -&gt; Auth Guard -&gt; HTTP Request (Anthropic API direct) -&gt; Format Response -&gt; Respond. Bypasses broken langchain Anthropic Chat Model node. Uses $env.ANTHROPIC_API_KEY. Path: /gda-chat-v2. Returns {reply, response, output} for all frontend compat.</t>
  </si>
  <si>
    <t>ACTIVE</t>
  </si>
  <si>
    <t>ANTHROPIC_API_KEY in .env</t>
  </si>
  <si>
    <t>Added to ~/n8n-envision/.env AND docker-compose.yml environment section. Docker restarted to load.</t>
  </si>
  <si>
    <t>AI Agent webhook fix</t>
  </si>
  <si>
    <t>fTLSRPX48q6eUyPW — added webhookId (gda-ai-agent-wh-001), toggled off/on. Old endpoint /gda-chat still 500s due to broken Anthropic credential (d92MU0tRK7bEGV83). New /gda-chat-v2 bypasses this entirely.</t>
  </si>
  <si>
    <t>FIXED</t>
  </si>
  <si>
    <t># Retool Build (abandoned)</t>
  </si>
  <si>
    <t>Retool Command Center page</t>
  </si>
  <si>
    <t>KPI Dashboard Builder app. 6 queries (kpiActiveOpportunities, kpiOpportunityValue, kpiEvaluate60Plus, kpiAvgGdaScore, kpiActiveRisks, kpiDueIn14Days). Connected to GDA Postgres resource. Live data confirmed. Header with date + motto.</t>
  </si>
  <si>
    <t>ISSUES FOUND</t>
  </si>
  <si>
    <t>Old AI Agent Chat "No response"</t>
  </si>
  <si>
    <t>The existing AI Agent Chat page (line ~4040) has a parseReply() function that expects response field. New /gda-chat-v2 returns reply. Added response+output+reply to respond node but old page still shows "No response". Root cause: likely the old parseReply tries JSON.parse on already-parsed object, or resp.data structure mismatch.</t>
  </si>
  <si>
    <t>Anthropic credential broken</t>
  </si>
  <si>
    <t>n8n credential d92MU0tRK7bEGV83 ("Anthropic account") throws "Could not get parameter" even after Shawn created new key and pasted it. Langchain lmChatAnthropic node v1.3 cannot decrypt. BYPASSED via direct HTTP Request node in new workflow.</t>
  </si>
  <si>
    <t>BYPASSED</t>
  </si>
  <si>
    <t>KEY CONSTANTS (updated)</t>
  </si>
  <si>
    <t>Chat widget workflow</t>
  </si>
  <si>
    <t>b8ldzYA5LNM9Gz00 (GDA.api.chat-simple) — /gda-chat-v2</t>
  </si>
  <si>
    <t>Old AI Agent workflow</t>
  </si>
  <si>
    <t>fTLSRPX48q6eUyPW (GDA.api.ai-agent 2) — /gda-chat (BROKEN)</t>
  </si>
  <si>
    <t>ANTHROPIC_API_KEY</t>
  </si>
  <si>
    <t>In ~/n8n-envision/.env + docker-compose.yml. NOT in n8n credential store (broken).</t>
  </si>
  <si>
    <t>1. Fix old AI Chat page parseReply</t>
  </si>
  <si>
    <t>The existing AI Agent Chat component (around line 4040) needs its response parsing updated to handle {reply: "..."} from /gda-chat-v2.</t>
  </si>
  <si>
    <t>P0</t>
  </si>
  <si>
    <t>2. Chat widget response display</t>
  </si>
  <si>
    <t>Floating widget deployed + backend confirmed working. Need to verify end-to-end with Shawn.</t>
  </si>
  <si>
    <t>3. Master Build v35 + Gist + Platform Guide</t>
  </si>
  <si>
    <t>This update.</t>
  </si>
  <si>
    <t>IN PROGRESS</t>
  </si>
  <si>
    <t>S-097 SESSION OUTPUT — March 22, 2026</t>
  </si>
  <si>
    <t>~6 hours</t>
  </si>
  <si>
    <t>cf5ad50 (+ CompIntel pending)</t>
  </si>
  <si>
    <t>App.jsx</t>
  </si>
  <si>
    <t>4400+ lines + 23 component files</t>
  </si>
  <si>
    <t>90+ (4 deactivated)</t>
  </si>
  <si>
    <t># Bug Fixes (CC Part 1)</t>
  </si>
  <si>
    <t>Blank tabs — capture-plan Auth Check replaced</t>
  </si>
  <si>
    <t>OppTracker "0 of 0" — eis_fit_score refs updated to gda_score</t>
  </si>
  <si>
    <t>Predictive-intel — toggled workflow, fixed column names (trend_date-&gt;date)</t>
  </si>
  <si>
    <t>Tavily confirmed LIVE — billing raised, 8 articles returned</t>
  </si>
  <si>
    <t># Shipley Backends (Claude MCP)</t>
  </si>
  <si>
    <t>BL-043 Compliance Matrix</t>
  </si>
  <si>
    <t>Qa0p2I5Qqi2lPeRN</t>
  </si>
  <si>
    <t>BL-044 Relationship Tracker</t>
  </si>
  <si>
    <t>ck1NTtdvuqB7CQ81</t>
  </si>
  <si>
    <t>BL-045 Win/Loss Database</t>
  </si>
  <si>
    <t>SpU3znFHHABYNmb9</t>
  </si>
  <si>
    <t># Shipley Frontends (CC Parts 2-3)</t>
  </si>
  <si>
    <t>ComplianceMatrixPage</t>
  </si>
  <si>
    <t>15KB component</t>
  </si>
  <si>
    <t>DEPLOYED f8eb947</t>
  </si>
  <si>
    <t>RelationshipTrackerPage</t>
  </si>
  <si>
    <t>WinLossPage</t>
  </si>
  <si>
    <t>16KB component</t>
  </si>
  <si>
    <t>PlatformHealthPage</t>
  </si>
  <si>
    <t>E2E reports + Gemini analysis</t>
  </si>
  <si>
    <t>DEPLOYED e822792</t>
  </si>
  <si>
    <t># IDIQ System (Claude MCP)</t>
  </si>
  <si>
    <t>IDIQ Tracker API (CRUD)</t>
  </si>
  <si>
    <t>4fhTge7p4iIEDza9</t>
  </si>
  <si>
    <t>IDIQ TO Monitor (daily SAM scan)</t>
  </si>
  <si>
    <t>xKR1NtwUUu5xOC6g</t>
  </si>
  <si>
    <t>21 IDIQs seeded (7 held, 14 targeting)</t>
  </si>
  <si>
    <t>$489B total ceiling</t>
  </si>
  <si>
    <t>IDIQ Vehicle Panel on Opp Tracker</t>
  </si>
  <si>
    <t>CC Part 4</t>
  </si>
  <si>
    <t>DEPLOYED cf5ad50</t>
  </si>
  <si>
    <t># Opp Search Network (Claude MCP)</t>
  </si>
  <si>
    <t>Schedule</t>
  </si>
  <si>
    <t>Dept Opp Sweep (13 depts)</t>
  </si>
  <si>
    <t>JRnWGEH9cesb8f3w</t>
  </si>
  <si>
    <t>8AM UTC daily</t>
  </si>
  <si>
    <t>DPC Forecast Scraper</t>
  </si>
  <si>
    <t>PRwFP7725TJ8gkVy</t>
  </si>
  <si>
    <t>Mon 10AM ET</t>
  </si>
  <si>
    <t>DHS Industry Day Monitor</t>
  </si>
  <si>
    <t>j7Nj1zu5B6YEH9mO</t>
  </si>
  <si>
    <t>Mon/Thu 11AM ET</t>
  </si>
  <si>
    <t># Platform Health (Claude MCP)</t>
  </si>
  <si>
    <t>Gemini E2E cron FIXED</t>
  </si>
  <si>
    <t>Respond node blocked cron — added parallel path</t>
  </si>
  <si>
    <t>E2E Reports API</t>
  </si>
  <si>
    <t>PqJgzJkHM1BFWkwl</t>
  </si>
  <si>
    <t>34 endpoints in test suite</t>
  </si>
  <si>
    <t>Up from 28</t>
  </si>
  <si>
    <t># Key Discoveries</t>
  </si>
  <si>
    <t>webhookId FIX</t>
  </si>
  <si>
    <t>MCP-created workflows need webhookId on Webhook nodes</t>
  </si>
  <si>
    <t>DOCUMENTED</t>
  </si>
  <si>
    <t>Trade engine hands-off</t>
  </si>
  <si>
    <t>1G4gw4N7DFtVZKF7 + NQmaj5nu4TBQxBgD — Shawn owns</t>
  </si>
  <si>
    <t>4 redundant workflows deactivated</t>
  </si>
  <si>
    <t>broad-opp-pull, pre-sam-monitor, opp-daily, weekly-govtribe</t>
  </si>
  <si>
    <t># CompIntel 11Q Rebuild (CC Part 5)</t>
  </si>
  <si>
    <t>Watchlist cards with threat/size badges</t>
  </si>
  <si>
    <t>3-column grid, per-card Q&amp;A</t>
  </si>
  <si>
    <t>Deep Dive 11Q rendering (15 sections)</t>
  </si>
  <si>
    <t>Blue/green/amber/red/orange/purple borders</t>
  </si>
  <si>
    <t># Documentation Updates</t>
  </si>
  <si>
    <t>GDA Master Gist</t>
  </si>
  <si>
    <t>Auto-updated via webhook</t>
  </si>
  <si>
    <t>In-App Platform Guide (8 sections)</t>
  </si>
  <si>
    <t>CC Part 6</t>
  </si>
  <si>
    <t>Master Workbook v33</t>
  </si>
  <si>
    <t>This file</t>
  </si>
  <si>
    <t>BROKEN / PENDING</t>
  </si>
  <si>
    <t>Vulcan-SOF API</t>
  </si>
  <si>
    <t>Waiting on token from SOCOM platform</t>
  </si>
  <si>
    <t>PARKED</t>
  </si>
  <si>
    <t>Deploy stdout capture</t>
  </si>
  <si>
    <t>Sync Respond node breaks READ_ONLY output</t>
  </si>
  <si>
    <t>KNOWN</t>
  </si>
  <si>
    <t>Seed Relationship Tracker</t>
  </si>
  <si>
    <t>Need real EIS/GDA contacts</t>
  </si>
  <si>
    <t>Seed Win/Loss DB</t>
  </si>
  <si>
    <t>Need past bid decisions</t>
  </si>
  <si>
    <t>BL-103 Auto Capture Plans</t>
  </si>
  <si>
    <t>AI generates full Shipley capture plans for all opps. Shawn approves/changes/deletes. No blank sections.</t>
  </si>
  <si>
    <t>Vehicle</t>
  </si>
  <si>
    <t>Agency</t>
  </si>
  <si>
    <t>Ceiling</t>
  </si>
  <si>
    <t>GDA Position</t>
  </si>
  <si>
    <t>Type</t>
  </si>
  <si>
    <t>Set-Aside</t>
  </si>
  <si>
    <t>PoP End</t>
  </si>
  <si>
    <t>Notes</t>
  </si>
  <si>
    <t>MDA SHIELD</t>
  </si>
  <si>
    <t>Missile Defense Agency</t>
  </si>
  <si>
    <t>$151B</t>
  </si>
  <si>
    <t>HOLDER</t>
  </si>
  <si>
    <t>IDIQ</t>
  </si>
  <si>
    <t>Full &amp; Open</t>
  </si>
  <si>
    <t>Dec 2035</t>
  </si>
  <si>
    <t>ICPM delivered 3/19. 2440 awardees. Ordering phase ACTIVE.</t>
  </si>
  <si>
    <t>CIO-SP3 SB/8a (Dynamis Vision JV)</t>
  </si>
  <si>
    <t>NIH/NITAAC</t>
  </si>
  <si>
    <t>$40B</t>
  </si>
  <si>
    <t>GWAC</t>
  </si>
  <si>
    <t>8(a) + SB</t>
  </si>
  <si>
    <t>Apr 2027</t>
  </si>
  <si>
    <t>JV with Easy Dynamics. GDA majority partner.</t>
  </si>
  <si>
    <t>eFAST</t>
  </si>
  <si>
    <t>FAA</t>
  </si>
  <si>
    <t>$7.4B</t>
  </si>
  <si>
    <t>Small Business</t>
  </si>
  <si>
    <t>Wm Hughes Tech Center. SB + 8(a).</t>
  </si>
  <si>
    <t>OASIS+</t>
  </si>
  <si>
    <t>GSA</t>
  </si>
  <si>
    <t>TBD</t>
  </si>
  <si>
    <t>SB(5 FA) + Unrest(2 FA)</t>
  </si>
  <si>
    <t>100+ CLINs. Active TO Pool 3 PM Mission Command OY2.</t>
  </si>
  <si>
    <t>GSA MAS Schedule</t>
  </si>
  <si>
    <t>Multiple SINs</t>
  </si>
  <si>
    <t>IT and professional services.</t>
  </si>
  <si>
    <t>RS3</t>
  </si>
  <si>
    <t>ACC APG</t>
  </si>
  <si>
    <t>Mar 2028</t>
  </si>
  <si>
    <t>~2yr left. Recompeting as MAPS.</t>
  </si>
  <si>
    <t>PM TRAYSYS ECS</t>
  </si>
  <si>
    <t>USMC</t>
  </si>
  <si>
    <t>Mar 2032</t>
  </si>
  <si>
    <t>~6yr left. Had MTWS PDSS 3yr TO.</t>
  </si>
  <si>
    <t>Alliant 3 GWAC</t>
  </si>
  <si>
    <t>$82.8B</t>
  </si>
  <si>
    <t>TARGETING</t>
  </si>
  <si>
    <t>Unrestricted</t>
  </si>
  <si>
    <t>Phase 1 awards Feb 2026. 33 slots open.</t>
  </si>
  <si>
    <t>MAPS</t>
  </si>
  <si>
    <t>$50B</t>
  </si>
  <si>
    <t>Recompete of RS3. RFP Feb 2, 2026.</t>
  </si>
  <si>
    <t>8(a) STARS III</t>
  </si>
  <si>
    <t>8(a)</t>
  </si>
  <si>
    <t>8(a) IT GWAC.</t>
  </si>
  <si>
    <t>CIO-SP4</t>
  </si>
  <si>
    <t>NIH</t>
  </si>
  <si>
    <t>Unrest + SB</t>
  </si>
  <si>
    <t>Follow-on to CIO-SP3 JV.</t>
  </si>
  <si>
    <t>BNATCS</t>
  </si>
  <si>
    <t>$32.5B</t>
  </si>
  <si>
    <t>Peraton prime. Sub opps.</t>
  </si>
  <si>
    <t>ITES-3S</t>
  </si>
  <si>
    <t>Army</t>
  </si>
  <si>
    <t>$12.1B</t>
  </si>
  <si>
    <t>Army enterprise IT.</t>
  </si>
  <si>
    <t>AMAC</t>
  </si>
  <si>
    <t>AFRL</t>
  </si>
  <si>
    <t>$10B</t>
  </si>
  <si>
    <t>S&amp;T research MAC.</t>
  </si>
  <si>
    <t>VETS 2</t>
  </si>
  <si>
    <t>$5B</t>
  </si>
  <si>
    <t>SDVOSB</t>
  </si>
  <si>
    <t>Need SDVOSB partner.</t>
  </si>
  <si>
    <t>SOFGSD</t>
  </si>
  <si>
    <t>SOCOM</t>
  </si>
  <si>
    <t>$3.2B</t>
  </si>
  <si>
    <t>Award early 2026.</t>
  </si>
  <si>
    <t>SITEC III</t>
  </si>
  <si>
    <t>$2.8B</t>
  </si>
  <si>
    <t>Sub opps under Peraton.</t>
  </si>
  <si>
    <t>SETIS</t>
  </si>
  <si>
    <t>$2.3B</t>
  </si>
  <si>
    <t>LB + SB</t>
  </si>
  <si>
    <t>FAA systems engineering.</t>
  </si>
  <si>
    <t>SeaPort-NxG</t>
  </si>
  <si>
    <t>Navy</t>
  </si>
  <si>
    <t>Multiple</t>
  </si>
  <si>
    <t>Rolling on-ramp.</t>
  </si>
  <si>
    <t>ENCORE III</t>
  </si>
  <si>
    <t>DISA</t>
  </si>
  <si>
    <t>DISA enterprise IT.</t>
  </si>
  <si>
    <t>SEWP VI</t>
  </si>
  <si>
    <t>NASA</t>
  </si>
  <si>
    <t>Awaiting award.</t>
  </si>
  <si>
    <t>Security</t>
  </si>
  <si>
    <t>Auth key removed from client</t>
  </si>
  <si>
    <t>nginx proxy injects auth_key server-side. Zero auth keys in built JS.</t>
  </si>
  <si>
    <t>e400c40</t>
  </si>
  <si>
    <t>Nginx security headers</t>
  </si>
  <si>
    <t>X-Frame-Options SAMEORIGIN, X-Content-Type-Options nosniff, X-XSS-Protection, Referrer-Policy, Permissions-Policy</t>
  </si>
  <si>
    <t>Source maps disabled</t>
  </si>
  <si>
    <t>vite.config.js: sourcemap: false</t>
  </si>
  <si>
    <t>Session timeout 30min</t>
  </si>
  <si>
    <t>Lock screen with Resume button after 30min idle</t>
  </si>
  <si>
    <t>console.log stripped</t>
  </si>
  <si>
    <t>Zero console.log in production build</t>
  </si>
  <si>
    <t>sanitizeExport</t>
  </si>
  <si>
    <t>Strips cost/rate/margin/internal data from exports</t>
  </si>
  <si>
    <t>GDA Score</t>
  </si>
  <si>
    <t>Unified scoring model</t>
  </si>
  <si>
    <t>calculateGDAScore(opp) in gda.jsx — 3 tiers, 7 factors, 0-100</t>
  </si>
  <si>
    <t>584fdbe</t>
  </si>
  <si>
    <t>GDAScoreBadge component</t>
  </si>
  <si>
    <t>80+ PURSUE green, 60-79 EVALUATE orange, 40-59 MONITOR yellow, &lt;40 PASS gray</t>
  </si>
  <si>
    <t>Old scoring removed</t>
  </si>
  <si>
    <t>Zero refs to Fit Score, Pwin label, Composite Score</t>
  </si>
  <si>
    <t>Backend scoring nodes (3)</t>
  </si>
  <si>
    <t>Score Opportunities, Score GovTribe, Score SAM Cron — all use identical algorithm</t>
  </si>
  <si>
    <t>MCP</t>
  </si>
  <si>
    <t>Postgres columns</t>
  </si>
  <si>
    <t>gda_score INT, gda_label VARCHAR, incumbent_analysis TEXT, likely_competitors TEXT, eligible_vehicles TEXT</t>
  </si>
  <si>
    <t>33 opps scored + enriched</t>
  </si>
  <si>
    <t>4 PURSUE, 18 EVALUATE, 8 MONITOR, 3 PASS. All 33 auto-enriched with competitive intel.</t>
  </si>
  <si>
    <t>Platform Guide section</t>
  </si>
  <si>
    <t>3-column tier breakdown + decision badge legend between Getting Started and Module Guide</t>
  </si>
  <si>
    <t>022a70a</t>
  </si>
  <si>
    <t>CC Modular</t>
  </si>
  <si>
    <t>App.jsx 8922-&gt;4261 lines</t>
  </si>
  <si>
    <t>20 component files in src/components/pages/ + src/lib/gda.jsx shared lib</t>
  </si>
  <si>
    <t>S-094</t>
  </si>
  <si>
    <t>gda.jsx exports</t>
  </si>
  <si>
    <t>ACCENT, NAVY, api, gdaNav, formatDollar, gdaApiCall, SC, PTakeaway, FreshnessTag, sanitizeExport, GDAScoreBadge, calculateGDAScore</t>
  </si>
  <si>
    <t>Workflows</t>
  </si>
  <si>
    <t>GDA.sched.golden-dome-monitor</t>
  </si>
  <si>
    <t>bFF0oopmkhP6cnau — Golden Dome initiative tracking</t>
  </si>
  <si>
    <t>GDA.sched.dept-market-refresh</t>
  </si>
  <si>
    <t>AqWz367raGvlgIhp — Department market data refresh</t>
  </si>
  <si>
    <t>GDA.api.ndaa-far-ingest</t>
  </si>
  <si>
    <t>afjmc6tOjffkEC3k — NDAA/FAR document ingestion</t>
  </si>
  <si>
    <t>GDA.api.prompt-architect</t>
  </si>
  <si>
    <t>HyNQ5Ma2OLlCyJhv — AI prompt management</t>
  </si>
  <si>
    <t>GDA.api.govtribe-cache</t>
  </si>
  <si>
    <t>W8DukE5eD6GPgopq — 24h TTL cache for GovTribe results</t>
  </si>
  <si>
    <t>GDA.api.capture-intel-modules</t>
  </si>
  <si>
    <t>w3URDObLimmiHuUB — VoicedIQ module scaffolding</t>
  </si>
  <si>
    <t>GovTribe</t>
  </si>
  <si>
    <t>11 daily saved searches</t>
  </si>
  <si>
    <t>SOCOM Competitive, MDA SHIELD, MDA TOs, SOCOM SETA, Army TRADOC/INSCOM, DISA/INDOPACOM, SB All NAICS, FAA ATC, MDA SHIELD TOs, FAA IT TOs, Federal Forecasts</t>
  </si>
  <si>
    <t>MDA incumbent analysis</t>
  </si>
  <si>
    <t>Lockheed ($10B+), Northrop ($5.3B), JHU APL ($985M/76 awards), Boeing ($951M), Parsons ($739M)</t>
  </si>
  <si>
    <t>SOCOM incumbent analysis</t>
  </si>
  <si>
    <t>CACI NSS ($1.2B/859), Amentum ($1.8B), iGov ($771M/820), Blue TECH ($382M/490)</t>
  </si>
  <si>
    <t>Intel</t>
  </si>
  <si>
    <t>SHIELD $151B confirmed</t>
  </si>
  <si>
    <t>1,014 awardees, 2,043 IDVs, awarded Dec 29 2025, through Dec 28 2035. EIS is on vehicle. Zero TOs issued.</t>
  </si>
  <si>
    <t>Auto competitive enrichment</t>
  </si>
  <si>
    <t>Every opp 60+ gets incumbent_analysis, likely_competitors, eligible_vehicles automatically</t>
  </si>
  <si>
    <t>Frontend</t>
  </si>
  <si>
    <t>Launchpad Pwin distribution</t>
  </si>
  <si>
    <t>High/Med/Low count cards (now GDA Score Distribution)</t>
  </si>
  <si>
    <t>Launchpad dept pipeline bars</t>
  </si>
  <si>
    <t>Top 5 departments by pipeline value</t>
  </si>
  <si>
    <t>Help tab READ-ONLY</t>
  </si>
  <si>
    <t>Olive drab button, system prompt display</t>
  </si>
  <si>
    <t>Initiative cards AWARDED</t>
  </si>
  <si>
    <t>SHIELD: AWARDED TRACKING TOs. FAA: AWARDED SEEKING ENTRY.</t>
  </si>
  <si>
    <t>Backlog</t>
  </si>
  <si>
    <t>31-item audit BL-064 to BL-100</t>
  </si>
  <si>
    <t>~55 done, ~45 open across BL-001 to BL-100</t>
  </si>
  <si>
    <t>S-095</t>
  </si>
  <si>
    <t>S-093 QA AUDIT — March 20, 2026 (evening)</t>
  </si>
  <si>
    <t>Purpose</t>
  </si>
  <si>
    <t>Full platform QA + data integrity audit</t>
  </si>
  <si>
    <t>E2E</t>
  </si>
  <si>
    <t>27/28 (Comp Intel expected timeout)</t>
  </si>
  <si>
    <t>Data Integrity Scan</t>
  </si>
  <si>
    <t>91 findings → 0</t>
  </si>
  <si>
    <t>8,910</t>
  </si>
  <si>
    <t>DATA INTEGRITY FIXES</t>
  </si>
  <si>
    <t>A1: Pipeline→Opportunities (15 instances)</t>
  </si>
  <si>
    <t>CLEAN</t>
  </si>
  <si>
    <t>A2: CSR LLC→GDA (4 instances)</t>
  </si>
  <si>
    <t>A3: MDA SHIELD source comment added</t>
  </si>
  <si>
    <t>A4: window.__gda* → gdaNav module (12 refs)</t>
  </si>
  <si>
    <t>COMP INTEL FIXES</t>
  </si>
  <si>
    <t>B1: Watchlist rich cards (Help/Hurt, Deep Dive, overview)</t>
  </si>
  <si>
    <t>VERIFIED</t>
  </si>
  <si>
    <t>B2: Deep Dive "Data unavailable" styled fallback</t>
  </si>
  <si>
    <t>B3: AI Agent → Opus 4.6</t>
  </si>
  <si>
    <t>OTHER FIXES</t>
  </si>
  <si>
    <t>C1: SITREP sections field mapping expanded (16 alt names)</t>
  </si>
  <si>
    <t>D1: Burnt orange bullets global</t>
  </si>
  <si>
    <t>D2: Sections collapsed by default</t>
  </si>
  <si>
    <t>GovWin label: Pending→Connected</t>
  </si>
  <si>
    <t>KPI boxes: padding/font shrunk (60% smaller)</t>
  </si>
  <si>
    <t>NAICS: — → 16</t>
  </si>
  <si>
    <t>Opps: — → 33</t>
  </si>
  <si>
    <t>CC FEATURE VERIFICATION (E1-E8)</t>
  </si>
  <si>
    <t>E1: autoTrigger (OODA from Launchpad)</t>
  </si>
  <si>
    <t>PRESENT</t>
  </si>
  <si>
    <t>E2: Top Five Government Departments</t>
  </si>
  <si>
    <t>E3: No Source fallback</t>
  </si>
  <si>
    <t>E4: Shipley integration (12 matches)</t>
  </si>
  <si>
    <t>E5: TREND ANALYSIS section</t>
  </si>
  <si>
    <t>E6: Save to Opportunities</t>
  </si>
  <si>
    <t>E7: Capture Intel merged (Intelligence sub-tab)</t>
  </si>
  <si>
    <t>E8: Document Hub (Library/Generate sub-tabs)</t>
  </si>
  <si>
    <t>S-092 SESSION OUTPUT — March 20, 2026</t>
  </si>
  <si>
    <t>Web MCP + Claude Code (CC) + Claude Chat</t>
  </si>
  <si>
    <t>CC-deployed (multiple commits)</t>
  </si>
  <si>
    <t>App.jsx Lines</t>
  </si>
  <si>
    <t>~12,000+</t>
  </si>
  <si>
    <t>Total Changes</t>
  </si>
  <si>
    <t>118+ (93 CC + 25 chat)</t>
  </si>
  <si>
    <t>E2E Start</t>
  </si>
  <si>
    <t>0% (0/29)</t>
  </si>
  <si>
    <t>E2E End</t>
  </si>
  <si>
    <t>100% (28/28)</t>
  </si>
  <si>
    <t>80+ (23 modified, 4 new)</t>
  </si>
  <si>
    <t>E2E TEST RESULTS — 28/28 (100%)</t>
  </si>
  <si>
    <t>Daily SITREP</t>
  </si>
  <si>
    <t>PASS</t>
  </si>
  <si>
    <t>OppTracker</t>
  </si>
  <si>
    <t>Intel Feed</t>
  </si>
  <si>
    <t>Risk Register</t>
  </si>
  <si>
    <t>OODA Loop</t>
  </si>
  <si>
    <t>PASS (21s)</t>
  </si>
  <si>
    <t>Capture Plan</t>
  </si>
  <si>
    <t>Pwin Calculator</t>
  </si>
  <si>
    <t>Comp Intel</t>
  </si>
  <si>
    <t>PASS (52s)</t>
  </si>
  <si>
    <t>Competitor Watchlist</t>
  </si>
  <si>
    <t>Action Items</t>
  </si>
  <si>
    <t>Trends</t>
  </si>
  <si>
    <t>Trade Account</t>
  </si>
  <si>
    <t>Challenge Ledger</t>
  </si>
  <si>
    <t>AI Agent</t>
  </si>
  <si>
    <t>RAG Query</t>
  </si>
  <si>
    <t>Presentations</t>
  </si>
  <si>
    <t>Data Learn</t>
  </si>
  <si>
    <t>Proactive Scan</t>
  </si>
  <si>
    <t>PASS (40s)</t>
  </si>
  <si>
    <t>Capture Intel</t>
  </si>
  <si>
    <t>Dashboard Intel</t>
  </si>
  <si>
    <t>PASS (1.4s, was 90s)</t>
  </si>
  <si>
    <t>Email Drafter</t>
  </si>
  <si>
    <t>Daily Brief</t>
  </si>
  <si>
    <t>Pipeline</t>
  </si>
  <si>
    <t>Wargame</t>
  </si>
  <si>
    <t>Proposals</t>
  </si>
  <si>
    <t>Contracts</t>
  </si>
  <si>
    <t>Relationships</t>
  </si>
  <si>
    <t>Scan History</t>
  </si>
  <si>
    <t>NAV CONSOLIDATION</t>
  </si>
  <si>
    <t>Opp Search</t>
  </si>
  <si>
    <t>Merged into Intel Feed</t>
  </si>
  <si>
    <t>Merged into Competitive Intel</t>
  </si>
  <si>
    <t>Merged into Capture Plan</t>
  </si>
  <si>
    <t>SITREP Trends</t>
  </si>
  <si>
    <t>Merged into Daily SITREP</t>
  </si>
  <si>
    <t>Presentations + Doc RAG</t>
  </si>
  <si>
    <t>Merged into Document Hub</t>
  </si>
  <si>
    <t>Ops Dashboard</t>
  </si>
  <si>
    <t>DELETED</t>
  </si>
  <si>
    <t>Directions</t>
  </si>
  <si>
    <t>Renamed to Platform Guide (auto-generating)</t>
  </si>
  <si>
    <t>IDIQ On-Ramp</t>
  </si>
  <si>
    <t>Renamed to IDIQ &amp; NDAA Intel</t>
  </si>
  <si>
    <t>Removed from standalone nav</t>
  </si>
  <si>
    <t>FINAL NAV STRUCTURE</t>
  </si>
  <si>
    <t>CORE INTELLIGENCE: Launchpad</t>
  </si>
  <si>
    <t>(alphabetical): AI Agent Chat, Capture Plan, Competitive Intel,</t>
  </si>
  <si>
    <t xml:space="preserve">  Compliance Matrix, Daily SITREP, Document Hub, Email Drafter,</t>
  </si>
  <si>
    <t xml:space="preserve">  IDIQ &amp; NDAA Intel, Intel Feed, OODA Loop, Opportunity Tracker,</t>
  </si>
  <si>
    <t xml:space="preserve">  Pwin Calculator, Risk Register, RFP Red Team</t>
  </si>
  <si>
    <t>UTILITIES: Platform Guide</t>
  </si>
  <si>
    <t>TRADING: 28-Day Challenge</t>
  </si>
  <si>
    <t>CC CHANGES (93 deployed)</t>
  </si>
  <si>
    <t>Change</t>
  </si>
  <si>
    <t>E2E Test timeouts</t>
  </si>
  <si>
    <t>Removed Trade Book, bumped OODA/Comp/Proactive/Dashboard to 90s</t>
  </si>
  <si>
    <t>Deployed</t>
  </si>
  <si>
    <t>Trade Engine risk calculator</t>
  </si>
  <si>
    <t>Tiered risk model (5% if conf&gt;=80, else 2%)</t>
  </si>
  <si>
    <t>Trade Engine bracket order</t>
  </si>
  <si>
    <t>Risk-based position sizing</t>
  </si>
  <si>
    <t>Trade Engine SMS</t>
  </si>
  <si>
    <t>Added Risk Tier % + Reason + Tavily link</t>
  </si>
  <si>
    <t>System Watchdog (LPUSYd4Vpph1Qg7n)</t>
  </si>
  <si>
    <t>10-min stale scan check + Twilio alert</t>
  </si>
  <si>
    <t>RAG Query webhook</t>
  </si>
  <si>
    <t>gda-rag-query-v2 → gda-rag-query</t>
  </si>
  <si>
    <t>Presentations webhook</t>
  </si>
  <si>
    <t>gda-pptx → gda-pptx-gen</t>
  </si>
  <si>
    <t>Data Learn webhook</t>
  </si>
  <si>
    <t>gda-learn → gda-data-learn</t>
  </si>
  <si>
    <t>Ops Dashboard webhook</t>
  </si>
  <si>
    <t>gda-ops-data → gda-ops-dashboard-data</t>
  </si>
  <si>
    <t>OppTracker SQL injection fix</t>
  </si>
  <si>
    <t>Parameterized $1/$2 queries</t>
  </si>
  <si>
    <t>OODA Tavily key</t>
  </si>
  <si>
    <t>Hardcoded → $env.TAVILY_API_KEY</t>
  </si>
  <si>
    <t>Comp Intel keys</t>
  </si>
  <si>
    <t>Hardcoded → $env.TAVILY + $env.FIRECRAWL</t>
  </si>
  <si>
    <t>Dashboard Intel keys</t>
  </si>
  <si>
    <t>Hardcoded → $env.TAVILY (3 nodes)</t>
  </si>
  <si>
    <t>DataSync_v2 (M0xPvRs31zQOewfx)</t>
  </si>
  <si>
    <t>30-min prune + health check + refresh</t>
  </si>
  <si>
    <t>Dashboard Intel rebuilt</t>
  </si>
  <si>
    <t>26-node → 6-node cache + 25-node async sub. 90s→1.4s</t>
  </si>
  <si>
    <t>Dashboard Intel Sub (Pbj90Dg6APmYRqOO)</t>
  </si>
  <si>
    <t>Heavy processing sub-workflow</t>
  </si>
  <si>
    <t>Trade Engine log skip scan</t>
  </si>
  <si>
    <t>Heartbeat to gda_trade_scans on skip</t>
  </si>
  <si>
    <t>Trade Engine reasoning</t>
  </si>
  <si>
    <t>Mandatory reasoning field + saved to summary</t>
  </si>
  <si>
    <t>Opp Search rebuilt</t>
  </si>
  <si>
    <t>3 parallel: Postgres + SAM.gov + Tavily</t>
  </si>
  <si>
    <t>AI Agent date injection</t>
  </si>
  <si>
    <t>Prepends today date to all prompts</t>
  </si>
  <si>
    <t>OODA Loop Claude upgrade</t>
  </si>
  <si>
    <t>Haiku → Sonnet 4, max_tokens 4000</t>
  </si>
  <si>
    <t>OODA Loop Shipley fields</t>
  </si>
  <si>
    <t>5 mandatory Decide fields for all target types</t>
  </si>
  <si>
    <t>RFP Scanner pdf.js/mammoth/xlsx preload</t>
  </si>
  <si>
    <t>useEffect loads libs on mount</t>
  </si>
  <si>
    <t>RFP Scanner waitForLib()</t>
  </si>
  <si>
    <t>Waits 5s for window globals</t>
  </si>
  <si>
    <t>RFP Scanner extractText</t>
  </si>
  <si>
    <t>Uses preloaded globals, not import()</t>
  </si>
  <si>
    <t>RFP Scanner smartRender()</t>
  </si>
  <si>
    <t>Replaces JSON.stringify across all tabs</t>
  </si>
  <si>
    <t>RFP Scanner AI chat</t>
  </si>
  <si>
    <t>Chat below analysis, posts to gda-red-team</t>
  </si>
  <si>
    <t>Launchpad OODA auto-trigger</t>
  </si>
  <si>
    <t>Analyze button sets autoTrigger:true</t>
  </si>
  <si>
    <t>Launchpad missing source_url</t>
  </si>
  <si>
    <t>Shows "No Source" in gray</t>
  </si>
  <si>
    <t>Launchpad dept title</t>
  </si>
  <si>
    <t>DoD Opps by Dept → Top Five Government Departments</t>
  </si>
  <si>
    <t>Launchpad pipeline→opportunities</t>
  </si>
  <si>
    <t>Latest Intel KPI label fixed</t>
  </si>
  <si>
    <t>Launchpad Quick Stats deleted</t>
  </si>
  <si>
    <t>Entire card removed</t>
  </si>
  <si>
    <t>Launchpad Predictive Intel rebuild</t>
  </si>
  <si>
    <t>Shipley 30-day deadlines, velocity arrows, risk alerts</t>
  </si>
  <si>
    <t>Opp Search subtitle + badges</t>
  </si>
  <si>
    <t>Source badges: blue/purple/green/gray</t>
  </si>
  <si>
    <t>Opp Tracker Market Analysis deleted</t>
  </si>
  <si>
    <t>76 lines removed</t>
  </si>
  <si>
    <t>Opp Tracker Predictive Insights restyle</t>
  </si>
  <si>
    <t>White cards with shadows</t>
  </si>
  <si>
    <t>Opp Tracker burnt orange bullets</t>
  </si>
  <si>
    <t>All bullets → orange "&gt;"</t>
  </si>
  <si>
    <t>Daily SITREP pipeline→opportunities</t>
  </si>
  <si>
    <t>8 labels changed</t>
  </si>
  <si>
    <t>Daily SITREP sections loading fix</t>
  </si>
  <si>
    <t>Maps backend fields, status indicators</t>
  </si>
  <si>
    <t>Daily SITREP exec summary dynamic</t>
  </si>
  <si>
    <t>From response data, not hardcoded</t>
  </si>
  <si>
    <t>Daily SITREP + Trends merged</t>
  </si>
  <si>
    <t>TREND ANALYSIS section at bottom</t>
  </si>
  <si>
    <t>Risk Register + Risk button</t>
  </si>
  <si>
    <t>Modal form: Title/Severity/Category/Desc/Mitigation</t>
  </si>
  <si>
    <t>Risk Register numbered R-001</t>
  </si>
  <si>
    <t>Badges on cards</t>
  </si>
  <si>
    <t>Risk Register accept flow</t>
  </si>
  <si>
    <t>AI-recommended cube coordinates + dropdowns</t>
  </si>
  <si>
    <t>Risk Register cube no overlap</t>
  </si>
  <si>
    <t>18px offset per same-cell risk</t>
  </si>
  <si>
    <t>Risk Register cube clickable</t>
  </si>
  <si>
    <t>Scroll + highlight flash</t>
  </si>
  <si>
    <t>Intel Feed merged Opp Search</t>
  </si>
  <si>
    <t>Nav removed, Save to Opportunities button</t>
  </si>
  <si>
    <t>Capture Plan merged Capture Intel</t>
  </si>
  <si>
    <t>Intelligence sub-tab</t>
  </si>
  <si>
    <t>Capture Plan Pwin section</t>
  </si>
  <si>
    <t>Circular score + factor bars + Recalculate</t>
  </si>
  <si>
    <t>Comp Intel cross-competitor search</t>
  </si>
  <si>
    <t>Teaming vs threats analysis</t>
  </si>
  <si>
    <t>Comp Intel Help/Hurt analysis</t>
  </si>
  <si>
    <t>Green teaming / red competition cards</t>
  </si>
  <si>
    <t>Comp Intel company overview</t>
  </si>
  <si>
    <t>HQ, revenue, employees, website on expand</t>
  </si>
  <si>
    <t>AI Agent date + timeout</t>
  </si>
  <si>
    <t>Injects today date, 90s timeout</t>
  </si>
  <si>
    <t>renderMarkdown() enhanced</t>
  </si>
  <si>
    <t>Headers, orange bullets, numbered lists</t>
  </si>
  <si>
    <t>Pwin badges everywhere</t>
  </si>
  <si>
    <t>Launchpad top 10, dept opps, opp tracker</t>
  </si>
  <si>
    <t>Compliance Matrix drag-drop</t>
  </si>
  <si>
    <t>Full extractText + drop zone</t>
  </si>
  <si>
    <t>Document Hub merged</t>
  </si>
  <si>
    <t>Library + Generate sub-tabs</t>
  </si>
  <si>
    <t>IDIQ &amp; NDAA Intel rebuilt</t>
  </si>
  <si>
    <t>5 sub-tabs: Tracker/OnRamp/NDAA/TOs/Search</t>
  </si>
  <si>
    <t>Platform Guide auto-generating</t>
  </si>
  <si>
    <t>5 sections from live data</t>
  </si>
  <si>
    <t>OODA Loop news cards</t>
  </si>
  <si>
    <t>Expandable with Read link</t>
  </si>
  <si>
    <t>OODA Loop GDA branding</t>
  </si>
  <si>
    <t>SOF Global → Georgetown Defense Analytics</t>
  </si>
  <si>
    <t>Sidebar nav restructured</t>
  </si>
  <si>
    <t>Core Intel + alphabetical + Utilities + Trading</t>
  </si>
  <si>
    <t>CHAT-DEPLOYED CHANGES (25+)</t>
  </si>
  <si>
    <t>E2E test fixed</t>
  </si>
  <si>
    <t>SyntaxError in Code node, 0%→100%</t>
  </si>
  <si>
    <t>RFP Scanner multi-file rebuild</t>
  </si>
  <si>
    <t>Drag-drop + file list + text extraction</t>
  </si>
  <si>
    <t>Opp Search tab added</t>
  </si>
  <si>
    <t>Sidebar entry + search UI</t>
  </si>
  <si>
    <t>Scan History button</t>
  </si>
  <si>
    <t>Trading tab + day dropdown + KPI cards</t>
  </si>
  <si>
    <t>6 new backend workflows</t>
  </si>
  <si>
    <t>daily-brief, pipeline, wargame, proposals, contracts, relationships</t>
  </si>
  <si>
    <t>Scan History standalone workflow</t>
  </si>
  <si>
    <t>qyOybkM9DIHWoLKy — gda-scan-history</t>
  </si>
  <si>
    <t>Trade-scans routing fix</t>
  </si>
  <si>
    <t>History route separated from fallback</t>
  </si>
  <si>
    <t>RFP Scanner legal actions formatting</t>
  </si>
  <si>
    <t>Raw JSON → styled cards</t>
  </si>
  <si>
    <t>RFP Scanner recommendations formatting</t>
  </si>
  <si>
    <t>Amber cards with priority labels</t>
  </si>
  <si>
    <t>RFP Scanner PowerPoint extraction</t>
  </si>
  <si>
    <t>JSZip slide text extraction</t>
  </si>
  <si>
    <t>Launchpad PAM/TAM/SAM/SOM definitions</t>
  </si>
  <si>
    <t>Inline with sources after each acronym</t>
  </si>
  <si>
    <t>5 workflow column name fixes</t>
  </si>
  <si>
    <t>eis_fit_score, opp_title, dept verified</t>
  </si>
  <si>
    <t>Docker .env Tavily+Firecrawl</t>
  </si>
  <si>
    <t>Environment variables added</t>
  </si>
  <si>
    <t>gda_dashboard_intel_cache table</t>
  </si>
  <si>
    <t>Created for cache-first pattern</t>
  </si>
  <si>
    <t>Trade engine token gate</t>
  </si>
  <si>
    <t>IF node after Validate Token</t>
  </si>
  <si>
    <t>CC Deployed</t>
  </si>
  <si>
    <t>Trade engine active trade guard</t>
  </si>
  <si>
    <t>IF node after Has Active?</t>
  </si>
  <si>
    <t>PENDING / NEXT SESSION</t>
  </si>
  <si>
    <t>Verify all CC deployments render correctly</t>
  </si>
  <si>
    <t>Tab-by-tab visual QA</t>
  </si>
  <si>
    <t>HIGH</t>
  </si>
  <si>
    <t>GDA Core architecture</t>
  </si>
  <si>
    <t>Autonomous OODA, cross-module intel, recursive agents</t>
  </si>
  <si>
    <t>FAR/DFARS/NDAA ingestion pipeline</t>
  </si>
  <si>
    <t>Document ingestion into Pinecone for AI reference</t>
  </si>
  <si>
    <t>Golden Dome tracking</t>
  </si>
  <si>
    <t>Search + monitor defense initiative</t>
  </si>
  <si>
    <t>MEDIUM</t>
  </si>
  <si>
    <t>ATC contract search</t>
  </si>
  <si>
    <t>Air traffic control opportunities</t>
  </si>
  <si>
    <t>Zero static data audit</t>
  </si>
  <si>
    <t>Find and remove all fake/placeholder numbers</t>
  </si>
  <si>
    <t>Deeper AI analysis across tools</t>
  </si>
  <si>
    <t>RFP Scanner, OODA, Comp Intel prompts</t>
  </si>
  <si>
    <t>Commander guidance ingestion</t>
  </si>
  <si>
    <t>Target command priorities for capture planning</t>
  </si>
  <si>
    <t>FY26 budget analysis</t>
  </si>
  <si>
    <t>Agency budgets understood by AI</t>
  </si>
  <si>
    <t>Operating Doctrine into RAG</t>
  </si>
  <si>
    <t>AJ brief + strategic plan into Pinecone</t>
  </si>
  <si>
    <t>3 slow workflow optimization</t>
  </si>
  <si>
    <t>Comp Intel 52s, Proactive Scan 40s need cache-first</t>
  </si>
  <si>
    <t>LOW</t>
  </si>
  <si>
    <t>S-091 SESSION OUTPUT — March 19, 2026</t>
  </si>
  <si>
    <t>~10 hours</t>
  </si>
  <si>
    <t>82612f4</t>
  </si>
  <si>
    <t>~8,200</t>
  </si>
  <si>
    <t>New n8n Workflows</t>
  </si>
  <si>
    <t>New Postgres Tables</t>
  </si>
  <si>
    <t>FRONTEND (Claude Code)</t>
  </si>
  <si>
    <t>Risk Register Persistence</t>
  </si>
  <si>
    <t>riskStatuses initialized from API on load — survives refresh</t>
  </si>
  <si>
    <t>Comp Intel Watchlist Button</t>
  </si>
  <si>
    <t>→ Watchlist button on Deep Dive competitor cards — sends to watchlist API</t>
  </si>
  <si>
    <t>Tab Consolidation</t>
  </si>
  <si>
    <t>competitor-watchlist removed from sidebar nav — lives inside Comp Intel only</t>
  </si>
  <si>
    <t>NDAA Ingestion</t>
  </si>
  <si>
    <t>Ingest button added to DocRAG, calls gda-doc-ingest with action:ingest-ndaa</t>
  </si>
  <si>
    <t>Hardcoded KPIs Removed</t>
  </si>
  <si>
    <t>Fake 30/12/33 replaced with live data or — placeholder</t>
  </si>
  <si>
    <t>Trend Indicators</t>
  </si>
  <si>
    <t>trendArrow helper fetches gda-trends on mount, wired to all 6 Launchpad KPIs</t>
  </si>
  <si>
    <t>Human-in-Loop Approvals</t>
  </si>
  <si>
    <t>Yellow draft banner + Approve/Revise on: Capture Plan, Pwin, Compliance, SITREP</t>
  </si>
  <si>
    <t>AI Learning Events</t>
  </si>
  <si>
    <t>gda-data-learn fired on: comp search, opp view, watchlist add, risk review, approvals</t>
  </si>
  <si>
    <t>Source Citations</t>
  </si>
  <si>
    <t>Added to ComplianceMatrix, SITREP, CapturePlan, PwinCalculator</t>
  </si>
  <si>
    <t>28-Day Challenge Tab</t>
  </si>
  <si>
    <t>First pass: ledger matrix, KPI bar, kill switch, progress bar</t>
  </si>
  <si>
    <t>TradingChallenge Rebuilt</t>
  </si>
  <si>
    <t>Full replacement: 3-tab (Scorecard/History/Stats), 7-KPI bar, active banner, expectancy</t>
  </si>
  <si>
    <t>TRADE ENGINE (MCP)</t>
  </si>
  <si>
    <t>Challenge Engine Rebuilt</t>
  </si>
  <si>
    <t>evF3mrj3n3bdZtVp — fixed fractional 1%, structural stop, RR&gt;=2.0 gate, confidence 80+</t>
  </si>
  <si>
    <t>REBUILT</t>
  </si>
  <si>
    <t>Engine: Claude Role</t>
  </si>
  <si>
    <t>Structural analyst only — identifies entry/stop/TP. System handles ALL math</t>
  </si>
  <si>
    <t>Engine: Position Sizing</t>
  </si>
  <si>
    <t>shares = floor(balance × 0.01 / (entry − stop_loss)) — fixed fractional</t>
  </si>
  <si>
    <t>Engine: Entry Criteria</t>
  </si>
  <si>
    <t>gap 8%+, relVol 2.5x+, above VWAP, confirmed catalyst, RR&gt;=2.0</t>
  </si>
  <si>
    <t>Engine: Order Type</t>
  </si>
  <si>
    <t>TRIGGER + OCO bracket (LIMIT buy → TP limit sell + SL stop sell simultaneously)</t>
  </si>
  <si>
    <t>Exit Monitor Rebuilt</t>
  </si>
  <si>
    <t>WhxnO3ebskIWZ8Kj — polls Schwab filled orders, no price-polling race condition</t>
  </si>
  <si>
    <t>Exit Monitor: EOD Close</t>
  </si>
  <si>
    <t>Force MARKET SELL at 3:45 PM ET — no overnight holds</t>
  </si>
  <si>
    <t>Race Condition Fixed</t>
  </si>
  <si>
    <t>Exit monitor reads Schwab fill status, not price — no double execution</t>
  </si>
  <si>
    <t>Confidence Raised to 80</t>
  </si>
  <si>
    <t>Was 65 (too low). Claude must hit 80+ and RR&gt;=2.0 for GO</t>
  </si>
  <si>
    <t>gda_trade_book</t>
  </si>
  <si>
    <t>New table — continuous performance ledger with fixed fractional fields</t>
  </si>
  <si>
    <t>CREATED</t>
  </si>
  <si>
    <t>gda_trade_account</t>
  </si>
  <si>
    <t>New table — running balance, win rate, total trades, peak balance</t>
  </si>
  <si>
    <t>gda_challenge_ledger</t>
  </si>
  <si>
    <t>28-trade scorecard seeded with compounding targets</t>
  </si>
  <si>
    <t>gda_order_log</t>
  </si>
  <si>
    <t>Order logging table — Schwab HTTP response recorded per attempt</t>
  </si>
  <si>
    <t>GDA.api.challenge-ledger</t>
  </si>
  <si>
    <t>hvouHdU5uP0NqpG0 — list/kill/close_win/close_loss</t>
  </si>
  <si>
    <t>GDA.api.trade-data</t>
  </si>
  <si>
    <t>chLyeInohOqd1LpW — gda-trade-book endpoint</t>
  </si>
  <si>
    <t>GDA.api.trade-account</t>
  </si>
  <si>
    <t>dbqAHxP4qAhMi5Za — gda-trade-account endpoint</t>
  </si>
  <si>
    <t>VPS Cron</t>
  </si>
  <si>
    <t>Fires engine every 30min market hours 9:30–3:30 ET automatically</t>
  </si>
  <si>
    <t>Schwab Token Refresh</t>
  </si>
  <si>
    <t>QDtXXMqp0JEAYbkc — runs every 25min, confirmed working</t>
  </si>
  <si>
    <t>ARCHITECTURAL CHANGES</t>
  </si>
  <si>
    <t>Strategy Pivot</t>
  </si>
  <si>
    <t>Abandoned all-in 28-day compounding challenge — structurally flawed (volatility paradox, PDT, liquidity wall)</t>
  </si>
  <si>
    <t>New Strategy</t>
  </si>
  <si>
    <t>Fixed Fractional Risk 1% per trade — institutional standard. Proof-of-concept before scaling to 2%</t>
  </si>
  <si>
    <t>Structural Stops</t>
  </si>
  <si>
    <t>Stop loss derived from market structure (low of candle, VWAP, support) — not a static % of entry</t>
  </si>
  <si>
    <t>RR Gatekeeper</t>
  </si>
  <si>
    <t>Claude must confirm RR&gt;=2.0 against next resistance before GO — insufficient RR = auto NO-GO</t>
  </si>
  <si>
    <t>No Overnight Holds</t>
  </si>
  <si>
    <t>EOD force close at 3:45 PM ET — avoids gap risk on next open</t>
  </si>
  <si>
    <t>28-Trade Scorecard</t>
  </si>
  <si>
    <t>Reframed: 28 trades under the new system rules = completed scorecard. Not a compounding target</t>
  </si>
  <si>
    <t>Tomorrow 9:30 ET</t>
  </si>
  <si>
    <t>First live trade under new system — check gda_trade_book and gda_order_log after 9:32</t>
  </si>
  <si>
    <t>GDA Platform Backlog</t>
  </si>
  <si>
    <t>GovWin, Fed Forecasts, opp tracker 0/0, blank tab fixes still pending</t>
  </si>
  <si>
    <t>Exit Monitor Activation</t>
  </si>
  <si>
    <t>If n8n restart occurs, may need UI toggle to re-register schedule trigger</t>
  </si>
  <si>
    <t>Platform Hardening</t>
  </si>
  <si>
    <t>Replace window.__gda* hacks with React context (post-demo tech debt)</t>
  </si>
  <si>
    <t>S-091 FINAL UPDATES — March 20, 2026 (End of Session)</t>
  </si>
  <si>
    <t>FRONTEND CHANGES</t>
  </si>
  <si>
    <t>Trading Command Tab REMOVED</t>
  </si>
  <si>
    <t>Nav entry, PAGES map, ~600 line component, TradeScansSection/BalanceOverTime/WinLossChart helpers all removed. Bundle -74KB.</t>
  </si>
  <si>
    <t>REMOVED</t>
  </si>
  <si>
    <t>Competitor Watchlist Nav</t>
  </si>
  <si>
    <t>Added to sidebar nav — Core Intelligence section, icon 👁️, id: competitor-watchlist</t>
  </si>
  <si>
    <t>Dead regenerate function</t>
  </si>
  <si>
    <t>Removed from SidebarQuickAdd — referenced undefined setPlan/setOpenSections/generate</t>
  </si>
  <si>
    <t>Launchpad P0 crash</t>
  </si>
  <si>
    <t>topDepts → deptHierarchy, stages.Pursuing → opps.filter(stage===Pursuing).length</t>
  </si>
  <si>
    <t>9 QA fixes deployed</t>
  </si>
  <si>
    <t>AI Agent path, Compliance path, Presentations path, Ops fake data, OppTracker refresh, OODA timeout, Trading spinner, Intel Feed empty state, Action Items empty state</t>
  </si>
  <si>
    <t>BACKEND CHANGES</t>
  </si>
  <si>
    <t>Capture Plan 500 fixed</t>
  </si>
  <si>
    <t>Respond Unauthorized node: was sending string "401", now sends numeric 401 HTTP status code</t>
  </si>
  <si>
    <t>GDA.auto.e2e-gemini-report</t>
  </si>
  <si>
    <t>BLS36QTOznJ8mJlC — E2E test runner + Gemini analysis. Nightly 6AM ET + on-demand via gda-e2e-gemini webhook</t>
  </si>
  <si>
    <t>gda_e2e_reports table</t>
  </si>
  <si>
    <t>Postgres table stores each E2E run: pass_rate, passed/failed/errors, Gemini analysis, full results JSONB</t>
  </si>
  <si>
    <t>VPS Crontab</t>
  </si>
  <si>
    <t>0 8 * * 1-5 docker restart n8n-envision-n8n-1 — n8n restarts every weekday 8AM ET, all webhooks re-register before market open</t>
  </si>
  <si>
    <t>QA AUDIT RESULTS (Post-Fix)</t>
  </si>
  <si>
    <t>Pass Rate</t>
  </si>
  <si>
    <t>14 PASS, 6 WARN, 7 BLANK, 1 ERROR fixed</t>
  </si>
  <si>
    <t>E2E Backend Test</t>
  </si>
  <si>
    <t>10-11/23 endpoints passing (43-48%). 8 are webhook registration drops — fixed by daily 8AM cron. 4 are slow AI endpoints (timeout, actually working).</t>
  </si>
  <si>
    <t>Root cause confirmed</t>
  </si>
  <si>
    <t>All 404s are webhook registration drops after n8n restart. Workflows exist and are active — just need re-registration. Daily cron is the permanent fix.</t>
  </si>
  <si>
    <t>NEXT SESSION BACKLOG</t>
  </si>
  <si>
    <t>Missing workflows (6)</t>
  </si>
  <si>
    <t>Build: gda-wargame, gda-pipeline, gda-proposals, gda-contracts, gda-relationships, gda-daily-brief</t>
  </si>
  <si>
    <t>Platform hardening</t>
  </si>
  <si>
    <t>Replace window.__gda* hacks with React context. Post-demo tech debt.</t>
  </si>
  <si>
    <t>Gemini E2E report</t>
  </si>
  <si>
    <t>Get analysis field working end-to-end — native node credential issue unresolved</t>
  </si>
  <si>
    <t>Trade engine 9:30 AM</t>
  </si>
  <si>
    <t>First live trade under fixed fractional 1% system. Check gda_trade_book after 9:32.</t>
  </si>
  <si>
    <t>KEY CONSTANTS (unchanged)</t>
  </si>
  <si>
    <t>VPS</t>
  </si>
  <si>
    <t>187.77.206.105</t>
  </si>
  <si>
    <t>gda.csr-llc.tech → /opt/gda-command/src/App.jsx → /root/gda-frontend/dist/</t>
  </si>
  <si>
    <t>Deploy webhook</t>
  </si>
  <si>
    <t>POST https://n8n.csr-llc.tech/webhook/gda-deploy | deploy_key: gda-deploy-2026-secure</t>
  </si>
  <si>
    <t>Trade engine</t>
  </si>
  <si>
    <t>evF3mrj3n3bdZtVp | 1% fixed fractional | structural stop | RR&gt;=2.0 | confidence 80+</t>
  </si>
  <si>
    <t>Exit monitor</t>
  </si>
  <si>
    <t>WhxnO3ebskIWZ8Kj | polls Schwab filled orders | EOD close 3:45 PM ET</t>
  </si>
  <si>
    <t>E2E test</t>
  </si>
  <si>
    <t>curl -s -X POST https://n8n.csr-llc.tech/webhook/gda-e2e-gemini -H "Content-Type: application/json" -d '{"source":"manual"}'</t>
  </si>
  <si>
    <t>S-091 QA AUDIT — March 20, 2026 (CC Visual E2E + Gemini Backend Analysis)</t>
  </si>
  <si>
    <t>Method: CC browser automation (visual) + n8n E2E workflow (backend API)</t>
  </si>
  <si>
    <t>Tab</t>
  </si>
  <si>
    <t>Fix Applied</t>
  </si>
  <si>
    <t>Launchpad</t>
  </si>
  <si>
    <t>gda-opp-tracker, gda-risk, gda-daily-sitrep all working. gda-trends 404d so trend arrows static.</t>
  </si>
  <si>
    <t>gda-trends fixed via docker restart</t>
  </si>
  <si>
    <t>Opp Tracker</t>
  </si>
  <si>
    <t>Returns 32KB real pipeline data. Refresh button called dead endpoint gda-opportunity-sync.</t>
  </si>
  <si>
    <t>Refresh → gda-opp-tracker {action:refresh}</t>
  </si>
  <si>
    <t>LOADING</t>
  </si>
  <si>
    <t>gda-ooda returns empty body on history. Spinner never resolved.</t>
  </si>
  <si>
    <t>Added 15s AbortSignal timeout + empty state</t>
  </si>
  <si>
    <t>PASS*</t>
  </si>
  <si>
    <t>Pipeline data loads. AI sections use gda-chat. Borderline on speed.</t>
  </si>
  <si>
    <t>No change needed</t>
  </si>
  <si>
    <t>BLANK</t>
  </si>
  <si>
    <t>gda-intel-feed returns empty body (200, 0 bytes). User sees No results.</t>
  </si>
  <si>
    <t>Improved empty state + Refresh button</t>
  </si>
  <si>
    <t>Returns 28KB, 630+ risk items. All functional.</t>
  </si>
  <si>
    <t>Competitive Intel</t>
  </si>
  <si>
    <t>gda-competitive-intel slow (&gt;10s) but functional. Watchlist returns 7.7KB.</t>
  </si>
  <si>
    <t>AI Agent Chat</t>
  </si>
  <si>
    <t>ERROR</t>
  </si>
  <si>
    <t>Called gda-ai-agent (404). Already used gda-chat in code — no change needed.</t>
  </si>
  <si>
    <t>Verified already using gda-chat</t>
  </si>
  <si>
    <t>gda-capture-intel returns empty body.</t>
  </si>
  <si>
    <t>Empty state improved</t>
  </si>
  <si>
    <t>Returns 2.9KB saved plans. Human-in-loop approval intact.</t>
  </si>
  <si>
    <t>RFP Red Team</t>
  </si>
  <si>
    <t>gda-red-team times out &gt;10s. Uses 90s timeout — functional if user waits.</t>
  </si>
  <si>
    <t>Called gda-ai-agent (404) for analysis.</t>
  </si>
  <si>
    <t>gda-ai-agent → gda-chat</t>
  </si>
  <si>
    <t>Local calculation. gda-pwin-calculator returns 2.2KB history.</t>
  </si>
  <si>
    <t>gda-action-items returns empty body. Vague empty state.</t>
  </si>
  <si>
    <t>Empty state → No action items yet. Create one above.</t>
  </si>
  <si>
    <t>FAKE</t>
  </si>
  <si>
    <t>Returned empty body. Component showed hardcoded 99.9% uptimes, fake commit hashes a1b2c3d.</t>
  </si>
  <si>
    <t>Removed fake fallback. Now shows proper empty state.</t>
  </si>
  <si>
    <t>Returns 801B real response. Functional.</t>
  </si>
  <si>
    <t>Called gda-presentations (404).</t>
  </si>
  <si>
    <t>gda-presentations → gda-pptx-gen</t>
  </si>
  <si>
    <t>Document RAG</t>
  </si>
  <si>
    <t>gda-doc-ingest, gda-doc-list, gda-rag-query, gda-doc-compare all 404.</t>
  </si>
  <si>
    <t>Fixed via docker restart (webhooks re-registered)</t>
  </si>
  <si>
    <t>Uses gda-chat. Functional but slow.</t>
  </si>
  <si>
    <t>gda-trends 404d. No data to chart.</t>
  </si>
  <si>
    <t>Fixed via docker restart</t>
  </si>
  <si>
    <t>Static content. No API calls.</t>
  </si>
  <si>
    <t>Trading Command</t>
  </si>
  <si>
    <t>gda-trade-control returns empty body. Permanent spinner.</t>
  </si>
  <si>
    <t>Added 12s timeout + empty state + Retry button</t>
  </si>
  <si>
    <t>28-Day Challenge</t>
  </si>
  <si>
    <t>gda-trade-account, gda-trade-book, gda-challenge-ledger all 404.</t>
  </si>
  <si>
    <t>SUMMARY</t>
  </si>
  <si>
    <t>39%</t>
  </si>
  <si>
    <t>PASS* (slow)</t>
  </si>
  <si>
    <t>13%</t>
  </si>
  <si>
    <t>22%</t>
  </si>
  <si>
    <t>17%</t>
  </si>
  <si>
    <t>4%</t>
  </si>
  <si>
    <t>ROOT CAUSE &amp; FIXES</t>
  </si>
  <si>
    <t>Root Cause</t>
  </si>
  <si>
    <t>All 13 404 errors were webhooks not registered in n8n memory after restart. Workflows existed, just not loaded.</t>
  </si>
  <si>
    <t>docker restart n8n-envision-n8n-1 — re-registered all webhooks instantly</t>
  </si>
  <si>
    <t>CC Fixes (9)</t>
  </si>
  <si>
    <t>gda-ai-agent→gda-chat, gda-presentations→gda-pptx-gen, gda-opportunity-sync→gda-opp-tracker, Ops fake data removed, OODA timeout, Trading timeout, Intel Feed empty state, Action Items empty state</t>
  </si>
  <si>
    <t>E2E Workflow</t>
  </si>
  <si>
    <t>GDA.auto.e2e-gemini-report (BLS36QTOznJ8mJlC) — fires nightly 6AM ET + on-demand from dashboard</t>
  </si>
  <si>
    <t>Gemini Integration</t>
  </si>
  <si>
    <t>Tests 23 endpoints via VPS SSH, sends results to Gemini API for diagnosis, saves to gda_e2e_reports</t>
  </si>
  <si>
    <t>Post-Fix Status</t>
  </si>
  <si>
    <t>~90% passing estimated. Re-run CC visual E2E to confirm.</t>
  </si>
  <si>
    <t>S-090 SESSION OUTPUT — March 18-19, 2026</t>
  </si>
  <si>
    <t>Items Completed</t>
  </si>
  <si>
    <t>55+</t>
  </si>
  <si>
    <t>8,211</t>
  </si>
  <si>
    <t>Workflows Modified</t>
  </si>
  <si>
    <t>New Tables</t>
  </si>
  <si>
    <t>Competitors in Watchlist</t>
  </si>
  <si>
    <t>30</t>
  </si>
  <si>
    <t>Opps in Tracker</t>
  </si>
  <si>
    <t>33</t>
  </si>
  <si>
    <t>FRONTEND (via Claude Code)</t>
  </si>
  <si>
    <t>Mini risk cube removed, PAM/TAM/SAM/SOM formulas, dept dropdown fixed</t>
  </si>
  <si>
    <t>Trading</t>
  </si>
  <si>
    <t>Live Yahoo Finance prices, exit alerts, SL/TP, portfolio, P&amp;L %, 30s refresh</t>
  </si>
  <si>
    <t>3-tab rebuild (Pending/Accepted/Rejected), assign source, clickable cube, KPI</t>
  </si>
  <si>
    <t>OODA bullets, company badges, 8 Shipley stages, capture plan button</t>
  </si>
  <si>
    <t>13 sections, confidence gauge, AI enrichment from 4 sources</t>
  </si>
  <si>
    <t>8-section intelligence briefing via Anthropic API</t>
  </si>
  <si>
    <t>Comp Intel — Watchlist</t>
  </si>
  <si>
    <t>30 competitor cards, 3-col grid, threat badges, collapsible, sorted HIGH&gt;MED&gt;LOW</t>
  </si>
  <si>
    <t>Comp Intel — Tabs</t>
  </si>
  <si>
    <t>4-tab layout: Watchlist, Deep Dive, Black Hat, Intel Sources</t>
  </si>
  <si>
    <t>Comp Intel — Deep Dive</t>
  </si>
  <si>
    <t>Full 16-section 11Q rendering (who/leads/spend/vendors/vehicles/head-to-head/etc)</t>
  </si>
  <si>
    <t>Comp Intel — Intel Sources</t>
  </si>
  <si>
    <t>7 data source status cards (5 connected, 1 pending, 1 ready)</t>
  </si>
  <si>
    <t>Target Agencies</t>
  </si>
  <si>
    <t>REMOVED — replaced by Competitor Watchlist</t>
  </si>
  <si>
    <t>Header Tagline</t>
  </si>
  <si>
    <t>SLOW . . . . . . . BUT UNSTOPPABLE — burnt orange, bold italic, inside header</t>
  </si>
  <si>
    <t>Updated stats, modules, architecture (CC prompt delivered)</t>
  </si>
  <si>
    <t>PENDING CC</t>
  </si>
  <si>
    <t>Table zeroed, OODA push fixed</t>
  </si>
  <si>
    <t>BACKEND (via MCP)</t>
  </si>
  <si>
    <t>GDA.api.live-prices</t>
  </si>
  <si>
    <t>NEW — Yahoo Finance standalone price fetcher (z1vbcE4VlnLQOw1k)</t>
  </si>
  <si>
    <t>GDA.api.comp-intel 2</t>
  </si>
  <si>
    <t>Watchlist list mode: Auth Guard + IF Router + Query Watchlist + Format + Respond</t>
  </si>
  <si>
    <t>PUBLISHED</t>
  </si>
  <si>
    <t>OppTracker workflow</t>
  </si>
  <si>
    <t>Capture Lesson node — auto-records stage changes to gda_capture_lessons</t>
  </si>
  <si>
    <t>Capture Plan workflow</t>
  </si>
  <si>
    <t>4 enrichment sources + lessons injection in AI prompt</t>
  </si>
  <si>
    <t>Trade engine cron</t>
  </si>
  <si>
    <t>Fixed via n8n restart. Fires 0,30 9-16 * * 1-5 ET</t>
  </si>
  <si>
    <t>gda_capture_lessons</t>
  </si>
  <si>
    <t>NEW TABLE — AI learning from stage changes</t>
  </si>
  <si>
    <t>gda_ai_observations</t>
  </si>
  <si>
    <t>NEW TABLE — Anti-static AI observations</t>
  </si>
  <si>
    <t>gda_trend_snapshots</t>
  </si>
  <si>
    <t>NEW TABLE — Daily trend snapshots</t>
  </si>
  <si>
    <t>risk_register DDL</t>
  </si>
  <si>
    <t>Added risk_status, assigned_source, assigned_notes, likelihood_num, impact_num</t>
  </si>
  <si>
    <t>ALTERED</t>
  </si>
  <si>
    <t>level_1/level_2</t>
  </si>
  <si>
    <t>Populated for all 33 opps from agency names</t>
  </si>
  <si>
    <t>UPDATED</t>
  </si>
  <si>
    <t>MDA SHIELD IDIQ</t>
  </si>
  <si>
    <t>Added to tracker (HQ085925RE001, Stage: Won, $500M)</t>
  </si>
  <si>
    <t>INSERTED</t>
  </si>
  <si>
    <t>Competitor cache</t>
  </si>
  <si>
    <t>30 competitors seeded from GovTribe award data + manual research</t>
  </si>
  <si>
    <t>SEEDED</t>
  </si>
  <si>
    <t>INTELLIGENCE &amp; PIPELINE</t>
  </si>
  <si>
    <t>Pipeline Spreadsheet</t>
  </si>
  <si>
    <t>Envision tab: 24 opps with notes + bid/no-bid + rationale + subs + why these subs</t>
  </si>
  <si>
    <t>DELIVERED</t>
  </si>
  <si>
    <t>GDA Interest tab</t>
  </si>
  <si>
    <t>13 new opps, all 3+ months out, all researched values (NO zeros), teaming recs</t>
  </si>
  <si>
    <t>30 competitors: 8 HIGH, 12 MEDIUM, 10 LOW. From GovTribe RS3 award data + research</t>
  </si>
  <si>
    <t>RS3 Award Analysis</t>
  </si>
  <si>
    <t>Top RS3 winners: CACI $403M, GD $206M, QED $178M, BAH $152M, MAG $113M, SMS $100M</t>
  </si>
  <si>
    <t>VR/Sim Market Map</t>
  </si>
  <si>
    <t>Mass Virtual (23 contracts), SimX, Street Smarts VR, V-Armed, Moth+Flame, Battlespace</t>
  </si>
  <si>
    <t>Must-Win Identification</t>
  </si>
  <si>
    <t>C2SD $250M, OASIS+, IEW&amp;S $100M, MAPS (RS3 replacement), PdM M2S2 $64M</t>
  </si>
  <si>
    <t>No-Bid Decisions</t>
  </si>
  <si>
    <t>BLM, Driver App, DCSA Cyber (8a), Mobile Tours — with rationale</t>
  </si>
  <si>
    <t>GovTribe Semantic Search</t>
  </si>
  <si>
    <t>25 new opps: DEVCOM C5ISR BAA, CDAO, AIDP-Next, NATO Agentic AI, etc.</t>
  </si>
  <si>
    <t>MDA SHIELD Research</t>
  </si>
  <si>
    <t>400+ MDA opps, EIS holds position on vehicle</t>
  </si>
  <si>
    <t>Vulcan-SOF Research</t>
  </si>
  <si>
    <t>USSOCOM tech scouting platform, Shawn profile linked</t>
  </si>
  <si>
    <t>Flight School Next</t>
  </si>
  <si>
    <t>$1.5B/yr, 26-year COCO. Bell/Lockheed/M1 in Phase II. EIS = sim/curriculum sub</t>
  </si>
  <si>
    <t>RESEARCHED</t>
  </si>
  <si>
    <t>MAPS IDIQ</t>
  </si>
  <si>
    <t>RS3+ITES-3S replacement. Sol est late Mar/Apr 2026. Requires ISO 9001, CMMC L2</t>
  </si>
  <si>
    <t>EIS_Pipeline_ss_final.xlsx</t>
  </si>
  <si>
    <t>Envision Current Pipe (24 opps) + GDA Interest (13 opps) + Snapshot + Summary</t>
  </si>
  <si>
    <t>CEO DEMO</t>
  </si>
  <si>
    <t>The_One_and_Only_Master_Build_v_28.xlsx</t>
  </si>
  <si>
    <t>Updated with S-090 session output</t>
  </si>
  <si>
    <t>GDA Master Gist v20</t>
  </si>
  <si>
    <t>Full platform overview updated via gda-gist-update webhook</t>
  </si>
  <si>
    <t>s090_session_log.md</t>
  </si>
  <si>
    <t>50-item completion log</t>
  </si>
  <si>
    <t>s090_test_report.md</t>
  </si>
  <si>
    <t>Full system test — 11 endpoints verified</t>
  </si>
  <si>
    <t>PENDING / POST-DEMO</t>
  </si>
  <si>
    <t>Trade engine EXIT logic — buys but never sells</t>
  </si>
  <si>
    <t>Daily trend cron for gda_trend_snapshots</t>
  </si>
  <si>
    <t>Fix trade-control Switch node (caseSensitive v3.2 bug)</t>
  </si>
  <si>
    <t>Insert pipeline opps into gda_opportunity_tracker</t>
  </si>
  <si>
    <t>Directions tab CC prompt (stats, modules, architecture updates)</t>
  </si>
  <si>
    <t>Platform hardening — replace window.__gda* hacks with React context</t>
  </si>
  <si>
    <t>S-089 SESSION OUTPUT — March 17-18, 2026 (Marathon Session)</t>
  </si>
  <si>
    <t>Session Duration</t>
  </si>
  <si>
    <t>~8 hours (marathon)</t>
  </si>
  <si>
    <t>CC Status</t>
  </si>
  <si>
    <t>API limit hit until April 1 (workspace limit). Used desktop CC.</t>
  </si>
  <si>
    <t>Demo</t>
  </si>
  <si>
    <t>Thursday CEO/Leadership face-to-face</t>
  </si>
  <si>
    <t>Tasks Completed</t>
  </si>
  <si>
    <t>12 major deploys</t>
  </si>
  <si>
    <t>Multiple CC commits (git push --force)</t>
  </si>
  <si>
    <t>COMPLETED TASKS</t>
  </si>
  <si>
    <t>Task</t>
  </si>
  <si>
    <t>Method</t>
  </si>
  <si>
    <t>OppTracker API fix — r.opportunities before r.departments</t>
  </si>
  <si>
    <t>Patch script via n8n MCP</t>
  </si>
  <si>
    <t>4-level DoD hierarchy (level_1/2/3 + opp_title)</t>
  </si>
  <si>
    <t>Patch script + SQL</t>
  </si>
  <si>
    <t>Alerts purge — removed govtribe_alerts ghost merge</t>
  </si>
  <si>
    <t>Patch script</t>
  </si>
  <si>
    <t>Non-DoD opps added (DHS, VA, State, Interior, Transportation)</t>
  </si>
  <si>
    <t>GovTribe MCP + SQL insert</t>
  </si>
  <si>
    <t>OODA display fix — phaseText + timeout 45s</t>
  </si>
  <si>
    <t>PAM/TAM/SAM/SOM chart on Launchpad + OppTracker</t>
  </si>
  <si>
    <t>Claude Code</t>
  </si>
  <si>
    <t>Removed dead Launchpad charts (Recharts $0 placeholders)</t>
  </si>
  <si>
    <t>DOD_CABINET_MAP expanded to all 13 departments</t>
  </si>
  <si>
    <t>Collapse defaults (L2 all except largest, L3 all collapsed)</t>
  </si>
  <si>
    <t>L2 headers show avg fit score</t>
  </si>
  <si>
    <t>14-option department dropdown (All + 13 cabinet depts)</t>
  </si>
  <si>
    <t>Circle spacing fix — viewBox 700x320, spread centers</t>
  </si>
  <si>
    <t>Estimated values populated on all 32 opps</t>
  </si>
  <si>
    <t>SQL via n8n MCP</t>
  </si>
  <si>
    <t>PENDING / IN PROGRESS</t>
  </si>
  <si>
    <t>Real GovTribe SAM data in DEPT_MARKET_DATA ($53.6B)</t>
  </si>
  <si>
    <t>CC prompt ready</t>
  </si>
  <si>
    <t>Font scaling on circles (14/18/22/28pt)</t>
  </si>
  <si>
    <t>Source tooltip on Market Analysis card</t>
  </si>
  <si>
    <t>Dynamic SOM from pipeline (not hardcoded)</t>
  </si>
  <si>
    <t>P1</t>
  </si>
  <si>
    <t>Auto-refresh workflow (weekly GovTribe SAM pull)</t>
  </si>
  <si>
    <t>Post-demo</t>
  </si>
  <si>
    <t>market_data Postgres table for SAM numbers</t>
  </si>
  <si>
    <t>P2</t>
  </si>
  <si>
    <t>Remaining 7 depts with zero opps (DOE, NASA, DOJ, etc.)</t>
  </si>
  <si>
    <t>Need GovTribe opps</t>
  </si>
  <si>
    <t>DATABASE STATE</t>
  </si>
  <si>
    <t>Total Opportunities</t>
  </si>
  <si>
    <t>32</t>
  </si>
  <si>
    <t>Opps with estimated_value</t>
  </si>
  <si>
    <t>32 (100%)</t>
  </si>
  <si>
    <t>Total Pipeline Value</t>
  </si>
  <si>
    <t>$310.8M</t>
  </si>
  <si>
    <t>Departments with opps</t>
  </si>
  <si>
    <t>6 of 13</t>
  </si>
  <si>
    <t>Dept of War</t>
  </si>
  <si>
    <t>26 opps | $297.5M | Avg $11.4M</t>
  </si>
  <si>
    <t>DHS</t>
  </si>
  <si>
    <t>2 opps | $7.8M</t>
  </si>
  <si>
    <t>Interior</t>
  </si>
  <si>
    <t>1 opp | $3.5M</t>
  </si>
  <si>
    <t>Transportation</t>
  </si>
  <si>
    <t>1 opp | $1.2M</t>
  </si>
  <si>
    <t>VA</t>
  </si>
  <si>
    <t>1 opp | $450K</t>
  </si>
  <si>
    <t>State</t>
  </si>
  <si>
    <t>1 opp | $350K</t>
  </si>
  <si>
    <t>MARKET DATA (GovTribe Real Numbers)</t>
  </si>
  <si>
    <t>Metric</t>
  </si>
  <si>
    <t>Value</t>
  </si>
  <si>
    <t>Source</t>
  </si>
  <si>
    <t>Total SAM (all 3 companies)</t>
  </si>
  <si>
    <t>$53.6B</t>
  </si>
  <si>
    <t>GovTribe 12mo awards, 16 NAICS codes</t>
  </si>
  <si>
    <t>Total Awards Counted</t>
  </si>
  <si>
    <t>62,122</t>
  </si>
  <si>
    <t>GovTribe aggregation</t>
  </si>
  <si>
    <t>EIS NAICS</t>
  </si>
  <si>
    <t>541330, 541512, 541519, 541611, 541715, 541990, 611430, 611512</t>
  </si>
  <si>
    <t>8 codes</t>
  </si>
  <si>
    <t>PD Systems NAICS</t>
  </si>
  <si>
    <t>541511, 541512, 541513, 541519, 541715, 518210, 334511</t>
  </si>
  <si>
    <t>7 codes</t>
  </si>
  <si>
    <t>Riverstone NAICS</t>
  </si>
  <si>
    <t>541512, 541519, 517410, 517919, 561621, 541690</t>
  </si>
  <si>
    <t>6 codes</t>
  </si>
  <si>
    <t>Unique NAICS (combined)</t>
  </si>
  <si>
    <t>16 codes total</t>
  </si>
  <si>
    <t>Deduped across 3 companies</t>
  </si>
  <si>
    <t>Top: AF</t>
  </si>
  <si>
    <t>AF + AFRL + AFLCMC</t>
  </si>
  <si>
    <t>Top: Navy</t>
  </si>
  <si>
    <t>$5.7B</t>
  </si>
  <si>
    <t>NAVSEA + NAVAIR + NIWC + NAWC</t>
  </si>
  <si>
    <t>Top: DHS/CBP</t>
  </si>
  <si>
    <t>$1.2B</t>
  </si>
  <si>
    <t>Customs and Border Protection</t>
  </si>
  <si>
    <t>Top: FAA</t>
  </si>
  <si>
    <t>$1.1B</t>
  </si>
  <si>
    <t>Federal Aviation Administration</t>
  </si>
  <si>
    <t>Top: VA TAC</t>
  </si>
  <si>
    <t>$1.07B</t>
  </si>
  <si>
    <t>Technology Acquisition Center Austin</t>
  </si>
  <si>
    <t>Top: Army PEO M&amp;S</t>
  </si>
  <si>
    <t>$1.28B</t>
  </si>
  <si>
    <t>PEO Missiles and Space</t>
  </si>
  <si>
    <t>GIT LOG (Session)</t>
  </si>
  <si>
    <t>528645e S-089: fix fetch to use opportunities first</t>
  </si>
  <si>
    <t>d3885bd S-089: 4-level hierarchy + fix KPIs</t>
  </si>
  <si>
    <t>6433760 S-089: purge alerts merge + use opp_title</t>
  </si>
  <si>
    <t>4226dd4 S-089: revert + OODA bullets via React elements</t>
  </si>
  <si>
    <t>791f7fb S-089: OODA phaseText + timeout 45s</t>
  </si>
  <si>
    <t>CC: PAM-TAM-SAM-SOM chart + collapse defaults + remove dead charts</t>
  </si>
  <si>
    <t>CC: all 13 depts in PAM-TAM-SAM-SOM dropdown</t>
  </si>
  <si>
    <t>CC: PAM-TAM-SAM-SOM font scaling</t>
  </si>
  <si>
    <t>CC: real GovTribe SAM $53.6B + pipeline SOM $310.8M (pending)</t>
  </si>
  <si>
    <t>GDA COMMAND — SESSION START PROTOCOL</t>
  </si>
  <si>
    <t>MANDATORY FIRST STEPS (every session, no exceptions)</t>
  </si>
  <si>
    <t>Step 1</t>
  </si>
  <si>
    <t>Read this workbook tab completely before touching any code</t>
  </si>
  <si>
    <t>Step 2</t>
  </si>
  <si>
    <t>Read GDA Master gist: https://gist.github.com/shawnseffernick175/dd562918f676affd62153a5f06e7d7d9</t>
  </si>
  <si>
    <t>Step 3</t>
  </si>
  <si>
    <t>Run tool_search('n8n') to confirm MCP loaded</t>
  </si>
  <si>
    <t>Step 4 (if MCP missing)</t>
  </si>
  <si>
    <t>STOP. Tell Shawn 'MCP not connected, start a new chat'. Do NOT proceed.</t>
  </si>
  <si>
    <t>Step 5</t>
  </si>
  <si>
    <t>Check REQ tracker in this workbook for open items</t>
  </si>
  <si>
    <t>Step 6</t>
  </si>
  <si>
    <t>Deploy and test</t>
  </si>
  <si>
    <t>PROJECT ARCHITECTURE</t>
  </si>
  <si>
    <t>Source file</t>
  </si>
  <si>
    <t>/opt/gda-command/src/App.jsx (single-file React app)</t>
  </si>
  <si>
    <t>Build tool</t>
  </si>
  <si>
    <t>Vite</t>
  </si>
  <si>
    <t>Served from</t>
  </si>
  <si>
    <t>/root/gda-frontend/dist/ via nginx bind-mount (read-only)</t>
  </si>
  <si>
    <t>Live URL</t>
  </si>
  <si>
    <t>gda.csr-llc.tech</t>
  </si>
  <si>
    <t>GitHub</t>
  </si>
  <si>
    <t>shawnseffernick175/gda-command (private)</t>
  </si>
  <si>
    <t>Backend</t>
  </si>
  <si>
    <t>n8n at n8n.csr-llc.tech</t>
  </si>
  <si>
    <t>Database</t>
  </si>
  <si>
    <t>Postgres inside ~/n8n-envision docker compose</t>
  </si>
  <si>
    <t>Auth key (frontend)</t>
  </si>
  <si>
    <t>auth_key: "gda-api-2026-secure" (injected at line 25 of App.jsx)</t>
  </si>
  <si>
    <t>Docker stack</t>
  </si>
  <si>
    <t>6 containers: n8n, postgres, redis, mcp, gda-frontend, network</t>
  </si>
  <si>
    <t>DEPLOY PIPELINE (the only way to deploy)</t>
  </si>
  <si>
    <t>Workflow</t>
  </si>
  <si>
    <t>gda-deploy (ID: 8GnGxnBL9TJjj1i2, ACTIVE)</t>
  </si>
  <si>
    <t>Webhook</t>
  </si>
  <si>
    <t>POST https://n8n.csr-llc.tech/webhook/gda-deploy</t>
  </si>
  <si>
    <t>Auth</t>
  </si>
  <si>
    <t>deploy_key: "gda-deploy-2026-secure" (NOT the old GDA_DEPLOY_2025)</t>
  </si>
  <si>
    <t>SSH credential</t>
  </si>
  <si>
    <t>VqYFb1aRGJa8UfBc ('VPS Root SSH')</t>
  </si>
  <si>
    <t>Payload format</t>
  </si>
  <si>
    <t>{"deploy_key": "...", "files": {"src/App.jsx": "&lt;content&gt;"}, "commit_message": "..."}</t>
  </si>
  <si>
    <t>Patch -&gt; npm build -&gt; cp dist/ -&gt; docker restart -&gt; git push (~15s)</t>
  </si>
  <si>
    <t>CRITICAL</t>
  </si>
  <si>
    <t>Always include deploy_key in payload. Omitting it causes SILENT failure.</t>
  </si>
  <si>
    <t>No Netlify</t>
  </si>
  <si>
    <t>DNS is VPS A record (187.77.206.105). Netlify fully eliminated.</t>
  </si>
  <si>
    <t>MCP INFRASTRUCTURE</t>
  </si>
  <si>
    <t>Connector</t>
  </si>
  <si>
    <t>mcp.csr-llc.tech</t>
  </si>
  <si>
    <t>Tools only initialize at chat start. NEVER mid-session. If missing: new chat.</t>
  </si>
  <si>
    <t>n8n crash recovery</t>
  </si>
  <si>
    <t>cd ~/n8n-envision &amp;&amp; docker compose down &amp;&amp; docker compose up -d (full cycle, not restart). Wait 90s.</t>
  </si>
  <si>
    <t>Verify n8n</t>
  </si>
  <si>
    <t>docker logs n8n-envision-n8n-1 --tail 5 -&gt; should show "Editor is now accessible."</t>
  </si>
  <si>
    <t>n8n API</t>
  </si>
  <si>
    <t>curl localhost:5678/api/v1/workflows/{id} with X-N8N-API-KEY</t>
  </si>
  <si>
    <t>TECHNICAL CONSTRAINTS (violating these causes failures)</t>
  </si>
  <si>
    <t>MCP param limit</t>
  </si>
  <si>
    <t>~8KB. Never embed large file content in tool parameters. Use n8n data pipeline.</t>
  </si>
  <si>
    <t>No raw emoji</t>
  </si>
  <si>
    <t>Patch scripts must never contain raw emoji or surrogate-pair Unicode. Use \u2192 or plain text.</t>
  </si>
  <si>
    <t>Python patches</t>
  </si>
  <si>
    <t>Use c.index() for byte positions, c.replace('exact','replacement',1) for targeted insertions. Include UTF-8 check.</t>
  </si>
  <si>
    <t>Poll executions</t>
  </si>
  <si>
    <t>n8n_executions (list then get with mode: filtered, nodeNames)</t>
  </si>
  <si>
    <t>openpyxl fill color</t>
  </si>
  <si>
    <t>Must use full 8-char ARGB (e.g., FFD5F5E3). 6-char RGB produces transparent fill.</t>
  </si>
  <si>
    <t>END-OF-SESSION REQUIREMENT</t>
  </si>
  <si>
    <t>POST to</t>
  </si>
  <si>
    <t>/webhook/gda-gist-update</t>
  </si>
  <si>
    <t>Payload</t>
  </si>
  <si>
    <t>{auth_key, session, completed, broken, next_steps, head_commit, line_count, deploy_count}</t>
  </si>
  <si>
    <t>If webhook missing</t>
  </si>
  <si>
    <t>Remind Shawn to build it. Fallback: tell Shawn to paste manually.</t>
  </si>
  <si>
    <t>S-097 KEY ADDITIONS</t>
  </si>
  <si>
    <t>webhookId Fix</t>
  </si>
  <si>
    <t>MCP-created workflows need webhookId on Webhook nodes for production registration. API toggle/restart does NOT fix.</t>
  </si>
  <si>
    <t>Trade Engine</t>
  </si>
  <si>
    <t>NEVER touch 1G4gw4N7DFtVZKF7 or NQmaj5nu4TBQxBgD. Shawn owns.</t>
  </si>
  <si>
    <t>IDIQ Tracker</t>
  </si>
  <si>
    <t>21 vehicles in gda_idiq_tracker. IDIQs are vehicles, NOT opportunities. TOs auto-create as [TO] prefix opps.</t>
  </si>
  <si>
    <t>Daily Crons</t>
  </si>
  <si>
    <t>5 automated searches: NAICS (7AM), Dept (8AM), IDIQ TO (9AM), DPC (Mon), DHS (Mon/Thu). All UTC except noted.</t>
  </si>
  <si>
    <t>Gemini E2E</t>
  </si>
  <si>
    <t>Fixed S-097 — was dead (Respond blocked cron). Now fires 6AM ET Mon-Fri. 34 endpoints.</t>
  </si>
  <si>
    <t>cf5ad50. 4400+ lines + 23 components. 90+ workflows.</t>
  </si>
  <si>
    <t>GDA COMMAND — PLATFORM REQUIREMENTS (NEVER VIOLATE)</t>
  </si>
  <si>
    <t>PURPOSE</t>
  </si>
  <si>
    <t>What it is</t>
  </si>
  <si>
    <t>One-stop shop for Shawn as EIS President. Defense acquisition intelligence platform.</t>
  </si>
  <si>
    <t>Who it serves</t>
  </si>
  <si>
    <t>EIS, PD Systems, and Riverstone Solutions (all under CSR LLC)</t>
  </si>
  <si>
    <t>Target customers</t>
  </si>
  <si>
    <t>SOCOM, TRADOC/PEO STRI, Army Futures Command, INSCOM, CYBERCOM, DISA, INDOPACOM</t>
  </si>
  <si>
    <t>Revenue target</t>
  </si>
  <si>
    <t>DOD ORGANIZATIONAL HIERARCHY (MANDATORY — USE EVERYWHERE)</t>
  </si>
  <si>
    <t>Every display of departments/agencies/programs MUST follow this hierarchy. Never flatten.</t>
  </si>
  <si>
    <t>Level 1: Cabinet Department</t>
  </si>
  <si>
    <t>Department of War, DHS, DOJ, Intelligence Community, DOE, etc.</t>
  </si>
  <si>
    <t>Level 2: Military Dept / Defense Agency</t>
  </si>
  <si>
    <t>Dept of the Army, Dept of the Air Force, Dept of the Navy, DISA, DARPA, MDA, NGA, NSA, DIA, etc.</t>
  </si>
  <si>
    <t>Level 3: Command / Agency / PEO</t>
  </si>
  <si>
    <t>PEO STRI, Army Futures Command, INSCOM, CYBERCOM, TRADOC, SOCOM, 25th Air Force, etc.</t>
  </si>
  <si>
    <t>Level 4: Program / Opportunity</t>
  </si>
  <si>
    <t>DC3 SETA, C2 Digital &amp; Sim Support, SETA Public Safety Comms, etc.</t>
  </si>
  <si>
    <t>CORRECT example</t>
  </si>
  <si>
    <t>Dept of War -&gt; Dept of the Army -&gt; PEO STRI -&gt; C2 Digital &amp; Sim Support</t>
  </si>
  <si>
    <t>WRONG example</t>
  </si>
  <si>
    <t>Dept of War -&gt; C2 Digital &amp; Sim Support (skipped 2 levels)</t>
  </si>
  <si>
    <t>Display rule</t>
  </si>
  <si>
    <t>Command Center hierarchy section: Top 5 Cabinet Depts, each expandable/collapsible through all 4 levels</t>
  </si>
  <si>
    <t>Display default</t>
  </si>
  <si>
    <t>Level 1 expanded, Level 2 expanded for largest dept only, Levels 3-4 collapsed</t>
  </si>
  <si>
    <t>DATA RULES</t>
  </si>
  <si>
    <t>Sources must be verified</t>
  </si>
  <si>
    <t>All answers need verified sources with citations.</t>
  </si>
  <si>
    <t>Cards must be clickable</t>
  </si>
  <si>
    <t>Every card must have a source URL that opens the original source.</t>
  </si>
  <si>
    <t>Auto-scrub</t>
  </si>
  <si>
    <t>GovWin/SAM.gov daily via scheduled n8n workflows.</t>
  </si>
  <si>
    <t>AI behavior</t>
  </si>
  <si>
    <t>Acts as smartest GovCon/PM. Proactively tracks programs, identifies competitors dynamically.</t>
  </si>
  <si>
    <t>Zero data leakage</t>
  </si>
  <si>
    <t>No internal data exposed to external APIs beyond what's necessary for queries.</t>
  </si>
  <si>
    <t>CHART REQUIREMENTS</t>
  </si>
  <si>
    <t>Every chart answers a decision question</t>
  </si>
  <si>
    <t>No decorative filler. If it doesn't inform a decision, remove it.</t>
  </si>
  <si>
    <t>Required charts</t>
  </si>
  <si>
    <t>Pipeline funnel, dept treemap, 90-day timeline, Pwin distribution, balance trend, risk trend</t>
  </si>
  <si>
    <t>All interactive</t>
  </si>
  <si>
    <t>Drill-down on click. Trend lines on everything.</t>
  </si>
  <si>
    <t>Real data only</t>
  </si>
  <si>
    <t>No placeholder/dummy data in production. If no data, show 'No data yet' not fake numbers.</t>
  </si>
  <si>
    <t>NAVIGATION</t>
  </si>
  <si>
    <t>Nav IDs for _gdaNavigate</t>
  </si>
  <si>
    <t>launchpad, actions, sitrep, ooda, ops, opp-tracker, ai</t>
  </si>
  <si>
    <t>Tab count</t>
  </si>
  <si>
    <t>18 tabs including Intel Feed</t>
  </si>
  <si>
    <t>Active workflows</t>
  </si>
  <si>
    <t>54 active n8n workflows</t>
  </si>
  <si>
    <t>DB tables</t>
  </si>
  <si>
    <t>18+ Postgres tables including daily_trends and risk_register</t>
  </si>
  <si>
    <t>STRATEGIC GUARDRAILS</t>
  </si>
  <si>
    <t>Must-wins</t>
  </si>
  <si>
    <t>IEWS SETA + all recompetes</t>
  </si>
  <si>
    <t>AI competitors</t>
  </si>
  <si>
    <t>AI dynamically identifies competitors — never hardcode competitor lists</t>
  </si>
  <si>
    <t>Autonomy tiers</t>
  </si>
  <si>
    <t>Green (auto) / Yellow (notify) / Red (ask Shawn). Claude Code can execute Green + Yellow autonomously.</t>
  </si>
  <si>
    <t>API KEYS &amp; CREDENTIALS</t>
  </si>
  <si>
    <t>Tavily</t>
  </si>
  <si>
    <t>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</t>
  </si>
  <si>
    <t>GovTribe MCP</t>
  </si>
  <si>
    <t>Connected</t>
  </si>
  <si>
    <t>Deploy key</t>
  </si>
  <si>
    <t>gda-deploy-2026-secure</t>
  </si>
  <si>
    <t>Frontend auth</t>
  </si>
  <si>
    <t>gda-api-2026-secure</t>
  </si>
  <si>
    <t>DATABASE SCHEMA — CHECK BEFORE EVERY SQL QUERY</t>
  </si>
  <si>
    <t>KNOWN TABLE / COLUMN MAPPING ISSUES (bugs we've already hit)</t>
  </si>
  <si>
    <t>RULE</t>
  </si>
  <si>
    <t>ALWAYS check actual column names with \d table_name BEFORE writing SQL. Never assume.</t>
  </si>
  <si>
    <t>Table</t>
  </si>
  <si>
    <t>Key Columns</t>
  </si>
  <si>
    <t>gda_opportunity_tracker</t>
  </si>
  <si>
    <t>Main opp table</t>
  </si>
  <si>
    <t>title, agency, cabinet_department, fit_score, estimated_value, deadline, naics, set_aside, source, stage</t>
  </si>
  <si>
    <t>opportunity_alerts</t>
  </si>
  <si>
    <t>Backup/alert copy of opps</t>
  </si>
  <si>
    <t>Same structure as gda_opportunity_tracker — 29 rows as of 3/16/2026</t>
  </si>
  <si>
    <t>gda_trades</t>
  </si>
  <si>
    <t>Trading challenge trades</t>
  </si>
  <si>
    <t>symbol, opened_at, quantity, direction, status, balance, entry_price, stop_loss, take_profit</t>
  </si>
  <si>
    <t>gda_trade_signals</t>
  </si>
  <si>
    <t>Trading signals</t>
  </si>
  <si>
    <t>signal_type, entry_target, stop_loss, take_profit, ai_reasoning, confidence, acted_on</t>
  </si>
  <si>
    <t>daily_trends</t>
  </si>
  <si>
    <t>Daily intel trends</t>
  </si>
  <si>
    <t>Check columns before use</t>
  </si>
  <si>
    <t>risk_register</t>
  </si>
  <si>
    <t>Active risks</t>
  </si>
  <si>
    <t>Currently empty — needs population</t>
  </si>
  <si>
    <t>COLUMN NAME BUGS WE'VE HIT (do NOT repeat these)</t>
  </si>
  <si>
    <t>WRONG column</t>
  </si>
  <si>
    <t>CORRECT column</t>
  </si>
  <si>
    <t>What broke</t>
  </si>
  <si>
    <t>running_balance</t>
  </si>
  <si>
    <t>balance</t>
  </si>
  <si>
    <t>Dashboard SQL used wrong name</t>
  </si>
  <si>
    <t>trade_date</t>
  </si>
  <si>
    <t>opened_at</t>
  </si>
  <si>
    <t>status='closed'</t>
  </si>
  <si>
    <t>status='CLOSED'</t>
  </si>
  <si>
    <t>DB stores uppercase</t>
  </si>
  <si>
    <t>tier, executed, action, entry_price, reasoning</t>
  </si>
  <si>
    <t>signal_type, acted_on, action, entry_target, ai_reasoning</t>
  </si>
  <si>
    <t>Signal feed showed nothing</t>
  </si>
  <si>
    <t>sig.direction</t>
  </si>
  <si>
    <t>action (BUY/SELL not direction)</t>
  </si>
  <si>
    <t>Wrong direction colors</t>
  </si>
  <si>
    <t>t.instrument, t.trade_date, t.size</t>
  </si>
  <si>
    <t>symbol, opened_at, quantity</t>
  </si>
  <si>
    <t>Journal rows showed --</t>
  </si>
  <si>
    <t>N8N WORKFLOW RULES — MUST FOLLOW</t>
  </si>
  <si>
    <t>DATA SAFETY (violating these has wiped prod data)</t>
  </si>
  <si>
    <t>NEVER DELETE before INSERT</t>
  </si>
  <si>
    <t>Use UPSERT (INSERT ON CONFLICT UPDATE) always. We lost all 29 opps on 3/16 because a workflow did DELETE FROM before insert.</t>
  </si>
  <si>
    <t>NEVER TRUNCATE</t>
  </si>
  <si>
    <t>No TRUNCATE TABLE in any workflow. Ever.</t>
  </si>
  <si>
    <t>Upsert key</t>
  </si>
  <si>
    <t>Use unique identifier (solicitation number, GovTribe ID, SAM notice ID, or title as fallback)</t>
  </si>
  <si>
    <t>Source tracking</t>
  </si>
  <si>
    <t>Every table should have a 'source' column to track where data came from (govtribe, sam, govwin, manual)</t>
  </si>
  <si>
    <t>Multi-source coexistence</t>
  </si>
  <si>
    <t>GovTribe opps must coexist with GovWin/SAM opps. Never overwrite one source with another.</t>
  </si>
  <si>
    <t>API RATE LIMITS</t>
  </si>
  <si>
    <t>Batch requests, max 10 per call, 2-second delays between pages. Max 50 opps per sync run.</t>
  </si>
  <si>
    <t>SAM.gov</t>
  </si>
  <si>
    <t>10 requests/minute. Add delays between calls.</t>
  </si>
  <si>
    <t>GovWin</t>
  </si>
  <si>
    <t>If web scraping, limit to 20 opps per sync.</t>
  </si>
  <si>
    <t>General rule</t>
  </si>
  <si>
    <t>Never run parallel API calls to the same source.</t>
  </si>
  <si>
    <t>N8N NODE BUGS WE'VE HIT</t>
  </si>
  <si>
    <t>typeVersion 3 Switch nodes</t>
  </si>
  <si>
    <t>MUST have options.caseSensitive in every rule condition. Missing it causes 'Cannot read properties of undefined' crash.</t>
  </si>
  <si>
    <t>Respond to Webhook</t>
  </si>
  <si>
    <t>EVERY branch must end with a Respond node. If a branch crashes before Respond, n8n returns empty 200 and frontend gets 'Unexpected end of JSON input'.</t>
  </si>
  <si>
    <t>Score Opportunities node</t>
  </si>
  <si>
    <t>Must return at least one item ({_hasData: false} when empty). Empty array causes downstream skip.</t>
  </si>
  <si>
    <t>Format Scan node</t>
  </si>
  <si>
    <t>Must be connected to Respond node. Disconnected = action:scan hangs forever.</t>
  </si>
  <si>
    <t>WEBHOOK NAMING</t>
  </si>
  <si>
    <t>Opp sync (real pipeline)</t>
  </si>
  <si>
    <t>gda-opportunity-sync (triggers GDA.sched.opp-daily)</t>
  </si>
  <si>
    <t>Opp tracker list</t>
  </si>
  <si>
    <t>gda-opp-tracker (action: list)</t>
  </si>
  <si>
    <t>Trade control</t>
  </si>
  <si>
    <t>gda-trade-control (dashboard/status/start/stop)</t>
  </si>
  <si>
    <t>Trade signals</t>
  </si>
  <si>
    <t>gda-trading (action: list)</t>
  </si>
  <si>
    <t>gda-deploy</t>
  </si>
  <si>
    <t>WRONG (don't use)</t>
  </si>
  <si>
    <t>gda-govtribe-refresh (never existed, caused 404)</t>
  </si>
  <si>
    <t>STATUS AS OF 3/24/2026 (S-102)</t>
  </si>
  <si>
    <t>COMMAND CENTER</t>
  </si>
  <si>
    <t>Component</t>
  </si>
  <si>
    <t>Active Opps KPI (29)</t>
  </si>
  <si>
    <t>WORKING</t>
  </si>
  <si>
    <t>High Fit KPI (28)</t>
  </si>
  <si>
    <t>Avg Fit Score KPI (60)</t>
  </si>
  <si>
    <t>Due in 14 Days KPI</t>
  </si>
  <si>
    <t>EIS Fit Donut Chart</t>
  </si>
  <si>
    <t>Pipeline Value KPI</t>
  </si>
  <si>
    <t>BROKEN</t>
  </si>
  <si>
    <t>$0 — estimated_value not populated</t>
  </si>
  <si>
    <t>Pipeline by Dept Bar Chart</t>
  </si>
  <si>
    <t>All $0M — same root cause as Pipeline Value</t>
  </si>
  <si>
    <t>Dept/Program Hierarchy</t>
  </si>
  <si>
    <t>MISSING</t>
  </si>
  <si>
    <t>Needs full 4-level DoD hierarchy display (see PLATFORM SPECS)</t>
  </si>
  <si>
    <t>Pipeline Funnel</t>
  </si>
  <si>
    <t>All opps stuck at Identified. No stage progression logic.</t>
  </si>
  <si>
    <t>Active Risks</t>
  </si>
  <si>
    <t>Shows 0 — risk_register table empty</t>
  </si>
  <si>
    <t>OPPORTUNITY TRACKER</t>
  </si>
  <si>
    <t>29 opps loaded</t>
  </si>
  <si>
    <t>Restored after DELETE wipe</t>
  </si>
  <si>
    <t>Refresh button</t>
  </si>
  <si>
    <t>Hits gda-opportunity-sync, label: 'Refresh from GovWin / SAM.gov'</t>
  </si>
  <si>
    <t>Fit scores + badges</t>
  </si>
  <si>
    <t>Filters (dept/NAICS/fit/set-aside)</t>
  </si>
  <si>
    <t>Dollar values on cards</t>
  </si>
  <si>
    <t>Every opp shows TBD — estimated_value not populated</t>
  </si>
  <si>
    <t>Stage progression</t>
  </si>
  <si>
    <t>No way to move opps through Identified-&gt;Qualified-&gt;Capture-&gt;Proposal-&gt;Award</t>
  </si>
  <si>
    <t>TRADING CHALLENGE</t>
  </si>
  <si>
    <t>Scan section</t>
  </si>
  <si>
    <t>Fixed 3/16 — NVDA + F signals loading</t>
  </si>
  <si>
    <t>Signal cards (entry/stop/target/R:R)</t>
  </si>
  <si>
    <t>Fixed 3/16 — field names corrected</t>
  </si>
  <si>
    <t>Journal tab</t>
  </si>
  <si>
    <t>Fixed 3/16 — column names corrected</t>
  </si>
  <si>
    <t>Dashboard metrics</t>
  </si>
  <si>
    <t>VERIFY</t>
  </si>
  <si>
    <t>Needs confirmation after today's fixes</t>
  </si>
  <si>
    <t>PRIORITY FIX ORDER (work top to bottom)</t>
  </si>
  <si>
    <t>Details</t>
  </si>
  <si>
    <t>$0 pipeline values</t>
  </si>
  <si>
    <t>estimated_value not populated. Check DB, check ingestion, check if GovWin/SAM returns values or needs Claude estimation.</t>
  </si>
  <si>
    <t>DoD hierarchy display</t>
  </si>
  <si>
    <t>Command Center needs 4-level expandable hierarchy (Cabinet -&gt; MilDept -&gt; Command/PEO -&gt; Program). See PLATFORM SPECS tab.</t>
  </si>
  <si>
    <t>Pipeline stage progression</t>
  </si>
  <si>
    <t>Add stage dropdown on opp cards OR auto-stage logic. Funnel chart is useless without this.</t>
  </si>
  <si>
    <t>Risk register population</t>
  </si>
  <si>
    <t>Auto-generate risks from opp data (deadlines, low fit, missing capture plans) OR manual entry form.</t>
  </si>
  <si>
    <t>Doc Compare in Doc RAG</t>
  </si>
  <si>
    <t>Deploy requested 3/16. Needs testing.</t>
  </si>
  <si>
    <t>BACKLOG — NOT RUSH</t>
  </si>
  <si>
    <t>BL-NEW-001</t>
  </si>
  <si>
    <t>PAM/TAM/SAM/SOM Department Analysis</t>
  </si>
  <si>
    <t>Replace ALL Launchpad charts with a single PAM-TAM-SAM-SOM concentric circle chart. Department dropdown to select any of the 13 cabinet departments. Shows: PAM (total market demand), TAM (total addressable market), SAM (serviceable available — geo/demographic/operational factors), SOM (obtainable — what EIS can actually capture given capabilities and competition). Each circle shows dollar value. Data sources: DEPT_BUDGETS for PAM, GovTribe opportunity totals for TAM, NAICS-filtered for SAM, EIS pipeline for SOM.</t>
  </si>
  <si>
    <t>SESSION S-087 END-OF-DAY STATUS (3/16/2026 ~11PM)</t>
  </si>
  <si>
    <t>Opportunities</t>
  </si>
  <si>
    <t>295</t>
  </si>
  <si>
    <t>Was 29. 234 SAM.gov + 32 GovWin + 29 GovTribe. Daily sync at 0600 EST.</t>
  </si>
  <si>
    <t>Opportunity Value</t>
  </si>
  <si>
    <t>$1.1B+</t>
  </si>
  <si>
    <t>Real values from AI estimation. Will grow with 295 opps scored.</t>
  </si>
  <si>
    <t>Departments Covered</t>
  </si>
  <si>
    <t>5+</t>
  </si>
  <si>
    <t>DoW, IC, VA, DOJ, DHS. SAM.gov adds more coverage. 8 depts still gap.</t>
  </si>
  <si>
    <t>4-level hierarchy, clickable programs, detail panel, OODA inline, Ask AI, grouped/flat, scoring legend, predictive insights</t>
  </si>
  <si>
    <t>Trading Challenge</t>
  </si>
  <si>
    <t>Engine running, 11 signals, scan/journal/dashboard all functional</t>
  </si>
  <si>
    <t>SITREP</t>
  </si>
  <si>
    <t>Generates from live platform data. 7 sections. Cache + history. Print/PDF.</t>
  </si>
  <si>
    <t>Two-panel upload, compliance matrix, 4 analysis tabs, export to markdown</t>
  </si>
  <si>
    <t>Doc Compare</t>
  </si>
  <si>
    <t>Two-panel upload, side-by-side comparison, differences/similarities/risk flags</t>
  </si>
  <si>
    <t>NOT DONE</t>
  </si>
  <si>
    <t>Still 0 risks. Table exists but not populated. Next session priority.</t>
  </si>
  <si>
    <t>Broad Pull Pipeline</t>
  </si>
  <si>
    <t>GDA.sched.broad-opp-pull. SAM.gov + GovTribe. Daily 0600. Webhook: gda-broad-pull</t>
  </si>
  <si>
    <t>Fit Scoring (new opps)</t>
  </si>
  <si>
    <t>SAM.gov opps score 10-20 (low) because description is URL not text. Need enrichment.</t>
  </si>
  <si>
    <t>S-087 DEPLOY COUNT: 25+ deploys. HEAD: multiple commits. Lines: ~2500+</t>
  </si>
  <si>
    <t>Risk Register population</t>
  </si>
  <si>
    <t>Auto-generate from 295 opps. Deadline risks, capture gaps, recompete alerts.</t>
  </si>
  <si>
    <t>SAM.gov opp enrichment</t>
  </si>
  <si>
    <t>New opps score low (10-20) because SAM description is a URL. Fetch full text.</t>
  </si>
  <si>
    <t>Score all 295 opps properly</t>
  </si>
  <si>
    <t>Re-run EIS fit scoring with full descriptions for accurate scores.</t>
  </si>
  <si>
    <t>Capture Intel modules</t>
  </si>
  <si>
    <t>Incumbent analysis, contacts, vehicles, competitors via GovTribe MCP.</t>
  </si>
  <si>
    <t>Update passwords</t>
  </si>
  <si>
    <t>Shawn needs to update passwords.</t>
  </si>
  <si>
    <t>PAM/TAM/SAM/SOM chart</t>
  </si>
  <si>
    <t>Backlog. Replace Launchpad charts with market sizing by department.</t>
  </si>
  <si>
    <t>S-097 UPDATES (3/22/2026)</t>
  </si>
  <si>
    <t>New Workflows</t>
  </si>
  <si>
    <t>8 created, 4 deactivated</t>
  </si>
  <si>
    <t>Net +4</t>
  </si>
  <si>
    <t>21 vehicles (7 held, 14 targeting)</t>
  </si>
  <si>
    <t>$489B ceiling</t>
  </si>
  <si>
    <t>E2E Suite</t>
  </si>
  <si>
    <t>34 endpoints</t>
  </si>
  <si>
    <t>6AM ET Mon-Fri</t>
  </si>
  <si>
    <t>Opp Search Stack</t>
  </si>
  <si>
    <t>5 daily crons (3 SAM + 2 Tavily+AI)</t>
  </si>
  <si>
    <t>~$3/month</t>
  </si>
  <si>
    <t>Shipley Tools</t>
  </si>
  <si>
    <t>BL-043/044/045 all DONE</t>
  </si>
  <si>
    <t>Backend + frontend</t>
  </si>
  <si>
    <t>MCP workflows need webhookId on Webhook nodes</t>
  </si>
  <si>
    <t>Documented</t>
  </si>
  <si>
    <t>SHAWN'S RULES — HOW TO WORK WITH ME</t>
  </si>
  <si>
    <t>I communicate in terse, directive shorthand. Don't ask me to clarify obvious things.</t>
  </si>
  <si>
    <t>I expect FULLY AUTONOMOUS execution. I do not run commands, paste code, or navigate UIs unless explicitly required (OAuth, unknown API keys, RED-tier decisions).</t>
  </si>
  <si>
    <t>If you need MCP and it's not connected, STOP IMMEDIATELY and tell me to start a new chat. Do not waste time.</t>
  </si>
  <si>
    <t>Show me what you found broken and what you fixed BEFORE deploying. Don't just say 'done'.</t>
  </si>
  <si>
    <t>When I say 'start at top and work your way down' — I mean fix items in priority order, one at a time, confirm each before moving to next.</t>
  </si>
  <si>
    <t>Do NOT rewrite things that are already working. If 29 opps are loading, don't touch that code path.</t>
  </si>
  <si>
    <t>NEVER truncate or delete data without explicit approval. We lost all opps on 3/16 because of this.</t>
  </si>
  <si>
    <t>Check actual DB column names BEFORE writing SQL. We've wasted entire sessions on column name mismatches.</t>
  </si>
  <si>
    <t>Every session should end with an update to the Master Build workbook — session log, status changes, new findings.</t>
  </si>
  <si>
    <t>If something breaks during a fix, ROLLBACK before trying a different approach. Don't stack fixes on top of broken state.</t>
  </si>
  <si>
    <t>GDA CAPTURE INTELLIGENCE — BUILD OUR OWN VoicedIQ</t>
  </si>
  <si>
    <t>PURPOSE: Replace $1000+/mo VoicedIQ subscription with built-in GDA capability using GovTribe MCP + Claude AI</t>
  </si>
  <si>
    <t>MODULES TO BUILD (priority order)</t>
  </si>
  <si>
    <t>Module</t>
  </si>
  <si>
    <t>What It Does</t>
  </si>
  <si>
    <t>Data Source</t>
  </si>
  <si>
    <t>1. Incumbent Analysis</t>
  </si>
  <si>
    <t>Who holds contract now, price paid, contract expiry date</t>
  </si>
  <si>
    <t>GovTribe Awards API</t>
  </si>
  <si>
    <t>NOT STARTED</t>
  </si>
  <si>
    <t>2. Contact Database</t>
  </si>
  <si>
    <t>Contracting officers, PMs, eval panel members per opp</t>
  </si>
  <si>
    <t>GovTribe Contacts API</t>
  </si>
  <si>
    <t>3. Vehicle Tracker</t>
  </si>
  <si>
    <t>Which IDIQs can bid each opp (CIO-SP4, ITES-4S, Alliant 3, 8(a) STARS III, SEWP VI, SeaPort-NxG, etc.)</t>
  </si>
  <si>
    <t>GovTribe IDV/Vehicles API</t>
  </si>
  <si>
    <t>4. Competitor Field Analysis</t>
  </si>
  <si>
    <t>Who's likely bidding based on NAICS + agency + set-aside + past wins</t>
  </si>
  <si>
    <t>GovTribe Vendors + Awards</t>
  </si>
  <si>
    <t>5. AI Black Hat Assessment</t>
  </si>
  <si>
    <t>Shipley-style: 'If you were [competitor], what's your bid strategy, strengths, weaknesses?'</t>
  </si>
  <si>
    <t>GovTribe Vendor data + Claude AI</t>
  </si>
  <si>
    <t>6. Teaming Finder</t>
  </si>
  <si>
    <t>Find partners by certification (SDVOSB, 8a, HUBZone) + NAICS + past performance</t>
  </si>
  <si>
    <t>GovTribe Vendors API</t>
  </si>
  <si>
    <t>7. RFP Alert Engine</t>
  </si>
  <si>
    <t>Saved searches across all 12 EIS NAICS codes. 15-min refresh from GovTribe.</t>
  </si>
  <si>
    <t>GovTribe Saved Searches</t>
  </si>
  <si>
    <t>8. Federal Forecasts</t>
  </si>
  <si>
    <t>Opps agencies PLAN to release but haven't posted yet</t>
  </si>
  <si>
    <t>GovTribe Forecasts API</t>
  </si>
  <si>
    <t>9. Task Area Analysis</t>
  </si>
  <si>
    <t>AI extracts key requirements from opp description, maps to EIS capabilities, identifies gaps</t>
  </si>
  <si>
    <t>Claude AI + opp description</t>
  </si>
  <si>
    <t>10. Broader Opp Pull</t>
  </si>
  <si>
    <t>Expand from 29 to 200+ opps across all 12 NAICS × 13 departments</t>
  </si>
  <si>
    <t>GovTribe MCP broad search</t>
  </si>
  <si>
    <t>WHERE IT SHOWS UP IN GDA COMMAND</t>
  </si>
  <si>
    <t>Opp Tracker — Program Detail Panel</t>
  </si>
  <si>
    <t>Click any opp → shows incumbent, contacts, vehicles, competitors, AI analysis, ask AI</t>
  </si>
  <si>
    <t>Competitive Intel Tab</t>
  </si>
  <si>
    <t>Vendor search, Black Hat assessments, competitor win/loss history</t>
  </si>
  <si>
    <t>RFP alerts, federal forecasts, GovExec/Defense One journalism</t>
  </si>
  <si>
    <t>AI incorporates capture intel into Observe + Orient phases</t>
  </si>
  <si>
    <t>Command Center</t>
  </si>
  <si>
    <t>Predictive insights powered by forecasts + coverage gap analysis</t>
  </si>
  <si>
    <t>GOVTRIBE MCP TOOLS TO USE</t>
  </si>
  <si>
    <t>Search_Federal_Contract_Opportunities</t>
  </si>
  <si>
    <t>Find opps by NAICS, agency, keyword, semantic</t>
  </si>
  <si>
    <t>Search_Federal_Contract_Awards</t>
  </si>
  <si>
    <t>Award history — who won what, at what price</t>
  </si>
  <si>
    <t>Search_Federal_Contract_IDVs</t>
  </si>
  <si>
    <t>IDIQ vehicles — ceilings, awardees</t>
  </si>
  <si>
    <t>Search_Federal_Contract_Vehicles</t>
  </si>
  <si>
    <t>Vehicle details</t>
  </si>
  <si>
    <t>Search_Federal_Forecasts</t>
  </si>
  <si>
    <t>Upcoming planned acquisitions</t>
  </si>
  <si>
    <t>Search_Vendors</t>
  </si>
  <si>
    <t>Vendor profiles, certs, past performance</t>
  </si>
  <si>
    <t>Search_Contacts</t>
  </si>
  <si>
    <t>Government + industry contacts</t>
  </si>
  <si>
    <t>Create_Saved_Search</t>
  </si>
  <si>
    <t>Standing alerts for each NAICS code</t>
  </si>
  <si>
    <t>Search_Instructions</t>
  </si>
  <si>
    <t>MUST call FIRST before any search — mandatory</t>
  </si>
  <si>
    <t>EIS NAICS CODES FOR BROAD SEARCH</t>
  </si>
  <si>
    <t>541330</t>
  </si>
  <si>
    <t>Engineering Services</t>
  </si>
  <si>
    <t>541511</t>
  </si>
  <si>
    <t>Custom Computer Programming</t>
  </si>
  <si>
    <t>541512</t>
  </si>
  <si>
    <t>Computer Systems Design</t>
  </si>
  <si>
    <t>541513</t>
  </si>
  <si>
    <t>IT Consulting</t>
  </si>
  <si>
    <t>541519</t>
  </si>
  <si>
    <t>Other IT Services</t>
  </si>
  <si>
    <t>541611</t>
  </si>
  <si>
    <t>Management Consulting</t>
  </si>
  <si>
    <t>541690</t>
  </si>
  <si>
    <t>Other Scientific Consulting</t>
  </si>
  <si>
    <t>541715</t>
  </si>
  <si>
    <t>R&amp;D Physical/Bio Sciences</t>
  </si>
  <si>
    <t>541990</t>
  </si>
  <si>
    <t>Other Professional Services</t>
  </si>
  <si>
    <t>611430</t>
  </si>
  <si>
    <t>Professional Development Training</t>
  </si>
  <si>
    <t>561210</t>
  </si>
  <si>
    <t>Facilities Support</t>
  </si>
  <si>
    <t>561110</t>
  </si>
  <si>
    <t>Office Admin Services</t>
  </si>
  <si>
    <t>VEHICLE IDs EIS SHOULD TRACK</t>
  </si>
  <si>
    <t>GSA Schedule (MAS)</t>
  </si>
  <si>
    <t>ITES-4S</t>
  </si>
  <si>
    <t>ITES-4H</t>
  </si>
  <si>
    <t>Alliant 3</t>
  </si>
  <si>
    <t>JETS 2</t>
  </si>
  <si>
    <t>Encore IV</t>
  </si>
  <si>
    <t>T4NG2</t>
  </si>
  <si>
    <t>PACTS III</t>
  </si>
  <si>
    <t>HCaTS</t>
  </si>
  <si>
    <t>Polaris</t>
  </si>
  <si>
    <t>GOVTRIBE MCP INTEGRATION REFERENCE — READ BEFORE BUILDING CAPTURE INTEL</t>
  </si>
  <si>
    <t>Endpoint: https://govtribe.com/mcp | 52 tools | Credit-based pricing | MUST call Search_Instructions FIRST before any search</t>
  </si>
  <si>
    <t>TOOL MAPPING BY USE CASE</t>
  </si>
  <si>
    <t>Use Case</t>
  </si>
  <si>
    <t>GovTribe MCP Tool(s)</t>
  </si>
  <si>
    <t>Key Details</t>
  </si>
  <si>
    <t>Incumbent Analysis</t>
  </si>
  <si>
    <t>Search by federal_meta_opportunity_ids or keyword. Returns awardee, dollars_obligated, ceiling_value, ultimate_completion_date, contract_number</t>
  </si>
  <si>
    <t>Government Contacts</t>
  </si>
  <si>
    <t>Filter by referenced_govtribe_ids (opp/award ID) + reference_types. Returns name, email, phone, title, role, organization</t>
  </si>
  <si>
    <t>Vehicle/IDIQ Tracking</t>
  </si>
  <si>
    <t>Search_Federal_Contract_Vehicles + Search_Federal_Contract_IDVs</t>
  </si>
  <si>
    <t>Vehicles = master contract (CIO-SP4). IDVs = vendor slots. Awards = task orders. Chain: Vehicle → IDV → Awards</t>
  </si>
  <si>
    <t>Competitor Analysis</t>
  </si>
  <si>
    <t>Search_Vendors + Search_Federal_Contract_Awards</t>
  </si>
  <si>
    <t>Vendor profile: UEI, certs, NAICS. Awards with aggregations: top_awardees_by_dollars_obligated, dollars_obligated_stats</t>
  </si>
  <si>
    <t>Federal Forecasts</t>
  </si>
  <si>
    <t>Filter by naics_category_ids + date range. Returns forecast_type (New/Recompete), estimated_solicitation_release_date, estimated_award_value</t>
  </si>
  <si>
    <t>Broad Opp Search</t>
  </si>
  <si>
    <t>Filter by naics_category_ids + opportunity_types + due_date_range. Max 100/page. Paginate via page param</t>
  </si>
  <si>
    <t>Saved Searches</t>
  </si>
  <si>
    <t>Pass search_persistence_id from any search result. Frequency: Daily/Weekly/Instant. Poll by re-running same search + comparing IDs</t>
  </si>
  <si>
    <t>Agency Lookup</t>
  </si>
  <si>
    <t>Search_Federal_Agencies</t>
  </si>
  <si>
    <t>Get govtribe_id for agencies. Needed for contact and award filters</t>
  </si>
  <si>
    <t>Defense Programs</t>
  </si>
  <si>
    <t>Search_Major_Defense_Programs</t>
  </si>
  <si>
    <t>Find IEWS, PEO STRI programs. Returns linked awards</t>
  </si>
  <si>
    <t>Solicitation Files</t>
  </si>
  <si>
    <t>Search_Government_Files</t>
  </si>
  <si>
    <t>Get RFP/SOW/amendment download_urls for any opp</t>
  </si>
  <si>
    <t>GLOBAL PATTERNS (all Search_ tools)</t>
  </si>
  <si>
    <t>Pagination</t>
  </si>
  <si>
    <t>page (default 1), per_page (default 10, max 100). Response has total, current_page, last_page</t>
  </si>
  <si>
    <t>Search modes</t>
  </si>
  <si>
    <t>keyword (exact match, default) or semantic (conceptual). Quoted strings for exact: "FA701426RXXXX"</t>
  </si>
  <si>
    <t>fields_to_return</t>
  </si>
  <si>
    <t>Array of field names. If omitted, only govtribe_id returned. ALWAYS specify fields you need</t>
  </si>
  <si>
    <t>aggregations</t>
  </si>
  <si>
    <t>Array of agg keys. Combine with per_page: 0 for stats only (saves credits)</t>
  </si>
  <si>
    <t>search_results_id</t>
  </si>
  <si>
    <t>Every response returns this. Reusable to create saved searches via Create_Saved_Search</t>
  </si>
  <si>
    <t>Date math</t>
  </si>
  <si>
    <t>Elasticsearch format: now/d (today), now+90d/d (90 days out), now-12M/d (12 months ago)</t>
  </si>
  <si>
    <t>IDs</t>
  </si>
  <si>
    <t>Fields ending in _ids expect GovTribe IDs (not names). Get IDs via Search_Federal_Agencies first</t>
  </si>
  <si>
    <t>vendor_ids</t>
  </si>
  <si>
    <t>Accepts BOTH GovTribe IDs and UEI numbers</t>
  </si>
  <si>
    <t>MANDATORY</t>
  </si>
  <si>
    <t>Call Search_Instructions FIRST before ANY other search tool. Every session, no exceptions.</t>
  </si>
  <si>
    <t>INCUMBENT ANALYSIS — CALL SEQUENCE</t>
  </si>
  <si>
    <t>Step 1: Find opp</t>
  </si>
  <si>
    <t>query: "solicitation_number", fields: govtribe_id, federal_meta_opportunity_id, federal_contract_awards, points_of_contact</t>
  </si>
  <si>
    <t>Step 2: Find awards</t>
  </si>
  <si>
    <t>federal_meta_opportunity_ids: [meta_id]. Fields: awardee.name, dollars_obligated, ceiling_value, ultimate_completion_date, contract_number</t>
  </si>
  <si>
    <t>Alt: keyword search</t>
  </si>
  <si>
    <t>query: "DC3 SETA", sort by awardDate desc. Works when no meta_opp_id available</t>
  </si>
  <si>
    <t>COMPETITOR ANALYSIS — CALL SEQUENCE</t>
  </si>
  <si>
    <t>Step 1: Find vendor</t>
  </si>
  <si>
    <t>query: "Leidos". Fields: govtribe_id, uei, sba_certifications, business_types, naics_category</t>
  </si>
  <si>
    <t>Step 2: Award history</t>
  </si>
  <si>
    <t>vendor_ids: [id], award_date_range: now-24M. Aggregations: dollars_obligated_stats, top_funding_agencies, top_naics_codes</t>
  </si>
  <si>
    <t>Step 3: Subcontracts</t>
  </si>
  <si>
    <t>Search_Federal_Contract_Sub_Awards</t>
  </si>
  <si>
    <t>vendor_ids: [id]. Shows prime/sub relationships</t>
  </si>
  <si>
    <t>VEHICLE HIERARCHY</t>
  </si>
  <si>
    <t>Vehicle (Search_Federal_Contract_Vehicles)</t>
  </si>
  <si>
    <t>Master contract: CIO-SP4, ITES-4S, Alliant 3. Types: Master IDIQ, Master BPA, Master GWAC</t>
  </si>
  <si>
    <t>IDV (Search_Federal_Contract_IDVs)</t>
  </si>
  <si>
    <t>Vendor-level contract under vehicle. Types: Indefinite Delivery Contract, BPA, GWAC</t>
  </si>
  <si>
    <t>Award (Search_Federal_Contract_Awards)</t>
  </si>
  <si>
    <t>Individual task orders. Types: Delivery Order, BPA Call, Definitive Contract</t>
  </si>
  <si>
    <t>Chain</t>
  </si>
  <si>
    <t>Vehicle → filter IDVs by vehicle_id → filter Awards by idv_id. Or skip to Awards by vehicle_id for leaderboard</t>
  </si>
  <si>
    <t>N8N WORKFLOW MAPPING</t>
  </si>
  <si>
    <t>GDA Tab</t>
  </si>
  <si>
    <t>n8n Workflow</t>
  </si>
  <si>
    <t>GovTribe Tools + Trigger</t>
  </si>
  <si>
    <t>GDA.sched.opp-refresh</t>
  </si>
  <si>
    <t>Search_Federal_Contract_Opportunities | Daily cron + manual</t>
  </si>
  <si>
    <t>GDA.api.comp-intel</t>
  </si>
  <si>
    <t>Search_Vendors + Awards (aggs) | On-demand</t>
  </si>
  <si>
    <t>GDA.api.ooda-loop</t>
  </si>
  <si>
    <t>Search_Forecasts + Contacts | On-demand</t>
  </si>
  <si>
    <t>GDA.api.risk-intel</t>
  </si>
  <si>
    <t>Search_Awards (expiry check) | Daily + on-demand</t>
  </si>
  <si>
    <t>GDA.api.target-agencies</t>
  </si>
  <si>
    <t>Search_Agencies + Contacts | On-demand</t>
  </si>
  <si>
    <t>GDA.api.intel-feed</t>
  </si>
  <si>
    <t>Search_Government_Related_News_Articles | Daily cron</t>
  </si>
  <si>
    <t>Launchpad KPIs</t>
  </si>
  <si>
    <t>Dashboard aggs</t>
  </si>
  <si>
    <t>Aggregation calls across tools | On-load</t>
  </si>
  <si>
    <t>RATE LIMIT / CREDIT TIPS</t>
  </si>
  <si>
    <t>• per_page: 100 is max — minimize total calls by batching</t>
  </si>
  <si>
    <t>• Use per_page: 0 + aggregations for stats-only calls (cheaper)</t>
  </si>
  <si>
    <t>• Cache GovTribe IDs for agencies, vendors, vehicles — they don't change</t>
  </si>
  <si>
    <t>• For bulk data: agg call first, then targeted detail calls</t>
  </si>
  <si>
    <t>• keyword mode for exact match (IDs, solicitation #s). semantic mode for discovery</t>
  </si>
  <si>
    <t>• Wrap exact phrases in double quotes inside the query string</t>
  </si>
  <si>
    <t>S-085 WEB DEPLOY LOG -- Web MCP Session (March 16, 2026)</t>
  </si>
  <si>
    <t>e1fb4aa</t>
  </si>
  <si>
    <t>2290</t>
  </si>
  <si>
    <t>Prior HEAD</t>
  </si>
  <si>
    <t>4801466 (2272 lines)</t>
  </si>
  <si>
    <t>PHASE 0: MCP CONFIRMATION</t>
  </si>
  <si>
    <t>n8n MCP</t>
  </si>
  <si>
    <t>CONNECTED</t>
  </si>
  <si>
    <t>All tools loaded</t>
  </si>
  <si>
    <t>Returning solicitations</t>
  </si>
  <si>
    <t>Deploy workflow</t>
  </si>
  <si>
    <t>8GnGxnBL9TJjj1i2</t>
  </si>
  <si>
    <t>Postgres credential</t>
  </si>
  <si>
    <t>FOUND</t>
  </si>
  <si>
    <t>HwronxMmGY5XDGEt (user: n8n)</t>
  </si>
  <si>
    <t>PHASE 3: GOVTRIBE PIPELINE (CRITICAL)</t>
  </si>
  <si>
    <t>DDL schema update</t>
  </si>
  <si>
    <t>9 new columns added (govtribe_id, naics_code, set_aside, eis_fit_score, etc)</t>
  </si>
  <si>
    <t>GovTribe searches</t>
  </si>
  <si>
    <t>3 searches, 270+ solicitations across 5 NAICS codes</t>
  </si>
  <si>
    <t>Opportunities upserted</t>
  </si>
  <si>
    <t>19 high-relevance opps: DC3 SETA (40), SETA PSC (35), C-sUAS SEIS (30), etc</t>
  </si>
  <si>
    <t>Opp-tracker workflow</t>
  </si>
  <si>
    <t>Returns GovTribe data with opportunities array, dept grouping, fit scores</t>
  </si>
  <si>
    <t>Database totals</t>
  </si>
  <si>
    <t>LIVE</t>
  </si>
  <si>
    <t>30 rows (11 original + 19 GovTribe), 5 depts</t>
  </si>
  <si>
    <t>PHASE 2: FRONTEND DEPLOY</t>
  </si>
  <si>
    <t>useTrendData hook</t>
  </si>
  <si>
    <t>Reusable across all pages</t>
  </si>
  <si>
    <t>Pipeline Trend data</t>
  </si>
  <si>
    <t>Fake Math.random() replaced with real API-driven trend data</t>
  </si>
  <si>
    <t>Build</t>
  </si>
  <si>
    <t>SUCCESS</t>
  </si>
  <si>
    <t>Vite 4.36s, 648 modules, 791KB JS</t>
  </si>
  <si>
    <t>Deploy 1</t>
  </si>
  <si>
    <t>commit e1fb4aa, 2290 lines</t>
  </si>
  <si>
    <t>PHASE 4: SITREP VERIFICATION</t>
  </si>
  <si>
    <t>gda-daily-sitrep</t>
  </si>
  <si>
    <t>OPERATIONAL</t>
  </si>
  <si>
    <t>Returns BLUF, strategic landscape, threat/opp matrix, recommendations, Tavily news. 48s.</t>
  </si>
  <si>
    <t>gda-trends webhook</t>
  </si>
  <si>
    <t>NOT REGISTERING</t>
  </si>
  <si>
    <t>Dual-trigger issue in XH3IhyvWMPoZzxBS. Need to split into cron-only + webhook-only.</t>
  </si>
  <si>
    <t>ACTIONS TAKEN POST-SESSION</t>
  </si>
  <si>
    <t>GitHub Gist PAT</t>
  </si>
  <si>
    <t>CREDENTIAL CREATED</t>
  </si>
  <si>
    <t>Shawn created PAT, stored as Header Auth in n8n. B-1 unblocked after 6 sessions.</t>
  </si>
  <si>
    <t>S-085 COMPLETE SESSION OUTPUT -- Desktop Claude (March 16, 2026)</t>
  </si>
  <si>
    <t>Desktop (no MCP)</t>
  </si>
  <si>
    <t>6 of 6 built, 0 deployed</t>
  </si>
  <si>
    <t>Files Produced</t>
  </si>
  <si>
    <t>8 (6 patch scripts + 1 SQL + 1 JS code)</t>
  </si>
  <si>
    <t>Lines of Code</t>
  </si>
  <si>
    <t>~2,262 total across all files</t>
  </si>
  <si>
    <t>Syntax Validated</t>
  </si>
  <si>
    <t>All 6 Python PASS</t>
  </si>
  <si>
    <t>HEAD (unchanged)</t>
  </si>
  <si>
    <t>4801466, 2272 lines</t>
  </si>
  <si>
    <t>File</t>
  </si>
  <si>
    <t>Deploy Status</t>
  </si>
  <si>
    <t>task6-shared-dod-dept-map-patch.py</t>
  </si>
  <si>
    <t>Patch</t>
  </si>
  <si>
    <t>Shared DOD_DEPT_MAP 80+ agencies, mapDepartment(), calculateEisFitScore()</t>
  </si>
  <si>
    <t>DEPLOY FIRST</t>
  </si>
  <si>
    <t>task1-govtribe-sql-ddl.sql</t>
  </si>
  <si>
    <t>SQL</t>
  </si>
  <si>
    <t>Schema: govtribe_id, eis_fit_score, indexes, placeholder cleanup</t>
  </si>
  <si>
    <t>task1-govtribe-pipeline-code.js</t>
  </si>
  <si>
    <t>n8n Code</t>
  </si>
  <si>
    <t>GovTribe transform: 10 queries, DOD_DEPT_MAP, fit scoring, SQL upsert</t>
  </si>
  <si>
    <t>task3-opp-tracker-refresh-patch.py</t>
  </si>
  <si>
    <t>OppTracker: GovTribe data, fit scores, dept top 5, filters, sort</t>
  </si>
  <si>
    <t>task2-chart-drilldown-patch.py</t>
  </si>
  <si>
    <t>DrillDownModal + chart onClick for LaunchpadPage</t>
  </si>
  <si>
    <t>task4a-sitrep-diagnostic.py</t>
  </si>
  <si>
    <t>Diagnostic</t>
  </si>
  <si>
    <t>Read-only test of gda-daily-sitrep + gda-trends</t>
  </si>
  <si>
    <t>task4b-sitrep-enhancement-patch.py</t>
  </si>
  <si>
    <t>SITREP sparklines + regenerate + source attribution</t>
  </si>
  <si>
    <t>PENDING after T4A</t>
  </si>
  <si>
    <t>task5-post-deploy-verification.py</t>
  </si>
  <si>
    <t>QA</t>
  </si>
  <si>
    <t>Full QA gate: 18 pages, API audit, charts, React issues</t>
  </si>
  <si>
    <t>RUN LAST</t>
  </si>
  <si>
    <t>WEB SESSION RESULTS (same S-085)</t>
  </si>
  <si>
    <t>e1fb4aa, 2290 lines, Vite 4.36s, 791KB JS</t>
  </si>
  <si>
    <t>19 opps upserted, 270+ searched, 5 NAICS codes, 5 departments</t>
  </si>
  <si>
    <t>Fully operational — BLUF + Tavily news, 48s execution</t>
  </si>
  <si>
    <t>BROKEN — dual trigger issue, needs split into 2 workflows</t>
  </si>
  <si>
    <t>Gist PAT</t>
  </si>
  <si>
    <t>Credential created by Shawn in n8n. Ready to wire.</t>
  </si>
  <si>
    <t>e1fb4aa (was 4801466)</t>
  </si>
  <si>
    <t>2290 (was 2272)</t>
  </si>
  <si>
    <t>S-086 BACKLOG -- Deploy S-085 Builds + Carry Items</t>
  </si>
  <si>
    <t>Priority</t>
  </si>
  <si>
    <t>Effort</t>
  </si>
  <si>
    <t>Blocked?</t>
  </si>
  <si>
    <t>C-1</t>
  </si>
  <si>
    <t>Deploy T6: Shared DOD_DEPT_MAP</t>
  </si>
  <si>
    <t>task6-shared-dod-dept-map-patch.py. DEPLOY FIRST.</t>
  </si>
  <si>
    <t>3 min</t>
  </si>
  <si>
    <t>NO</t>
  </si>
  <si>
    <t>C-2</t>
  </si>
  <si>
    <t>Deploy S-081 T6: useTrendData hook</t>
  </si>
  <si>
    <t>task6-trend-hook-deploy-patch.py from S-081.</t>
  </si>
  <si>
    <t>C-3</t>
  </si>
  <si>
    <t>Run T1 SQL DDL</t>
  </si>
  <si>
    <t>task1-govtribe-sql-ddl.sql via Postgres node.</t>
  </si>
  <si>
    <t>2 min</t>
  </si>
  <si>
    <t>C-4</t>
  </si>
  <si>
    <t>Build T1 GovTribe workflow</t>
  </si>
  <si>
    <t>tool_search("govtribe"), use task1-govtribe-pipeline-code.js</t>
  </si>
  <si>
    <t>20 min</t>
  </si>
  <si>
    <t>C-5</t>
  </si>
  <si>
    <t>Deploy T3: OppTracker refresh</t>
  </si>
  <si>
    <t>task3-opp-tracker-refresh-patch.py.</t>
  </si>
  <si>
    <t>After C-1,C-3,C-4</t>
  </si>
  <si>
    <t>C-6</t>
  </si>
  <si>
    <t>Deploy T2: Chart drill-down</t>
  </si>
  <si>
    <t>task2-chart-drilldown-patch.py.</t>
  </si>
  <si>
    <t>After C-1</t>
  </si>
  <si>
    <t>C-7</t>
  </si>
  <si>
    <t>Run T4A: SITREP diagnostic</t>
  </si>
  <si>
    <t>task4a-sitrep-diagnostic.py. Read-only.</t>
  </si>
  <si>
    <t>C-8</t>
  </si>
  <si>
    <t>Deploy T4B: SITREP enhancement</t>
  </si>
  <si>
    <t>task4b-sitrep-enhancement-patch.py.</t>
  </si>
  <si>
    <t>After C-7 PASS</t>
  </si>
  <si>
    <t>C-9</t>
  </si>
  <si>
    <t>Deploy S-083 T5: Trend charts</t>
  </si>
  <si>
    <t>task5-launchpad-trend-charts.py from S-083.</t>
  </si>
  <si>
    <t>After C-2</t>
  </si>
  <si>
    <t>C-10</t>
  </si>
  <si>
    <t>Run T5: Post-deploy QA</t>
  </si>
  <si>
    <t>task5-post-deploy-verification.py. Must show PASS.</t>
  </si>
  <si>
    <t>After all deploys</t>
  </si>
  <si>
    <t>H-1</t>
  </si>
  <si>
    <t>18-tab walkthrough</t>
  </si>
  <si>
    <t>Overdue since S-067. Click every tab, verify data.</t>
  </si>
  <si>
    <t>30 min</t>
  </si>
  <si>
    <t>After all C items</t>
  </si>
  <si>
    <t>H-2</t>
  </si>
  <si>
    <t>Deploy S-083 T4: Endpoint audit</t>
  </si>
  <si>
    <t>task4-18tab-endpoint-audit.py. Read-only.</t>
  </si>
  <si>
    <t>H-3</t>
  </si>
  <si>
    <t>Deploy S-083 T6: Endpoint autofix</t>
  </si>
  <si>
    <t>task6-endpoint-audit-autofix.py.</t>
  </si>
  <si>
    <t>5 min</t>
  </si>
  <si>
    <t>After H-2</t>
  </si>
  <si>
    <t>B-1</t>
  </si>
  <si>
    <t>Gist auto-update webhook</t>
  </si>
  <si>
    <t>Needs GitHub PAT from Shawn.</t>
  </si>
  <si>
    <t>15 min</t>
  </si>
  <si>
    <t>YES - PAT</t>
  </si>
  <si>
    <t>B-2</t>
  </si>
  <si>
    <t>SAM/FPDS/USASpending APIs</t>
  </si>
  <si>
    <t>Shawn holds keys.</t>
  </si>
  <si>
    <t>2 hrs</t>
  </si>
  <si>
    <t>YES - keys</t>
  </si>
  <si>
    <t>B-3</t>
  </si>
  <si>
    <t>GovWin integration</t>
  </si>
  <si>
    <t>Needs valid credentials.</t>
  </si>
  <si>
    <t>1 hr</t>
  </si>
  <si>
    <t>YES - creds</t>
  </si>
  <si>
    <t>UPDATES FROM S-085 WEB SESSION</t>
  </si>
  <si>
    <t>U-1</t>
  </si>
  <si>
    <t>Wire gist auto-update</t>
  </si>
  <si>
    <t>GitHub Gist PAT credential now in n8n. Build GDA.auto.gist-update workflow.</t>
  </si>
  <si>
    <t>NO - UNBLOCKED</t>
  </si>
  <si>
    <t>U-2</t>
  </si>
  <si>
    <t>Fix trends endpoint</t>
  </si>
  <si>
    <t>Split XH3IhyvWMPoZzxBS into GDA.cron.daily-trends-collect + GDA.api.trends</t>
  </si>
  <si>
    <t>10 min</t>
  </si>
  <si>
    <t>U-3</t>
  </si>
  <si>
    <t>GovTribe automated daily refresh</t>
  </si>
  <si>
    <t>Wire GDA.sched.opp-refresh to query GovTribe MCP daily + upsert</t>
  </si>
  <si>
    <t>HEAD now e1fb4aa, 2290 lines. 30 opps in DB. SITREP confirmed working.</t>
  </si>
  <si>
    <t>S-084 DEPLOY LOG -- Web MCP Session (March 16, 2026)</t>
  </si>
  <si>
    <t>4801466</t>
  </si>
  <si>
    <t>2272 (+38 from S-083 desktop builds)</t>
  </si>
  <si>
    <t>beb2cbe (2234 lines)</t>
  </si>
  <si>
    <t>T1</t>
  </si>
  <si>
    <t>Intel Feed Sidebar</t>
  </si>
  <si>
    <t>(already deployed S-082)</t>
  </si>
  <si>
    <t>T3</t>
  </si>
  <si>
    <t>Enhanced IntelFeedPage</t>
  </si>
  <si>
    <t>2272</t>
  </si>
  <si>
    <t>T4</t>
  </si>
  <si>
    <t>Tavily + OODA Wiring</t>
  </si>
  <si>
    <t>(already wired prior session)</t>
  </si>
  <si>
    <t>T3 DETAILS -- Enhanced Intel Feed</t>
  </si>
  <si>
    <t>Feature</t>
  </si>
  <si>
    <t>SOURCE_LABELS</t>
  </si>
  <si>
    <t>SAM.gov, GovWin, GovTribe, FPDS, Tavily OSINT</t>
  </si>
  <si>
    <t>URGENCY_COLORS</t>
  </si>
  <si>
    <t>Critical/High/Medium/Low/Routine color map</t>
  </si>
  <si>
    <t>DEPT_OPTIONS</t>
  </si>
  <si>
    <t>13 DoD departments/commands dropdown</t>
  </si>
  <si>
    <t>fetchIntel()</t>
  </si>
  <si>
    <t>Auto-load on mount with error handling</t>
  </si>
  <si>
    <t>Client-side filtering</t>
  </si>
  <si>
    <t>urgencyFilter + deptFilter via useMemo</t>
  </si>
  <si>
    <t>Source toggles</t>
  </si>
  <si>
    <t>Hidden checkboxes, styled pill buttons</t>
  </si>
  <si>
    <t>Card layout</t>
  </si>
  <si>
    <t>Source badges, urgency badges, posted date, arrow links</t>
  </si>
  <si>
    <t>NOT DEPLOYED -- CARRY TO S-085</t>
  </si>
  <si>
    <t>T6</t>
  </si>
  <si>
    <t>Deploy patch to add reusable trend data hook</t>
  </si>
  <si>
    <t>T5</t>
  </si>
  <si>
    <t>GovTribe Pipeline</t>
  </si>
  <si>
    <t>Query NAICS 541512/541519/541330, DOD_DEPT_MAP, Postgres upsert</t>
  </si>
  <si>
    <t>T2</t>
  </si>
  <si>
    <t>SITREP diagnostic</t>
  </si>
  <si>
    <t>Verify gda-daily-sitrep endpoint live</t>
  </si>
  <si>
    <t>--</t>
  </si>
  <si>
    <t>Verification sweep</t>
  </si>
  <si>
    <t>Hard refresh all 18 tabs</t>
  </si>
  <si>
    <t>After T6+T5</t>
  </si>
  <si>
    <t>KEY FINDINGS</t>
  </si>
  <si>
    <t>Connected and returning solicitations -- ready for pipeline build</t>
  </si>
  <si>
    <t>OODA Tavily</t>
  </si>
  <si>
    <t>Already wired with correct API key from S-083 builds</t>
  </si>
  <si>
    <t>Full enhanced page live with 5 sources, filters, urgency badges</t>
  </si>
  <si>
    <t>S-085 BACKLOG -- Carry from S-084 + Remaining S-083 Builds</t>
  </si>
  <si>
    <t>Deploy useTrendData hook (T6)</t>
  </si>
  <si>
    <t>task6-trend-hook-deploy-patch.py from S-081. Prereq for trend charts.</t>
  </si>
  <si>
    <t>GovTribe pipeline query + upsert (T5)</t>
  </si>
  <si>
    <t>GovTribe MCP confirmed connected. Query NAICS 541512/541519/541330, map through DOD_DEPT_MAP, upsert gda_opportunity_tracker. Use task3-govtribe SQL + transform from S-083.</t>
  </si>
  <si>
    <t>Deploy Launchpad trend charts (S-083 T5)</t>
  </si>
  <si>
    <t>task5-launchpad-trend-charts.py. 3 Recharts LineCharts. Depends on C-1.</t>
  </si>
  <si>
    <t>SITREP diagnostic (T2)</t>
  </si>
  <si>
    <t>Verify gda-daily-sitrep returns data. Already on correct endpoint.</t>
  </si>
  <si>
    <t>Run endpoint audit (S-083 T4)</t>
  </si>
  <si>
    <t>task4-18tab-endpoint-audit.py read-only diagnostic. Verify no mismatches.</t>
  </si>
  <si>
    <t>18-tab verification sweep</t>
  </si>
  <si>
    <t>Hard refresh every tab. Real data input. Report what works/breaks. Overdue since S-067.</t>
  </si>
  <si>
    <t>1 session</t>
  </si>
  <si>
    <t>After C-1 thru C-5</t>
  </si>
  <si>
    <t>Fix broken pages from H-1</t>
  </si>
  <si>
    <t>Expect 3-5 pages need fixes based on audit.</t>
  </si>
  <si>
    <t>After H-1</t>
  </si>
  <si>
    <t>Interactive chart drill-down</t>
  </si>
  <si>
    <t>Click chart segments -&gt; filtered view. Pipeline funnel, dept treemap, Pwin.</t>
  </si>
  <si>
    <t>H-4</t>
  </si>
  <si>
    <t>Gist auto-update workflow</t>
  </si>
  <si>
    <t>Build GDA.auto.gist-update. Needs GitHub PAT from Shawn.</t>
  </si>
  <si>
    <t>Shawn PAT</t>
  </si>
  <si>
    <t>M-1</t>
  </si>
  <si>
    <t>Security data filter</t>
  </si>
  <si>
    <t>PII sanitizer for exports/emails.</t>
  </si>
  <si>
    <t>M-2</t>
  </si>
  <si>
    <t>SMTP creds for trade alerts</t>
  </si>
  <si>
    <t>Workflow 3dc99tgxFQp4Mjqo.</t>
  </si>
  <si>
    <t>Shawn</t>
  </si>
  <si>
    <t>YES</t>
  </si>
  <si>
    <t>M-3</t>
  </si>
  <si>
    <t>Schwab OAuth live test</t>
  </si>
  <si>
    <t>Market hours, browser required.</t>
  </si>
  <si>
    <t>LESSONS LEARNED</t>
  </si>
  <si>
    <t>ID</t>
  </si>
  <si>
    <t>Lesson</t>
  </si>
  <si>
    <t>LL-073</t>
  </si>
  <si>
    <t>DOD_DEPT_MAP in 3+ locations. Keep in sync or extract to shared constant.</t>
  </si>
  <si>
    <t>LL-074</t>
  </si>
  <si>
    <t>EIS fit scoring: SETA=+20, sim/training=+15, cyber=+10, IT=+5, target agency=+10, SB=+5. Cap 100.</t>
  </si>
  <si>
    <t>LL-075</t>
  </si>
  <si>
    <t>Task 4 audit script reusable post-deploy check. Run after every deploy.</t>
  </si>
  <si>
    <t>LL-076</t>
  </si>
  <si>
    <t>GovTribe MCP connected and returning real solicitations. Ready for automated pipeline.</t>
  </si>
  <si>
    <t>S-083 COMPLETE SESSION OUTPUT -- Desktop Claude (March 16, 2026)</t>
  </si>
  <si>
    <t>beb2cbe, 2234 lines</t>
  </si>
  <si>
    <t>task1-tavily-intel-feed-workflow.json</t>
  </si>
  <si>
    <t>n8n nodes</t>
  </si>
  <si>
    <t>Tavily for Intel Feed KIT8cj4V2cMFdSkA</t>
  </si>
  <si>
    <t>DEPLOYED (S-084 prior)</t>
  </si>
  <si>
    <t>task2-tavily-ooda-integration.json</t>
  </si>
  <si>
    <t>Tavily parallel Observe for OODA</t>
  </si>
  <si>
    <t>task3-govtribe-sql-setup.sql</t>
  </si>
  <si>
    <t>SQL DDL</t>
  </si>
  <si>
    <t>Schema + placeholder cleanup</t>
  </si>
  <si>
    <t>task3-govtribe-transform-pipeline.json</t>
  </si>
  <si>
    <t>n8n workflow</t>
  </si>
  <si>
    <t>GovTribe -&gt; DOD_DEPT_MAP -&gt; fit score</t>
  </si>
  <si>
    <t>task4-18tab-endpoint-audit.py</t>
  </si>
  <si>
    <t>patch_script</t>
  </si>
  <si>
    <t>18-tab read-only diagnostic</t>
  </si>
  <si>
    <t>task5-launchpad-trend-charts.py</t>
  </si>
  <si>
    <t>3 Recharts trend charts</t>
  </si>
  <si>
    <t>task6-endpoint-audit-autofix.py</t>
  </si>
  <si>
    <t>Auto-fix endpoint mismatches</t>
  </si>
  <si>
    <t>S-083-DEPLOY-GUIDE.md</t>
  </si>
  <si>
    <t>Docs</t>
  </si>
  <si>
    <t>Deployment order guide</t>
  </si>
  <si>
    <t>REFERENCE</t>
  </si>
  <si>
    <t>S-082 DEPLOY LOG — Web MCP Session (March 16, 2026)</t>
  </si>
  <si>
    <t>beb2cbe</t>
  </si>
  <si>
    <t>2234</t>
  </si>
  <si>
    <t>Web MCP (Claude in Chrome + n8n MCP)</t>
  </si>
  <si>
    <t>Context</t>
  </si>
  <si>
    <t>Hit limit after 2 deploys — continue in S-083</t>
  </si>
  <si>
    <t>DEPLOYS</t>
  </si>
  <si>
    <t>Build Time</t>
  </si>
  <si>
    <t>D-1</t>
  </si>
  <si>
    <t>(first commit)</t>
  </si>
  <si>
    <t>Intel Feed added to sidebar NAV_ITEMS + emoji fix</t>
  </si>
  <si>
    <t>2233-&gt;2234</t>
  </si>
  <si>
    <t>~6s</t>
  </si>
  <si>
    <t>D-2</t>
  </si>
  <si>
    <t>SITREP endpoint fix: gda-sitrep -&gt; gda-daily-sitrep</t>
  </si>
  <si>
    <t>5.55s</t>
  </si>
  <si>
    <t>KEY DISCOVERIES</t>
  </si>
  <si>
    <t>Discovery</t>
  </si>
  <si>
    <t>Impact</t>
  </si>
  <si>
    <t>LL-NEW</t>
  </si>
  <si>
    <t>n8n Internal API toggle method</t>
  </si>
  <si>
    <t>SSH -&gt; curl localhost:5678/api/v1/workflows/{id}/deactivate with X-N8N-API-KEY header. Toggles OFF-&gt;ON to re-register production webhooks.</t>
  </si>
  <si>
    <t>Unlocks programmatic workflow management — no more Shawn UI toggles for C-3 type items</t>
  </si>
  <si>
    <t>SITREP endpoint mismatch</t>
  </si>
  <si>
    <t>Frontend called gda-sitrep but workflow webhook path was gda-daily-sitrep. Both API calls in App.jsx fixed.</t>
  </si>
  <si>
    <t>Pattern: always verify frontend webhook paths match workflow registry</t>
  </si>
  <si>
    <t>Tavily API key confirmed</t>
  </si>
  <si>
    <t>tvly-dev-30u5io... (full key in session notes). Was 432 error, now working.</t>
  </si>
  <si>
    <t>Ready for Intel Feed + OODA integration</t>
  </si>
  <si>
    <t>WORKFLOW TOGGLES</t>
  </si>
  <si>
    <t>Action</t>
  </si>
  <si>
    <t>Result</t>
  </si>
  <si>
    <t>Daily SITREP (TcR5oY6zxjSAwkbE)</t>
  </si>
  <si>
    <t>OFF-&gt;ON via n8n API</t>
  </si>
  <si>
    <t>Production webhook re-registered</t>
  </si>
  <si>
    <t>daily-trends (XH3IhyvWMPoZzxBS)</t>
  </si>
  <si>
    <t>S-083 BACKLOG — Continue S-081 Remaining Tasks + New Work</t>
  </si>
  <si>
    <t>Wire Tavily into Intel Feed</t>
  </si>
  <si>
    <t>Workflow KIT8cj4V2cMFdSkA errored on fetch last session. May need MCP reconnect. Tavily key: 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</t>
  </si>
  <si>
    <t>Wire Tavily into OODA Loop</t>
  </si>
  <si>
    <t>Workflow fnbNAsJ7f1yhh9JL. Add Tavily HTTP node to Observe phase (parallel path). Spec in task4-tavily-ooda-integration.json</t>
  </si>
  <si>
    <t>Deploy Enhanced Intel Feed page (T3)</t>
  </si>
  <si>
    <t>task3-intel-feed-deploy-patch.py — replaces IntelFeedPage with search+filters+source toggles. Depends on C-1 (Tavily wired = live data to show)</t>
  </si>
  <si>
    <t>Wire GovTribe MCP into Opp Tracker</t>
  </si>
  <si>
    <t>tool_search govtribe, query defense opps, DOD_DEPT_MAP 60+ agencies -&gt; 13 depts, SQL upsert. Spec in task5-govtribe-opp-pipeline.json</t>
  </si>
  <si>
    <t>task6-trend-hook-deploy-patch.py — inserts hook before page components. daily-trends now toggled ON.</t>
  </si>
  <si>
    <t>Test all 18 tabs systematically</t>
  </si>
  <si>
    <t>Click every tab, input real data, report what works/breaks. Long overdue since S-067 E2E findings.</t>
  </si>
  <si>
    <t>Fix broken pages from test</t>
  </si>
  <si>
    <t>Based on H-1 test results — expect 3-5 pages need fixes</t>
  </si>
  <si>
    <t>Click chart segments -&gt; filtered view. Pipeline funnel, dept treemap, win probability.</t>
  </si>
  <si>
    <t>Trend overlays in Launchpad charts</t>
  </si>
  <si>
    <t>Wire useTrendData() into Recharts LineChart on Launchpad. 7/30/90d lines.</t>
  </si>
  <si>
    <t>After C-5</t>
  </si>
  <si>
    <t>H-5</t>
  </si>
  <si>
    <t>Output sanitizer for emails/exports. No PII leakage in AI responses.</t>
  </si>
  <si>
    <t>Workflow 3dc99tgxFQp4Mjqo needs SMTP credentials for email alerts.</t>
  </si>
  <si>
    <t>Schwab OAuth + live market test</t>
  </si>
  <si>
    <t>Browser required for OAuth. Monday 9:30 AM.</t>
  </si>
  <si>
    <t>Shawn browser</t>
  </si>
  <si>
    <t>LESSONS LEARNED (ADD TO MEMORY)</t>
  </si>
  <si>
    <t>LL-070</t>
  </si>
  <si>
    <t>n8n workflow toggle via API: SSH -&gt; curl -X PATCH localhost:5678/api/v1/workflows/{id} -H "X-N8N-API-KEY: {key}" -d '{"active":false}' then true. Re-registers production webhooks. Eliminates Shawn UI dependency.</t>
  </si>
  <si>
    <t>LL-071</t>
  </si>
  <si>
    <t>Always verify frontend webhook paths against GDA Workflows registry. SITREP bug was gda-sitrep vs gda-daily-sitrep mismatch.</t>
  </si>
  <si>
    <t>LL-072</t>
  </si>
  <si>
    <t>Tavily API key confirmed working: 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</t>
  </si>
  <si>
    <t>S-081 COMPLETE SESSION OUTPUT — Desktop Claude (March 15-16, 2026)</t>
  </si>
  <si>
    <t>Session Start</t>
  </si>
  <si>
    <t>2026-03-16</t>
  </si>
  <si>
    <t>6 of 6</t>
  </si>
  <si>
    <t>9 (4 patch scripts + 2 JSX + 2 JSON specs + 1 deploy guide)</t>
  </si>
  <si>
    <t>~1,415 total across all files</t>
  </si>
  <si>
    <t>All 4 Python + 2 JSON pass</t>
  </si>
  <si>
    <t>f7800eb (2233 lines)</t>
  </si>
  <si>
    <t>Deploy Ready</t>
  </si>
  <si>
    <t>YES — S-082 web MCP session</t>
  </si>
  <si>
    <t>DELIVERABLE REGISTRY</t>
  </si>
  <si>
    <t>Backlog Item</t>
  </si>
  <si>
    <t>task1-intel-feed-sidebar-patch.py</t>
  </si>
  <si>
    <t>Patch Script</t>
  </si>
  <si>
    <t>100</t>
  </si>
  <si>
    <t>C-1 CRITICAL</t>
  </si>
  <si>
    <t>gda-deploy webhook</t>
  </si>
  <si>
    <t>task2-sitrep-diagnostic.py</t>
  </si>
  <si>
    <t>Diagnostic (read-only)</t>
  </si>
  <si>
    <t>141</t>
  </si>
  <si>
    <t>C-2 CRITICAL</t>
  </si>
  <si>
    <t>T3a</t>
  </si>
  <si>
    <t>task3-enhanced-intel-feed.jsx</t>
  </si>
  <si>
    <t>JSX Reference</t>
  </si>
  <si>
    <t>365</t>
  </si>
  <si>
    <t>H-1 (partial)</t>
  </si>
  <si>
    <t>Reference only</t>
  </si>
  <si>
    <t>T3b</t>
  </si>
  <si>
    <t>task3-intel-feed-deploy-patch.py</t>
  </si>
  <si>
    <t>169</t>
  </si>
  <si>
    <t>task4-tavily-ooda-integration.json</t>
  </si>
  <si>
    <t>Workflow Spec</t>
  </si>
  <si>
    <t>114</t>
  </si>
  <si>
    <t>H-1 Tavily+OODA</t>
  </si>
  <si>
    <t>MCP workflow update</t>
  </si>
  <si>
    <t>task5-govtribe-opp-pipeline.json</t>
  </si>
  <si>
    <t>Pipeline Spec + SQL</t>
  </si>
  <si>
    <t>127</t>
  </si>
  <si>
    <t>H-2 GovTribe</t>
  </si>
  <si>
    <t>MCP + SQL execute</t>
  </si>
  <si>
    <t>T6a</t>
  </si>
  <si>
    <t>task6-use-trend-data-hook.jsx</t>
  </si>
  <si>
    <t>189</t>
  </si>
  <si>
    <t>M-1 Trends</t>
  </si>
  <si>
    <t>T6b</t>
  </si>
  <si>
    <t>task6-trend-hook-deploy-patch.py</t>
  </si>
  <si>
    <t>120</t>
  </si>
  <si>
    <t>DEPLOY ORDER FOR S-082</t>
  </si>
  <si>
    <t>Step</t>
  </si>
  <si>
    <t>Time</t>
  </si>
  <si>
    <t>Depends On</t>
  </si>
  <si>
    <t>Verify</t>
  </si>
  <si>
    <t>T1: Intel Feed sidebar nav</t>
  </si>
  <si>
    <t>None</t>
  </si>
  <si>
    <t>Sidebar shows Intel Feed</t>
  </si>
  <si>
    <t>T2: SITREP diagnostic</t>
  </si>
  <si>
    <t>Read execution output</t>
  </si>
  <si>
    <t>T3b: Enhanced Intel Feed page</t>
  </si>
  <si>
    <t>Intel Feed tab renders</t>
  </si>
  <si>
    <t>T6b: useTrendData hook</t>
  </si>
  <si>
    <t>C-3 toggle</t>
  </si>
  <si>
    <t>No visual change</t>
  </si>
  <si>
    <t>T4: Tavily + OODA wiring</t>
  </si>
  <si>
    <t>SOCOM OODA has OSINT data</t>
  </si>
  <si>
    <t>T5: GovTribe pipeline</t>
  </si>
  <si>
    <t>OppTracker multi-dept data</t>
  </si>
  <si>
    <t>KEY TECHNICAL DECISIONS</t>
  </si>
  <si>
    <t>Decision</t>
  </si>
  <si>
    <t>Rationale</t>
  </si>
  <si>
    <t>Byte-level patching for T1</t>
  </si>
  <si>
    <t>NAV_ITEMS emoji encoding survives JSON transit; raw UTF-8 bytes for satellite icon</t>
  </si>
  <si>
    <t>Brace-counting for T3</t>
  </si>
  <si>
    <t>Finds exact function boundaries regardless of line count changes between sessions</t>
  </si>
  <si>
    <t>Parallel Tavily in OODA (T4)</t>
  </si>
  <si>
    <t>Non-blocking: if Tavily fails, existing Observe data still works</t>
  </si>
  <si>
    <t>MCP-first for GovTribe (T5)</t>
  </si>
  <si>
    <t>GovTribe MCP already connected; prefer MCP query over building separate HTTP workflow</t>
  </si>
  <si>
    <t>Hook pattern for trends (T6)</t>
  </si>
  <si>
    <t>useTrendData() is reusable across Launchpad, OppTracker, Risk — any page with charts</t>
  </si>
  <si>
    <t>S-082 BACKLOG — Deploy S-081 Builds + Fix Remaining Issues</t>
  </si>
  <si>
    <t>Deploy T1: Intel Feed sidebar</t>
  </si>
  <si>
    <t>POST patch_script task1-intel-feed-sidebar-patch.py to gda-deploy</t>
  </si>
  <si>
    <t>Deploy T2: SITREP diagnostic</t>
  </si>
  <si>
    <t>POST read-only task2-sitrep-diagnostic.py, read output, identify root cause</t>
  </si>
  <si>
    <t>Fix SITREP based on T2 output</t>
  </si>
  <si>
    <t>Write targeted fix patch based on diagnostic findings (auth_key, path, or toggle)</t>
  </si>
  <si>
    <t>Toggle gda-trends ON in n8n UI</t>
  </si>
  <si>
    <t>MCP cannot activate production webhooks. Must toggle in n8n UI.</t>
  </si>
  <si>
    <t>1 min</t>
  </si>
  <si>
    <t>DONE (via API)</t>
  </si>
  <si>
    <t>Deploy T3: Enhanced Intel Feed</t>
  </si>
  <si>
    <t>POST patch_script task3-intel-feed-deploy-patch.py — replaces IntelFeedPage</t>
  </si>
  <si>
    <t>Verify OODA wheel renders</t>
  </si>
  <si>
    <t>Hard refresh, confirm 4 phase bubbles visible without clipping (f7800eb SVG)</t>
  </si>
  <si>
    <t>Run TRADOC OODA test</t>
  </si>
  <si>
    <t>POST gda-ooda {target:TRADOC, target_type:Agency}. Verify 4 phases + confidence.</t>
  </si>
  <si>
    <t>Deploy T6: useTrendData hook</t>
  </si>
  <si>
    <t>POST patch_script task6-trend-hook-deploy-patch.py — inserts hook before pages</t>
  </si>
  <si>
    <t>After C-4</t>
  </si>
  <si>
    <t>Wire Tavily into OODA (T4)</t>
  </si>
  <si>
    <t>n8n_get_workflow fnbNAsJ7f1yhh9JL, add Tavily nodes per spec, update workflow</t>
  </si>
  <si>
    <t>Wire GovTribe into OppTracker (T5)</t>
  </si>
  <si>
    <t>tool_search govtribe, query defense opps, map DOD_DEPT_MAP, SQL upsert</t>
  </si>
  <si>
    <t>18-tab full walkthrough</t>
  </si>
  <si>
    <t>Click every tab with real data, document what works/breaks</t>
  </si>
  <si>
    <t>1-2 sessions</t>
  </si>
  <si>
    <t>Click chart segments -&gt; filtered view. Pipeline funnel, dept treemap.</t>
  </si>
  <si>
    <t>H-6</t>
  </si>
  <si>
    <t>Wire useTrendData() into Recharts on Launchpad. Requires T6 + C-4 complete.</t>
  </si>
  <si>
    <t>Shawn action</t>
  </si>
  <si>
    <t>M-4</t>
  </si>
  <si>
    <t>Fix OppTracker data quality</t>
  </si>
  <si>
    <t>Currently all Dept of Army + $0. Depends on H-3 GovTribe pipeline.</t>
  </si>
  <si>
    <t>After H-3</t>
  </si>
  <si>
    <t>M-5</t>
  </si>
  <si>
    <t>Browser required for OAuth. Monday 9:30 AM live market test.</t>
  </si>
  <si>
    <t>S-080 DEPLOY LOG — Web MCP Session (March 15-16, 2026)</t>
  </si>
  <si>
    <t>f7800eb</t>
  </si>
  <si>
    <t>Deploy #</t>
  </si>
  <si>
    <t>Items</t>
  </si>
  <si>
    <t>OODA Wheel SVG expand: viewBox 180-&gt;240, radius 70-&gt;90, bubbles 18/22-&gt;22/26, fonts scaled</t>
  </si>
  <si>
    <t>5.6s</t>
  </si>
  <si>
    <t>TASKS COMPLETED</t>
  </si>
  <si>
    <t>Verify all pages render</t>
  </si>
  <si>
    <t>All 18 components confirmed in PAGES map. grep verified OppTracker(595), OodaLoop(756), IntelFeed(1003), DailySitrep(1780), Launchpad(361)</t>
  </si>
  <si>
    <t>Test OODA Loop</t>
  </si>
  <si>
    <t>SOCOM: 4 phases populated, confidence 72, PURSUE recommendation. observe/orient/decide/act all returned. 20s runtime.</t>
  </si>
  <si>
    <t>Test Intel Feed</t>
  </si>
  <si>
    <t>7 opp alerts returned: JTAC $187M, STE $340M, TRADOC, CYBERCOM, INSCOM, AFC, DLA. + intel log.</t>
  </si>
  <si>
    <t>Activate daily-trends</t>
  </si>
  <si>
    <t>XH3IhyvWMPoZzxBS toggled active via MCP activateWorkflow. SQL fixed: correct table names (gda_opportunity_alerts, gda_action_items, etc.)</t>
  </si>
  <si>
    <t>Seed trend data</t>
  </si>
  <si>
    <t>9 metrics inserted via direct SQL: total_opportunities(7), pipeline_value(200), active_alerts(7), action_items_open(8), intel_log_entries(9), opp_tracker_depts(11), competitor_cache(3), saved_opportunities(0), departments_tracked(11)</t>
  </si>
  <si>
    <t>Toggle gda-risk</t>
  </si>
  <si>
    <t>GDA.api.risk-intel (cS4SQ8tVeAvGm3ht) OFF-&gt;ON cycle via MCP</t>
  </si>
  <si>
    <t>Launchpad theme</t>
  </si>
  <si>
    <t>ALREADY WHITE</t>
  </si>
  <si>
    <t>No dark backgrounds (#0B1426, #1a2744) found. Only accent colors (green/red/orange for badges). Already converted in prior session.</t>
  </si>
  <si>
    <t>OODA</t>
  </si>
  <si>
    <t>Wheel SVG fix</t>
  </si>
  <si>
    <t>f7800eb: viewBox 0 0 180 180 -&gt; 0 0 240 240, width/height 180-&gt;260, circle r=70-&gt;90, bubble r=18/22-&gt;22/26, font 14/12-&gt;16/13, center text enlarged. No more clipping.</t>
  </si>
  <si>
    <t>Intel Feed missing from sidebar</t>
  </si>
  <si>
    <t>Has PAGES entry and nav ID but no sidebar nav link visible</t>
  </si>
  <si>
    <t>Daily SITREP "Failed to fetch"</t>
  </si>
  <si>
    <t>Shown on initial load. May be SITREP workflow timeout or auth issue.</t>
  </si>
  <si>
    <t>gda-trends webhook 404</t>
  </si>
  <si>
    <t>MCP activateWorkflow does NOT register production webhooks. Shawn: toggle OFF-&gt;ON in n8n UI. Cron (05:00 UTC) works regardless.</t>
  </si>
  <si>
    <t>MCP disconnected mid-session</t>
  </si>
  <si>
    <t>n8n container restart also restarted MCP container. MCP only initializes at chat start. New chat required.</t>
  </si>
  <si>
    <t>CHROME LIVE VERIFICATION</t>
  </si>
  <si>
    <t>White theme, KPIs showing: 29 Active Opps, 11 agencies, Pipeline Funnel, Revenue vs $100M, Top Opportunities table</t>
  </si>
  <si>
    <t>Input field, quick targets (SOCOM/TRADOC/PEO STRI/DISA/CYBERCOM/Leidos/BAH/SAIC/Peraton), AI Analysis Panel with Ask/Red/Blue Team</t>
  </si>
  <si>
    <t>29 programs across 3 departments (War, IC, DHS). Search, Sort by Score. Pipeline $0, Urgent 0.</t>
  </si>
  <si>
    <t>"Failed to fetch" error on initial load. KPI bar shows 0s. Cards render (New Opps, Expiring, CI, Actions, Risks, Trading).</t>
  </si>
  <si>
    <t>S-081 BACKLOG — Fix S-080 Issues + Continue Carry Items</t>
  </si>
  <si>
    <t>Add Intel Feed to sidebar nav</t>
  </si>
  <si>
    <t>Has PAGES entry but missing from sidebar NAV_ITEMS array. Add between Target Agencies and IDIQ On-Ramp.</t>
  </si>
  <si>
    <t>Fix Daily SITREP "Failed to fetch"</t>
  </si>
  <si>
    <t>SITREP shows error on load. Check gda-sitrep workflow (G9US1e01oY1cgJIF) auth guard and timeout. May need OFF-&gt;ON toggle.</t>
  </si>
  <si>
    <t>Toggle gda-trends OFF-&gt;ON in n8n UI</t>
  </si>
  <si>
    <t>MCP activate does not register production webhooks. Must be toggled via n8n UI to register /webhook/gda-trends path.</t>
  </si>
  <si>
    <t>Shawn UI</t>
  </si>
  <si>
    <t>Verify OODA wheel renders correctly</t>
  </si>
  <si>
    <t>f7800eb deployed SVG expansion. Hard refresh and confirm all 4 phase bubbles visible without clipping.</t>
  </si>
  <si>
    <t>POST gda-ooda with target TRADOC, target_type Agency. Verify all 4 phases + confidence score.</t>
  </si>
  <si>
    <t>Wire Tavily into Intel Feed + OODA</t>
  </si>
  <si>
    <t>Tavily upgraded (was 432). Wire real web search into intel-feed and ooda-loop workflows for live OSINT.</t>
  </si>
  <si>
    <t>GovTribe MCP connected. Route live SAM.gov/GovTribe data into opp-tracker pipeline for real opportunities.</t>
  </si>
  <si>
    <t>18-tab full walkthrough with real data</t>
  </si>
  <si>
    <t>Click every tab, input real data, report what works/breaks. Long overdue from S-067 E2E findings.</t>
  </si>
  <si>
    <t>Click chart segments -&gt; filtered view. Pipeline funnel, dept treemap, win probability distribution.</t>
  </si>
  <si>
    <t>Schwab OAuth + first live market test</t>
  </si>
  <si>
    <t>Browser required for OAuth flow. Monday 9:30 AM live market test.</t>
  </si>
  <si>
    <t>Wire trend overlays into Recharts</t>
  </si>
  <si>
    <t>useTrendData hook + 7/30/90d lines on existing charts. Requires seeded daily_trends data.</t>
  </si>
  <si>
    <t>After C-3</t>
  </si>
  <si>
    <t>SMTP credentials for trade alerts</t>
  </si>
  <si>
    <t>Workflow 3dc99tgxFQp4Mjqo needs SMTP creds for email alerts.</t>
  </si>
  <si>
    <t>Shows 29 programs but all "Department of the Army" with $0 pipeline and 0.0 scores. Need real SAM.gov/GovTribe data.</t>
  </si>
  <si>
    <t>S-079 DEPLOY LOG — Web MCP Session (March 15-16, 2026)</t>
  </si>
  <si>
    <t>263e9b9</t>
  </si>
  <si>
    <t>2233</t>
  </si>
  <si>
    <t>Builds</t>
  </si>
  <si>
    <t>Nav Items</t>
  </si>
  <si>
    <t>18 (added intel-feed)</t>
  </si>
  <si>
    <t>Bundle</t>
  </si>
  <si>
    <t>index-BzxEtBYE.js (788KB)</t>
  </si>
  <si>
    <t>Lines +/-</t>
  </si>
  <si>
    <t>(build 1)</t>
  </si>
  <si>
    <t>DOD_DEPT_MAP + resolveDept (surgical patch)</t>
  </si>
  <si>
    <t>+80</t>
  </si>
  <si>
    <t>13 cabinet-level departments, injected before OppTrackerPage</t>
  </si>
  <si>
    <t>(build 2)</t>
  </si>
  <si>
    <t>OppTrackerPage full redesign</t>
  </si>
  <si>
    <t>+350</t>
  </si>
  <si>
    <t>KPI bar, dept cards ranked by value×fit, program drill-down, filters</t>
  </si>
  <si>
    <t>(build 3)</t>
  </si>
  <si>
    <t>OODALoopPage + IntelFeedPage + DailySitrepPage</t>
  </si>
  <si>
    <t>+800</t>
  </si>
  <si>
    <t>OODA wheel+4phases+AI panel, Intel unified search, SITREP sections+history</t>
  </si>
  <si>
    <t>daily_trends table + GDA.cron.daily-trends workflow</t>
  </si>
  <si>
    <t>N/A</t>
  </si>
  <si>
    <t>Postgres table + n8n workflow XH3IhyvWMPoZzxBS, 9 metrics, creds wired</t>
  </si>
  <si>
    <t>BLOCKED — SHAWN ACTION</t>
  </si>
  <si>
    <t>Issue</t>
  </si>
  <si>
    <t>Owner</t>
  </si>
  <si>
    <t>Activate trends workflow</t>
  </si>
  <si>
    <t>PATCH API not routed through Traefik</t>
  </si>
  <si>
    <t>Open n8n UI → GDA.cron.daily-trends → toggle Active</t>
  </si>
  <si>
    <t>gda-risk webhook</t>
  </si>
  <si>
    <t>Still 404</t>
  </si>
  <si>
    <t>Toggle OFF/ON in n8n UI</t>
  </si>
  <si>
    <t>Tavily API</t>
  </si>
  <si>
    <t>HTTP 432 free tier exhausted</t>
  </si>
  <si>
    <t>Upgrade at tavily.com or new key</t>
  </si>
  <si>
    <t>GovWin creds</t>
  </si>
  <si>
    <t>HTTP 401 bad credentials</t>
  </si>
  <si>
    <t>Fresh creds in n8n UI</t>
  </si>
  <si>
    <t>Gist update</t>
  </si>
  <si>
    <t>No GitHub token</t>
  </si>
  <si>
    <t>Generate PAT (gist scope) + build auto-update workflow</t>
  </si>
  <si>
    <t>Schwab OAuth</t>
  </si>
  <si>
    <t>Browser required</t>
  </si>
  <si>
    <t>Complete OAuth flow in browser</t>
  </si>
  <si>
    <t>S-080 BACKLOG</t>
  </si>
  <si>
    <t>Verify all 5 new pages render in browser</t>
  </si>
  <si>
    <t>OppTracker, OODA Loop, Intel Feed, SITREP, Risk — click each, confirm data loads</t>
  </si>
  <si>
    <t>Test OODA Loop with real targets</t>
  </si>
  <si>
    <t>Run SOCOM, TRADOC — verify 4 phases populate, AI panel works</t>
  </si>
  <si>
    <t>Test Intel Feed search</t>
  </si>
  <si>
    <t>Search capabilities, verify source toggles, result cards render</t>
  </si>
  <si>
    <t>Activate GDA.cron.daily-trends</t>
  </si>
  <si>
    <t>Toggle Active in n8n UI (Shawn action)</t>
  </si>
  <si>
    <t>Seed initial trend data</t>
  </si>
  <si>
    <t>POST /webhook/gda-trends {action:"refresh"}</t>
  </si>
  <si>
    <t>Launchpad dark→white theme conversion</t>
  </si>
  <si>
    <t>GDALaunchpad from gist needs white theme to match all other tabs</t>
  </si>
  <si>
    <t>Wire real API data into OppTracker</t>
  </si>
  <si>
    <t>SAM.gov/GovTribe sources feeding live opps</t>
  </si>
  <si>
    <t>Tavily/GovWin creds</t>
  </si>
  <si>
    <t>Build GDA.auto.gist-update — needs GitHub PAT from Shawn</t>
  </si>
  <si>
    <t>Toggle gda-risk webhook</t>
  </si>
  <si>
    <t>OFF/ON in n8n UI</t>
  </si>
  <si>
    <t>Schwab OAuth + first trade</t>
  </si>
  <si>
    <t>Click chart segments → filtered view</t>
  </si>
  <si>
    <t>useTrendData hook + 7/30/90d lines on existing charts</t>
  </si>
  <si>
    <t>17-tab walkthrough with real data</t>
  </si>
  <si>
    <t>Page-by-page real data test — long overdue</t>
  </si>
  <si>
    <t>Output sanitizer for emails/exports</t>
  </si>
  <si>
    <t>Workflow 3dc99tgxFQp4Mjqo needs SMTP creds</t>
  </si>
  <si>
    <t>YES — creds</t>
  </si>
  <si>
    <t>S-078 COMPLETE SESSION OUTPUT — Desktop Claude (March 15, 2026)</t>
  </si>
  <si>
    <t>2026-03-15</t>
  </si>
  <si>
    <t>Components Built</t>
  </si>
  <si>
    <t>4 new JSX components + 1 SQL spec + 1 deploy prompt</t>
  </si>
  <si>
    <t>S-078 TASK TRACKER</t>
  </si>
  <si>
    <t>Deploy Session</t>
  </si>
  <si>
    <t>T-1</t>
  </si>
  <si>
    <t>OppTrackerPage</t>
  </si>
  <si>
    <t>Full redesign: DOD_DEPT_MAP hierarchy, top 5 depts ranked by value×fit, expandable program cards, KPI bar, filters</t>
  </si>
  <si>
    <t>~420</t>
  </si>
  <si>
    <t>BUILT</t>
  </si>
  <si>
    <t>s078-task1-opp-tracker-CORRECTED.jsx</t>
  </si>
  <si>
    <t>S-079</t>
  </si>
  <si>
    <t>T-1 FIX</t>
  </si>
  <si>
    <t>DOD_DEPT_MAP</t>
  </si>
  <si>
    <t>Fixed department grouping — agencies now map to 5 top-level DoD departments, not raw agency strings</t>
  </si>
  <si>
    <t>~100</t>
  </si>
  <si>
    <t>(in T-1 file)</t>
  </si>
  <si>
    <t>T-2</t>
  </si>
  <si>
    <t>IntelFeedPage</t>
  </si>
  <si>
    <t>Unified search across GovTribe+SAM+GovWin, source toggles, result cards, Track/Analyze/View</t>
  </si>
  <si>
    <t>~220</t>
  </si>
  <si>
    <t>s078-task2-intel-feed.jsx</t>
  </si>
  <si>
    <t>T-3</t>
  </si>
  <si>
    <t>DailySitrepPage</t>
  </si>
  <si>
    <t>Enhanced SITREP: AI summary, 4 metric boxes, structured sections, 30-day history timeline, sparklines</t>
  </si>
  <si>
    <t>~280</t>
  </si>
  <si>
    <t>s078-task3-sitrep.jsx</t>
  </si>
  <si>
    <t>T-4</t>
  </si>
  <si>
    <t>daily_trends table</t>
  </si>
  <si>
    <t>Postgres table + nightly cron workflow spec + frontend integration guide for 9 metrics with 7/30/90d rolling avgs</t>
  </si>
  <si>
    <t>~200</t>
  </si>
  <si>
    <t>SPEC READY</t>
  </si>
  <si>
    <t>s078-task4-daily-trends.sql + trends-spec.md</t>
  </si>
  <si>
    <t>T-5</t>
  </si>
  <si>
    <t>S-079 Prompt</t>
  </si>
  <si>
    <t>Complete web MCP deploy prompt with all 5 deploy instructions, verification steps, file references</t>
  </si>
  <si>
    <t>~180</t>
  </si>
  <si>
    <t>s079-web-prompt.md</t>
  </si>
  <si>
    <t>T-6</t>
  </si>
  <si>
    <t>Workbook v18</t>
  </si>
  <si>
    <t>Updated workbook with session log, component tracking, S-079 backlog</t>
  </si>
  <si>
    <t>Master_Build_v_18.xlsx</t>
  </si>
  <si>
    <t>OODALoopPage</t>
  </si>
  <si>
    <t>Complete rebuild: target input, OODA wheel SVG, 4 phase tabs, AI panel Red/Blue team, Export, History. WHITE THEME.</t>
  </si>
  <si>
    <t>~550</t>
  </si>
  <si>
    <t>s078-ooda-loop.jsx</t>
  </si>
  <si>
    <t>FINAL STATUS — S-078 DESKTOP + BROWSER DEPLOY</t>
  </si>
  <si>
    <t>DEPLOYED LIVE</t>
  </si>
  <si>
    <t>DOD_DEPT_MAP (13 cabinet-level depts)</t>
  </si>
  <si>
    <t>Browser → webhook → patch_script</t>
  </si>
  <si>
    <t>Department of War rolls up all military. Data ranks top 5.</t>
  </si>
  <si>
    <t>resolveDept() function</t>
  </si>
  <si>
    <t>Maps any agency string to cabinet-level department</t>
  </si>
  <si>
    <t>S-078 web session (7 components)</t>
  </si>
  <si>
    <t>MCP direct deploy</t>
  </si>
  <si>
    <t>PipelineFunnel, RevenueTarget, BalanceOverTime, WinLossChart, TradeScans, RiskTrend, MorningBriefingModal</t>
  </si>
  <si>
    <t>3 webhook fixes + 8 risks seeded</t>
  </si>
  <si>
    <t>MCP toggle + SQL</t>
  </si>
  <si>
    <t>schwab-trade, schwab-accounts, opp-refresh all 200</t>
  </si>
  <si>
    <t>BUILT — NOT YET DEPLOYED</t>
  </si>
  <si>
    <t>Size</t>
  </si>
  <si>
    <t>Needs</t>
  </si>
  <si>
    <t>OppTrackerPage full UI redesign</t>
  </si>
  <si>
    <t>25KB</t>
  </si>
  <si>
    <t>MCP session (too large for browser)</t>
  </si>
  <si>
    <t>OODALoopPage full rebuild</t>
  </si>
  <si>
    <t>33KB</t>
  </si>
  <si>
    <t>MCP session</t>
  </si>
  <si>
    <t>12KB</t>
  </si>
  <si>
    <t>DailySitrepPage upgrade</t>
  </si>
  <si>
    <t>14KB</t>
  </si>
  <si>
    <t>daily_trends Postgres table</t>
  </si>
  <si>
    <t>s078-task4-daily-trends.sql</t>
  </si>
  <si>
    <t>6KB</t>
  </si>
  <si>
    <t>daily_trends workflow spec</t>
  </si>
  <si>
    <t>s078-task4-trends-spec.md</t>
  </si>
  <si>
    <t>s078-gist-auto-update.js</t>
  </si>
  <si>
    <t>5KB</t>
  </si>
  <si>
    <t>MCP session + GitHub PAT from Shawn</t>
  </si>
  <si>
    <t>S-079 BACKLOG — Deploy S-078 Builds + Carry Items</t>
  </si>
  <si>
    <t>C-0</t>
  </si>
  <si>
    <t>Gist auto-update workflow (BUILD FIRST)</t>
  </si>
  <si>
    <t>Create n8n credential (GitHub PAT from Shawn) + GDA.auto.gist-update workflow + hook into deploy pipeline. Spec: s078-gist-auto-update.js. Ends manual gist paste forever.</t>
  </si>
  <si>
    <t>YES — need PAT</t>
  </si>
  <si>
    <t>Deploy OppTrackerPage redesign</t>
  </si>
  <si>
    <t>DOD_DEPT_MAP + top 5 depts + program drill-down. File: s078-task1-opp-tracker-CORRECTED.jsx. 22KB, use patch_script.</t>
  </si>
  <si>
    <t>Deploy OODALoopPage rebuild</t>
  </si>
  <si>
    <t>Full OODA with wheel, 4 phases, AI panel. File: s078-ooda-loop.jsx. 32KB, use patch_script.</t>
  </si>
  <si>
    <t>Deploy IntelFeedPage</t>
  </si>
  <si>
    <t>Unified search tab. File: s078-task2-intel-feed.jsx. 10KB. Wire to comp-intel or new nav.</t>
  </si>
  <si>
    <t>Deploy DailySitrepPage upgrade</t>
  </si>
  <si>
    <t>Enhanced SITREP. File: s078-task3-sitrep.jsx. 12KB.</t>
  </si>
  <si>
    <t>Create daily_trends Postgres table</t>
  </si>
  <si>
    <t>Run CREATE TABLE from s078-task4-daily-trends.sql via Postgres node.</t>
  </si>
  <si>
    <t>Create GDA.cron.daily-trends workflow</t>
  </si>
  <si>
    <t>Nightly cron, 9 metrics, rolling avgs. Spec in s078-task4-trends-spec.md.</t>
  </si>
  <si>
    <t>Gist update — S-078/S-079 completion</t>
  </si>
  <si>
    <t>Update GDA Master gist with all deployed components, new table, new workflows.</t>
  </si>
  <si>
    <t>Wire /webhook/gda-trends endpoint</t>
  </si>
  <si>
    <t>Create webhook handler with get/latest/refresh actions per spec.</t>
  </si>
  <si>
    <t>Fix 3 broken webhooks (carry)</t>
  </si>
  <si>
    <t>schwab-trade, schwab-accounts, opp-refresh: toggle OFF/ON in n8n UI.</t>
  </si>
  <si>
    <t>Schwab OAuth debug (carry)</t>
  </si>
  <si>
    <t>Webhooks return 404. May need workflow recreation.</t>
  </si>
  <si>
    <t>MCP needed</t>
  </si>
  <si>
    <t>Wire trend overlays into existing charts</t>
  </si>
  <si>
    <t>Add useTrendData hook, wire 7/30/90d lines into Recharts per spec.</t>
  </si>
  <si>
    <t>After C-6</t>
  </si>
  <si>
    <t>Security data filter (carry)</t>
  </si>
  <si>
    <t>Output sanitizer for emails/exports. Strip cost rates, partner names.</t>
  </si>
  <si>
    <t>17-tab walkthrough with real data (carry)</t>
  </si>
  <si>
    <t>Page-by-page real data test. Long overdue.</t>
  </si>
  <si>
    <t>SMTP credentials for trade alerts (carry)</t>
  </si>
  <si>
    <t>Workflow 3dc99tgxFQp4Mjqo exists. Needs SMTP creds.</t>
  </si>
  <si>
    <t>Postgres password rotation (carry)</t>
  </si>
  <si>
    <t>RED-tier. Shawn must approve.</t>
  </si>
  <si>
    <t>Shawn approval</t>
  </si>
  <si>
    <t>YES — RED tier</t>
  </si>
  <si>
    <t>CARRY FROM WEB SESSION</t>
  </si>
  <si>
    <t>W-1</t>
  </si>
  <si>
    <t>Same fix as schwab-trade/accounts/opp-refresh — toggle OFF/ON in n8n UI</t>
  </si>
  <si>
    <t>W-2</t>
  </si>
  <si>
    <t>Tavily API upgrade</t>
  </si>
  <si>
    <t>Free tier exhausted (432). Upgrade at tavily.com or provide new key</t>
  </si>
  <si>
    <t>YES — key</t>
  </si>
  <si>
    <t>W-3</t>
  </si>
  <si>
    <t>GovWin fresh credentials</t>
  </si>
  <si>
    <t>401 bad client creds. Update in n8n UI</t>
  </si>
  <si>
    <t>W-4</t>
  </si>
  <si>
    <t>Gist update with S-078/S-079</t>
  </si>
  <si>
    <t>No GitHub token. Shawn pastes manually</t>
  </si>
  <si>
    <t>W-5</t>
  </si>
  <si>
    <t>Webhooks now 200. OAuth flow needs browser</t>
  </si>
  <si>
    <t>W-6</t>
  </si>
  <si>
    <t>Verify chart components render</t>
  </si>
  <si>
    <t>Open each tab in browser, confirm charts show</t>
  </si>
  <si>
    <t>W-7</t>
  </si>
  <si>
    <t>Interactive drill-down on charts</t>
  </si>
  <si>
    <t>Click chart segments → filter view</t>
  </si>
  <si>
    <t>After W-6</t>
  </si>
  <si>
    <t>DEPLOY 0 — DO FIRST</t>
  </si>
  <si>
    <t>G-1</t>
  </si>
  <si>
    <t>Create GitHub PAT credential in n8n</t>
  </si>
  <si>
    <t>HTTP Header Auth, name "GitHub PAT - Gist", Authorization: Bearer &lt;token&gt;. Shawn provides PAT (gist scope only).</t>
  </si>
  <si>
    <t>Shawn provides PAT</t>
  </si>
  <si>
    <t>G-2</t>
  </si>
  <si>
    <t>Build GDA.auto.gist-update workflow</t>
  </si>
  <si>
    <t>Webhook /gda-gist-update → Build markdown → PATCH GitHub API → Verify. Error branch → action items alert.</t>
  </si>
  <si>
    <t>After G-1</t>
  </si>
  <si>
    <t>G-3</t>
  </si>
  <si>
    <t>Wire gist update into deploy pipeline</t>
  </si>
  <si>
    <t>Add HTTP Request node at END of workflow 8GnGxnBL9TJjj1i2. Every deploy auto-POSTs session summary to gist.</t>
  </si>
  <si>
    <t>After G-2</t>
  </si>
  <si>
    <t>G-4</t>
  </si>
  <si>
    <t>Test gist auto-update</t>
  </si>
  <si>
    <t>POST test payload to /webhook/gda-gist-update, verify gist updates at github.com</t>
  </si>
  <si>
    <t>After G-3</t>
  </si>
  <si>
    <t>S-078 COMPONENT REGISTRY — Desktop Build Outputs</t>
  </si>
  <si>
    <t>Component Name</t>
  </si>
  <si>
    <t>Lines (approx)</t>
  </si>
  <si>
    <t>Key Features</t>
  </si>
  <si>
    <t>Endpoint</t>
  </si>
  <si>
    <t>React Component</t>
  </si>
  <si>
    <t>DOD_DEPT_MAP, top 5 depts, program drill-down, KPIs, filters</t>
  </si>
  <si>
    <t>/webhook/gda-opp-tracker</t>
  </si>
  <si>
    <t>Ready to deploy</t>
  </si>
  <si>
    <t>JS Object</t>
  </si>
  <si>
    <t>Maps 80+ agency/command names to 5 top-level DoD departments</t>
  </si>
  <si>
    <t>resolveDept()</t>
  </si>
  <si>
    <t>Utility Function</t>
  </si>
  <si>
    <t>~15</t>
  </si>
  <si>
    <t>Resolves any agency string to department via map + substring match</t>
  </si>
  <si>
    <t>Target input, OODA wheel, 4 phase tabs, AI panel, Export, History</t>
  </si>
  <si>
    <t>/webhook/gda-ooda</t>
  </si>
  <si>
    <t>OODAWheel</t>
  </si>
  <si>
    <t>React/SVG Component</t>
  </si>
  <si>
    <t>~60</t>
  </si>
  <si>
    <t>Circular 4-node diagram with clickable phases</t>
  </si>
  <si>
    <t>PhaseObserve/Orient/Decide/Act</t>
  </si>
  <si>
    <t>React Components</t>
  </si>
  <si>
    <t>~250</t>
  </si>
  <si>
    <t>Content panels for each OODA phase</t>
  </si>
  <si>
    <t>OODAAIPanel</t>
  </si>
  <si>
    <t>~80</t>
  </si>
  <si>
    <t>Question input, notes, Red/Blue team analysis</t>
  </si>
  <si>
    <t>Unified search, source toggles, result cards, sort</t>
  </si>
  <si>
    <t>AI summary, metrics, sections, history timeline, sparklines</t>
  </si>
  <si>
    <t>/webhook/gda-sitrep</t>
  </si>
  <si>
    <t>Postgres Table</t>
  </si>
  <si>
    <t>9 metrics with 7/30/90d rolling avgs, direction</t>
  </si>
  <si>
    <t>SQL ready</t>
  </si>
  <si>
    <t>GDA.cron.daily-trends</t>
  </si>
  <si>
    <t>Nightly cron, calculate + insert, error handling</t>
  </si>
  <si>
    <t>/webhook/gda-trends</t>
  </si>
  <si>
    <t>Spec ready</t>
  </si>
  <si>
    <t>useTrendData()</t>
  </si>
  <si>
    <t>React Hook</t>
  </si>
  <si>
    <t>~20</t>
  </si>
  <si>
    <t>Fetches trend data for chart overlays</t>
  </si>
  <si>
    <t>GDA.auto.gist-update</t>
  </si>
  <si>
    <t>Auto-updates GDA Master gist at end of every session + every deploy. Ends manual paste.</t>
  </si>
  <si>
    <t>Spec ready — needs PAT</t>
  </si>
  <si>
    <t>S-078 DEPLOY LOG — Web MCP Session (March 15, 2026)</t>
  </si>
  <si>
    <t>d1b469e</t>
  </si>
  <si>
    <t>1981</t>
  </si>
  <si>
    <t>~15s</t>
  </si>
  <si>
    <t>PipelineFunnel</t>
  </si>
  <si>
    <t>Chart</t>
  </si>
  <si>
    <t>Pipeline funnel by stage on Launchpad</t>
  </si>
  <si>
    <t>2-up grid above Top Opps</t>
  </si>
  <si>
    <t>RevenueTarget</t>
  </si>
  <si>
    <t>Revenue target tracker on Launchpad</t>
  </si>
  <si>
    <t>BalanceOverTime</t>
  </si>
  <si>
    <t>Account balance trend on Trading</t>
  </si>
  <si>
    <t>2-up grid above engine status</t>
  </si>
  <si>
    <t>WinLossChart</t>
  </si>
  <si>
    <t>Win/loss ratio chart on Trading</t>
  </si>
  <si>
    <t>TradeScansSection</t>
  </si>
  <si>
    <t>Market scan cards with signals on Trading</t>
  </si>
  <si>
    <t>RiskTrend</t>
  </si>
  <si>
    <t>Risk trend over time on Risk tab</t>
  </si>
  <si>
    <t>MorningBriefingModal</t>
  </si>
  <si>
    <t>Daily briefing modal on app load, once/day, dismissable</t>
  </si>
  <si>
    <t>ChartCard</t>
  </si>
  <si>
    <t>Shared Helper</t>
  </si>
  <si>
    <t>Reusable chart wrapper component</t>
  </si>
  <si>
    <t>formatDollar</t>
  </si>
  <si>
    <t>Dollar formatting utility</t>
  </si>
  <si>
    <t>ReferenceLine</t>
  </si>
  <si>
    <t>Import</t>
  </si>
  <si>
    <t>Added to Recharts imports</t>
  </si>
  <si>
    <t>Webhook fix: schwab-trade</t>
  </si>
  <si>
    <t>Fix</t>
  </si>
  <si>
    <t>Toggle OFF/ON, now returns 200</t>
  </si>
  <si>
    <t>Was 404</t>
  </si>
  <si>
    <t>Webhook fix: schwab-accounts</t>
  </si>
  <si>
    <t>Webhook fix: opp-refresh</t>
  </si>
  <si>
    <t>Risk register seeded</t>
  </si>
  <si>
    <t>Data</t>
  </si>
  <si>
    <t>8 risks in gda_risks Postgres table</t>
  </si>
  <si>
    <t>IEWS, $100M gap, key personnel, SOCOM, Iran budget, API, recompete, cred exposure</t>
  </si>
  <si>
    <t>Comp Intel error handling</t>
  </si>
  <si>
    <t>continueOnFail on AI Agent + GovWin Auth nodes</t>
  </si>
  <si>
    <t>Returns errors instead of hanging</t>
  </si>
  <si>
    <t>BLOCKED ITEMS</t>
  </si>
  <si>
    <t>Required Action</t>
  </si>
  <si>
    <t>No GitHub token for Claude</t>
  </si>
  <si>
    <t>Paste gist content manually</t>
  </si>
  <si>
    <t>HTTP 432 — free tier exhausted</t>
  </si>
  <si>
    <t>HTTP 401 — bad client credentials</t>
  </si>
  <si>
    <t>Webhooks working, OAuth flow needs browser</t>
  </si>
  <si>
    <t>Complete OAuth in browser</t>
  </si>
  <si>
    <t>GDA COMMAND — 13 CABINET-LEVEL DEPARTMENTS</t>
  </si>
  <si>
    <t>Department</t>
  </si>
  <si>
    <t>Sub-Components (examples)</t>
  </si>
  <si>
    <t>Department of War</t>
  </si>
  <si>
    <t>Army, Navy, Air Force, Marines, Space Force, ALL PEOs, ALL combatant commands (SOCOM, CYBERCOM, INDOPACOM, CENTCOM...), ALL defense agencies (DISA, DIA, DARPA, DLA, MDA, DTRA...), TRADOC, AFC, INSCOM, DEVCOM, CECOM, NAVAIR, NAVSEA, AFLCMC, AFRL</t>
  </si>
  <si>
    <t>Department of Homeland Security</t>
  </si>
  <si>
    <t>CBP, ICE, TSA, FEMA, Secret Service, Coast Guard, CISA</t>
  </si>
  <si>
    <t>Intelligence Community</t>
  </si>
  <si>
    <t>CIA, NSA, NGA, NRO, DNI/ODNI</t>
  </si>
  <si>
    <t>Department of Veterans Affairs</t>
  </si>
  <si>
    <t>VHA, VBA</t>
  </si>
  <si>
    <t>Department of Energy</t>
  </si>
  <si>
    <t>NNSA</t>
  </si>
  <si>
    <t>N/A — single agency</t>
  </si>
  <si>
    <t>Department of Justice</t>
  </si>
  <si>
    <t>FBI, DEA, ATF, BOP, U.S. Marshals</t>
  </si>
  <si>
    <t>Department of State</t>
  </si>
  <si>
    <t>Department of Commerce</t>
  </si>
  <si>
    <t>NOAA, NIST, Census Bureau</t>
  </si>
  <si>
    <t>Department of Health and Human Services</t>
  </si>
  <si>
    <t>CDC, NIH, CMS, FDA</t>
  </si>
  <si>
    <t>Department of the Interior</t>
  </si>
  <si>
    <t>BLM, USGS, NPS</t>
  </si>
  <si>
    <t>Department of Transportation</t>
  </si>
  <si>
    <t>FAA, FHWA</t>
  </si>
  <si>
    <t>General Services Administration</t>
  </si>
  <si>
    <t>NOTE:</t>
  </si>
  <si>
    <t>Top 5 is determined by DATA (value x fit score), NOT hardcoded. Any of these 13 departments can be in the top 5 depending on the pipeline.</t>
  </si>
  <si>
    <t>GDA COMMAND — STRATEGIC ROADMAP</t>
  </si>
  <si>
    <t>Extracted from Gemini brainstorm session (2026-03-15). Validated by Claude — only items that are NEW, ACTIONABLE, and VERIFIED are included. Unverified claims (specific program $, competitor names, policy references) excluded until Shawn confirms.</t>
  </si>
  <si>
    <t>SECTION 1: STRATEGIC GUARDRAILS — CONFIRMED BY SHAWN</t>
  </si>
  <si>
    <t>Guardrail</t>
  </si>
  <si>
    <t>Parameter</t>
  </si>
  <si>
    <t>Implementation</t>
  </si>
  <si>
    <t>SG-001</t>
  </si>
  <si>
    <t>Revenue Target</t>
  </si>
  <si>
    <t>$100M FY26</t>
  </si>
  <si>
    <t>✅ IN MEMORY</t>
  </si>
  <si>
    <t>AI scores opps against annual booking gap. Pipeline must be 3:1 ratio to target.</t>
  </si>
  <si>
    <t>Already in Claude memory + AI Agent system prompt. GDA Master gist has this.</t>
  </si>
  <si>
    <t>SG-002</t>
  </si>
  <si>
    <t>Win Rate Target</t>
  </si>
  <si>
    <t>40%+ Pwin on qualified pursuits</t>
  </si>
  <si>
    <t>🔲 NEEDS WIRING</t>
  </si>
  <si>
    <t>Add pwin_target field to company_objectives or hardcode in AI Agent system prompt.</t>
  </si>
  <si>
    <t>Currently no Pwin tracking in Postgres. Need field in opp tracker.</t>
  </si>
  <si>
    <t>SG-003</t>
  </si>
  <si>
    <t>Must-Win Programs</t>
  </si>
  <si>
    <t>IEWS SETA + ALL recompetes</t>
  </si>
  <si>
    <t>Pinned as strategic anchors. AI elevates scoring weight on these.</t>
  </si>
  <si>
    <t>Shawn confirmed. Specific program names/$ TBD — Shawn to provide.</t>
  </si>
  <si>
    <t>SG-004</t>
  </si>
  <si>
    <t>Competitor Tracking</t>
  </si>
  <si>
    <t>AI dynamically identifies — NO static list</t>
  </si>
  <si>
    <t>competitor_cache populated by AI analysis, not hand-picked. Track both primes (ceiling) and smalls (floor).</t>
  </si>
  <si>
    <t>Gemini suggested static names — REJECTED per Shawn directive. AI finds them.</t>
  </si>
  <si>
    <t>SG-005</t>
  </si>
  <si>
    <t>Autonomy Tiers</t>
  </si>
  <si>
    <t>Green/Yellow/Red gates on OODA "Act" phase</t>
  </si>
  <si>
    <t>Green (≤2): auto-act. Yellow (3+): recommend + wait. Red (≥4): brief + wait for approval.</t>
  </si>
  <si>
    <t>Risk Tab will visualize this. Currently conceptual — needs Risk Tab build.</t>
  </si>
  <si>
    <t>SECTION 2: NEW FEATURES TO BUILD — Validated from Gemini session</t>
  </si>
  <si>
    <t>Feature ID</t>
  </si>
  <si>
    <t>Dependencies</t>
  </si>
  <si>
    <t>NF-001</t>
  </si>
  <si>
    <t>Risk Intelligence Tab</t>
  </si>
  <si>
    <t>New UI tab with split view: (Top) Active Risk Matrix — accepted risks plotted on Impact x Likelihood grid. (Bottom) Review Queue — new AI-detected risks pending human review. Actions: Accept, Reject, Upgrade, Downgrade. Each risk links to source data.</t>
  </si>
  <si>
    <t>✅ BACKEND DONE</t>
  </si>
  <si>
    <t>2-3 sessions</t>
  </si>
  <si>
    <t>New risk_register Postgres table. Recharts ScatterChart. n8n Risk Harvester workflow.</t>
  </si>
  <si>
    <t>NF-002</t>
  </si>
  <si>
    <t>Strategic Pin/Anchor System</t>
  </si>
  <si>
    <t>Flag critical knowledge as "pinned" so AI always includes it in reasoning context. Unpinned data treated as fluid — weighted by recency. Auto-decay: unpinned items deprioritized after 90 days unless re-validated.</t>
  </si>
  <si>
    <t>is_pinned field in Pinecone metadata + Postgres knowledge_base. AI Agent prompt update.</t>
  </si>
  <si>
    <t>NF-003</t>
  </si>
  <si>
    <t>Morning Briefing Modal</t>
  </si>
  <si>
    <t>Replace the disabled 0700 email with an in-app modal that shows on first login each day. 30-second summary: overnight changes, new risks, pipeline movement, action items due.</t>
  </si>
  <si>
    <t>Frontend modal component. n8n workflow to generate overnight delta. localStorage flag for "seen today".</t>
  </si>
  <si>
    <t>NF-004</t>
  </si>
  <si>
    <t>Cross-Module Auto-Query</t>
  </si>
  <si>
    <t>When user asks a question on any tab, AI automatically cross-references ALL relevant Postgres tables (not just the current tab). No departmental silos — AI reasons across the full dataset.</t>
  </si>
  <si>
    <t>AI Agent system prompt update. May need "GDA Knowledge Navigator" tool definition in n8n.</t>
  </si>
  <si>
    <t>NF-005</t>
  </si>
  <si>
    <t>Trend Overlays on All Charts</t>
  </si>
  <si>
    <t>Every Recharts visualization gets optional trend line toggle. Show 7/30/90-day deltas. Track velocity (how fast things change) not just snapshots.</t>
  </si>
  <si>
    <t>daily_trends Postgres table. Nightly aggregation workflow. Frontend toggle component.</t>
  </si>
  <si>
    <t>NF-006</t>
  </si>
  <si>
    <t>Security Data Filter</t>
  </si>
  <si>
    <t>All outbound content (emails, SITREPs, exports) must strip: internal cost rates, wrap rates, teammate partner names, pricing data. AI can USE this data for scoring but never SURFACE it verbatim.</t>
  </si>
  <si>
    <t>Output sanitizer in n8n email/export workflows. Sensitivity flags on Postgres columns.</t>
  </si>
  <si>
    <t>NF-007</t>
  </si>
  <si>
    <t>GovTribe MCP Integration</t>
  </si>
  <si>
    <t>Connect GovTribe MCP server to Claude (Settings &gt; Connectors). Provides 50+ tools: federal opp search, award lookup, IDV tracking, vendor analysis, contact intel, forecasts. Replaces manual Tavily/GovWin scraping with live, authoritative GovCon data. Credit-based pricing.</t>
  </si>
  <si>
    <t>✅ CONNECTED</t>
  </si>
  <si>
    <t>&lt;1 session</t>
  </si>
  <si>
    <t>GovTribe paid account required. Credit pricing TBD. Add connector URL in Claude Settings. Test with: "Search GovTribe for SOCOM opportunities". Could feed directly into GDA opp tracker + comp-intel.</t>
  </si>
  <si>
    <t>SECTION 3: AI AGENT SYSTEM PROMPT — New directives to add</t>
  </si>
  <si>
    <t>Directive ID</t>
  </si>
  <si>
    <t>Directive</t>
  </si>
  <si>
    <t>Prompt Language</t>
  </si>
  <si>
    <t>AP-001</t>
  </si>
  <si>
    <t>Success-First Reasoning</t>
  </si>
  <si>
    <t>Evaluate every recommendation against the $100M revenue target. If an action increases EIS footprint in target agencies (SOCOM, TRADOC, AFC, INSCOM, CYBERCOM, DISA, INDOPACOM), prioritize it.</t>
  </si>
  <si>
    <t>✅ DEPLOYED</t>
  </si>
  <si>
    <t>Gemini session</t>
  </si>
  <si>
    <t>Aligns with SG-001.</t>
  </si>
  <si>
    <t>AP-002</t>
  </si>
  <si>
    <t>Anti-Static Intelligence</t>
  </si>
  <si>
    <t>Never treat old data as current unless it is explicitly PINNED. Prioritize the most recent entries in intelligence_log and opportunity_alerts. Flag any data older than 30 days that has not been refreshed.</t>
  </si>
  <si>
    <t>Aligns with NF-002.</t>
  </si>
  <si>
    <t>AP-003</t>
  </si>
  <si>
    <t>Silo-Breaking Analysis</t>
  </si>
  <si>
    <t>When answering any question, automatically cross-reference ALL available data tables — competitor_cache, opportunity_alerts, ooda_loops, risk_register, action_items, trading_journal. Never limit analysis to the current tab context.</t>
  </si>
  <si>
    <t>Aligns with NF-004.</t>
  </si>
  <si>
    <t>AP-004</t>
  </si>
  <si>
    <t>Self-Correcting Memory</t>
  </si>
  <si>
    <t>Before starting any analysis, check the ooda_loops table for prior actions on the same topic. If a previous strategy failed, analyze why and recommend a pivot rather than repeating it.</t>
  </si>
  <si>
    <t>Prevents circular recommendations.</t>
  </si>
  <si>
    <t>AP-005</t>
  </si>
  <si>
    <t>Evidence Gate</t>
  </si>
  <si>
    <t>Never make a claim without citing a source. If the source is missing, use available tools (Tavily, SAM.gov, Pinecone) to find it. If no source can be found, explicitly state "UNVERIFIED" and confidence level.</t>
  </si>
  <si>
    <t>Already in prompt</t>
  </si>
  <si>
    <t>REQ-030 SourceTag deployed. Reinforce.</t>
  </si>
  <si>
    <t>AP-006</t>
  </si>
  <si>
    <t>Autonomous Threshold Enforcement</t>
  </si>
  <si>
    <t>For Green-tier actions (routine updates, scoring refreshes): execute automatically. For Yellow-tier (impact 3+ or likelihood 3+): present recommendation, set status PENDING_REVIEW, do NOT execute. For Red-tier (impact 4+ AND likelihood 4+): present full brief, HALT all downstream actions, wait for explicit approval.</t>
  </si>
  <si>
    <t>Aligns with SG-005. Needs Risk Tab (NF-001).</t>
  </si>
  <si>
    <t>AP-007</t>
  </si>
  <si>
    <t>EO Awareness — Warfighter Priority</t>
  </si>
  <si>
    <t>Monitor "Prioritizing the Warfighter" EO (Jan 7 2026) impacts. Track which large primes are flagged for underperformance — creates teaming/subcontracting opportunities for EIS. Flag any flow-down effects on small business subs. New DFARS clauses expected by March 2026.</t>
  </si>
  <si>
    <t>Verified — real EO</t>
  </si>
  <si>
    <t>Low direct risk to EIS (targets large primes). Opportunity: primes under pressure may need reliable small biz partners.</t>
  </si>
  <si>
    <t>SECTION 4: UNVERIFIED — Gemini claims that need fact-checking before use</t>
  </si>
  <si>
    <t>Claim</t>
  </si>
  <si>
    <t>Why It Needs Checking</t>
  </si>
  <si>
    <t>Action Required</t>
  </si>
  <si>
    <t>Verified?</t>
  </si>
  <si>
    <t>UV-001</t>
  </si>
  <si>
    <t>SOF Digital Integration ($94M), JTAC Training, Iron Legion ($265M), WTRS ($2B), LVC-IA ($950M) as must-win programs</t>
  </si>
  <si>
    <t>Gemini generated these — may not be on EIS capture pipeline. Dollar figures could be hallucinated.</t>
  </si>
  <si>
    <t>Shawn: confirm which of these (if any) are real EIS pursuits. Replace with actual capture list.</t>
  </si>
  <si>
    <t>🔴 UNVERIFIED</t>
  </si>
  <si>
    <t>UV-002</t>
  </si>
  <si>
    <t>UnityTec, FITT, Spathe Systems as "floor competitors"</t>
  </si>
  <si>
    <t>Gemini generated names. May not be EIS actual competitors in set-aside space.</t>
  </si>
  <si>
    <t>Shawn: confirm or replace with real head-to-head competitors.</t>
  </si>
  <si>
    <t>UV-003</t>
  </si>
  <si>
    <t>"Prioritizing the Warfighter" Executive Order — Jan 7, 2026</t>
  </si>
  <si>
    <t>✅ VERIFIED. Real EO. Restricts buybacks/dividends for underperforming defense contractors. New DFARS clauses by March 8, 2026. Exec comp caps. Targets large primes but criteria are vague — could affect subs.</t>
  </si>
  <si>
    <t>GDA should track this. Relevant for competitor analysis (primes under pressure = teaming opportunities). Add to AI Agent awareness. Low direct risk to EIS (targets large primes) but monitor flow-down effects.</t>
  </si>
  <si>
    <t>✅ VERIFIED</t>
  </si>
  <si>
    <t>UV-004</t>
  </si>
  <si>
    <t>GovTribe MCP Server — launched Feb 20, 2026. 50+ tools. Connects to Claude, ChatGPT, Copilot.</t>
  </si>
  <si>
    <t>✅ VERIFIED. Real product. Credit-based pricing. Provides live federal opp intel, awards, IDVs, vendors, forecasts, contacts + GovExec/Defense One reporting. Has Claude connector guide.</t>
  </si>
  <si>
    <t>HIGH PRIORITY INTEGRATION. Could replace or supplement Tavily/GovWin for federal opp search. Add as Claude connector in Settings. Evaluate credit pricing vs current API costs. This is the "eyes" upgrade Gemini recommended.</t>
  </si>
  <si>
    <t>SECTION 5: AUTONOMY MATRIX — Green / Yellow / Red action gates</t>
  </si>
  <si>
    <t>Zone</t>
  </si>
  <si>
    <t>Criteria</t>
  </si>
  <si>
    <t>AI Behavior</t>
  </si>
  <si>
    <t>Examples</t>
  </si>
  <si>
    <t>Human Action</t>
  </si>
  <si>
    <t>OODA Phase</t>
  </si>
  <si>
    <t>GREEN</t>
  </si>
  <si>
    <t>Impact ≤2 AND Likelihood ≤2</t>
  </si>
  <si>
    <t>AUTO-EXECUTE. AI acts without waiting. Logs action to intelligence_log.</t>
  </si>
  <si>
    <t>Daily data ingestion, chart refreshes, opportunity scoring updates, SITREP generation, Recharts updates</t>
  </si>
  <si>
    <t>None required — review in daily briefing</t>
  </si>
  <si>
    <t>Full OODA loop autonomous</t>
  </si>
  <si>
    <t>YELLOW</t>
  </si>
  <si>
    <t>Impact 3+ OR Likelihood 3+</t>
  </si>
  <si>
    <t>RECOMMEND + WAIT. AI generates recommendation, sets status PENDING_REVIEW. No downstream execution.</t>
  </si>
  <si>
    <t>New competitor detected on must-win program, budget modification on tracked vehicle, teaming partner risk flag</t>
  </si>
  <si>
    <t>Review in Risk Tab queue. Accept/Reject/Modify.</t>
  </si>
  <si>
    <t>Observe + Orient + Decide (auto). Act (manual).</t>
  </si>
  <si>
    <t>RED</t>
  </si>
  <si>
    <t>Impact ≥4 AND Likelihood ≥4</t>
  </si>
  <si>
    <t>BRIEF + HALT. AI presents full analysis brief with sources. Zero autonomous action. Waits for explicit approval.</t>
  </si>
  <si>
    <t>Bid/no-bid decisions, must-win program threat, teaming agreement changes, competitive displacement on active pursuit</t>
  </si>
  <si>
    <t>Executive review required. Digital approval in Risk Tab.</t>
  </si>
  <si>
    <t>Observe + Orient (auto). Decide + Act (manual).</t>
  </si>
  <si>
    <t>S-078 BACKLOG — Carry from S-077 + New</t>
  </si>
  <si>
    <t>Frontend deploy — ALL S-077 components</t>
  </si>
  <si>
    <t>Charts (9), briefing modal, opp tracker redesign, trade scans display. Code is built. Deploy via gda-deploy webhook.</t>
  </si>
  <si>
    <t>NO — ready</t>
  </si>
  <si>
    <t>Fix 3 broken webhooks</t>
  </si>
  <si>
    <t>schwab-trade, schwab-accounts, opp-refresh: toggle OFF/ON in n8n UI. API toggle does not fully register.</t>
  </si>
  <si>
    <t>SHAWN manual action</t>
  </si>
  <si>
    <t>Seed risk register (8 risks)</t>
  </si>
  <si>
    <t>SQL INSERT ready in M3_Seed_Risk_Register.md. Execute via Postgres node.</t>
  </si>
  <si>
    <t>NO — SQL ready</t>
  </si>
  <si>
    <t>Schwab first trade (SIG-001)</t>
  </si>
  <si>
    <t>XAR LONG $175.50 entry, $170.25 stop, $186.00 target. Schwab OAuth must work first.</t>
  </si>
  <si>
    <t>YES — Schwab 404</t>
  </si>
  <si>
    <t>Gist update — paste into GitHub</t>
  </si>
  <si>
    <t>GDA_Gist_Update_S077.md is drafted. Paste via MCP or Shawn manually.</t>
  </si>
  <si>
    <t>Intel Feed unified tab (H-5 carry)</t>
  </si>
  <si>
    <t>Single search: GovTribe + SAM + GovWin. Source badges. Track/Analyze/View.</t>
  </si>
  <si>
    <t>Postgres password rotation</t>
  </si>
  <si>
    <t>RED-tier. Shawn must approve. Current password works. Rotation script ready.</t>
  </si>
  <si>
    <t>Schwab OAuth debug</t>
  </si>
  <si>
    <t>Webhooks return 404. May need full workflow recreation or manual n8n UI fix.</t>
  </si>
  <si>
    <t>Trend overlays (NF-005)</t>
  </si>
  <si>
    <t>daily_trends table + nightly aggregation. 7/30/90-day trend lines on charts.</t>
  </si>
  <si>
    <t>Security data filter (NF-006)</t>
  </si>
  <si>
    <t>Page-by-page. Real data input. Test every feature. Long overdue.</t>
  </si>
  <si>
    <t>Workflow 3dc99tgxFQp4Mjqo exists. Needs SMTP creds in n8n UI.</t>
  </si>
  <si>
    <t>Pin/Anchor system (NF-002)</t>
  </si>
  <si>
    <t>is_pinned in Pinecone + Postgres. Strategic anchors always in context.</t>
  </si>
  <si>
    <t>S-077 BACKLOG — 20 carry items from S-075/S-076 (24 completed)</t>
  </si>
  <si>
    <t>CRITICAL — Before Monday 9:30 AM</t>
  </si>
  <si>
    <t>Component Built?</t>
  </si>
  <si>
    <t>Schwab OAuth completion</t>
  </si>
  <si>
    <t>Browser chat replacing App Key via MCP. Once done, gives Shawn OAuth URL to open in browser. Tokens auto-save.</t>
  </si>
  <si>
    <t>&lt; 30 min</t>
  </si>
  <si>
    <t>IN PROGRESS — webhook 404, needs manual toggle</t>
  </si>
  <si>
    <t>First trade signal for Monday open</t>
  </si>
  <si>
    <t>Pre-market analysis Mon Mar 16. Log SIG-001 to gda_trade_signals. Symbol, direction, entry, stop, target, confidence, AI reasoning.</t>
  </si>
  <si>
    <t>DONE — SIG-001 XAR + SIG-002 SHLD, SQL seeded</t>
  </si>
  <si>
    <t>HIGH — Frontend deploys (need MCP session)</t>
  </si>
  <si>
    <t>Charts overhaul — ALL charts</t>
  </si>
  <si>
    <t>Rebuild every chart per GDA_Chart_Spec.md. Pipeline funnel, dept treemap, 90-day timeline, Pwin distribution, balance trend, risk trend. KPI cards with sparklines. Decision-driving ONLY — no filler. Shawn showed dashboard examples.</t>
  </si>
  <si>
    <t>DONE (Desktop) — 9 components built. Deploy → S-078</t>
  </si>
  <si>
    <t>Morning Briefing modal on Launchpad</t>
  </si>
  <si>
    <t>First login each day. Fetches gda-daily-brief. Summary + opps + risks + actions + balance. "Ask me anything" chat. Like GovTribe daily brief Shawn showed.</t>
  </si>
  <si>
    <t>DONE (Desktop) — modal built. Deploy → S-078</t>
  </si>
  <si>
    <t>Opp Tracker frontend redesign</t>
  </si>
  <si>
    <t>Top 5 depts → Top 25 programs. Search/filter/scores. AI decides relevance (no hardcoded agency list). Dept hierarchy drill-down. Each card: title, sol#, agency, due, value, set-aside, NAICS, source, AI reasoning.</t>
  </si>
  <si>
    <t>DONE (Desktop) — redesign built. Deploy → S-078</t>
  </si>
  <si>
    <t>Opp Tracker daily refresh workflow</t>
  </si>
  <si>
    <t>GovTribe API via n8n HTTP Request. Broad capability-based searches. Upsert new, remove expired, recalculate scores. AI dynamically adjusts search scope.</t>
  </si>
  <si>
    <t>DONE — PeLGDqgLAsEh5Gsd, 16 nodes, ACTIVE. 20 opps loaded.</t>
  </si>
  <si>
    <t>Intel Feed — unified GovTribe + SAM + GovWin</t>
  </si>
  <si>
    <t>Single search interface. Source badges. Track/Analyze/View buttons. Integrated into Opp Tracker or new tab.</t>
  </si>
  <si>
    <t>DEFERRED → S-078</t>
  </si>
  <si>
    <t>MEDIUM — Backend + testing</t>
  </si>
  <si>
    <t>E2E test all endpoints</t>
  </si>
  <si>
    <t>Test 12+ endpoints + DB health check. E2E_Test_Suite.md has full matrix incl new risk + briefing endpoints.</t>
  </si>
  <si>
    <t>DONE — 8 pass, 2 timeout, 3 webhook fail. 17 tables.</t>
  </si>
  <si>
    <t>GDA Master gist update</t>
  </si>
  <si>
    <t>S-075 + S-076 combined. GDA_Gist_Update_S075_FINAL.md drafted. Needs pasting.</t>
  </si>
  <si>
    <t>DONE — gist update drafted. Shawn paste manually.</t>
  </si>
  <si>
    <t>Risk Tab — seed with real risks</t>
  </si>
  <si>
    <t>risk_register is empty. AI generates risks from competitor analysis, budget threats, must-win timeline risks.</t>
  </si>
  <si>
    <t>DONE — 8 risks SQL ready. Seed via MCP or paste.</t>
  </si>
  <si>
    <t>GovTribe API key in n8n</t>
  </si>
  <si>
    <t>Add API key to HTTP Request nodes for automated daily scans. Currently only works via Claude MCP connector.</t>
  </si>
  <si>
    <t>DONE — GovTribe working via opp-refresh workflow</t>
  </si>
  <si>
    <t>Trend Overlays (NF-005)</t>
  </si>
  <si>
    <t>daily_trends table + nightly aggregation workflow. 7/30/90-day trend lines on every chart. Part of charts overhaul.</t>
  </si>
  <si>
    <t>M-6</t>
  </si>
  <si>
    <t>Security Data Filter (NF-006)</t>
  </si>
  <si>
    <t>Output sanitizer for emails/exports. Strips cost rates, partner names from outbound. AI uses data but never surfaces verbatim.</t>
  </si>
  <si>
    <t>M-7</t>
  </si>
  <si>
    <t>Page-by-page walkthrough — all 17 tabs</t>
  </si>
  <si>
    <t>Real data input. Test every feature. Discussed multiple times, never executed.</t>
  </si>
  <si>
    <t>LOW — Future / blocked on Shawn input</t>
  </si>
  <si>
    <t>L-1</t>
  </si>
  <si>
    <t>is_pinned in Pinecone metadata + Postgres. Strategic anchors always in context. Auto-decay 90 days.</t>
  </si>
  <si>
    <t>L-2</t>
  </si>
  <si>
    <t>Cross-Module Auto-Query tool (NF-004)</t>
  </si>
  <si>
    <t>"GDA Knowledge Navigator" tool in n8n. SILO-BREAKING directive exists in prompt but no dedicated tool.</t>
  </si>
  <si>
    <t>Directive exists</t>
  </si>
  <si>
    <t>L-3</t>
  </si>
  <si>
    <t>Tavily + GovWin credential refresh</t>
  </si>
  <si>
    <t>Comp-intel blocked. GovTribe may replace. Shawn has keys.</t>
  </si>
  <si>
    <t>L-4</t>
  </si>
  <si>
    <t>DLA DIBBS integration</t>
  </si>
  <si>
    <t>Zero code, zero workflows. Not started.</t>
  </si>
  <si>
    <t>L-5</t>
  </si>
  <si>
    <t>UV-001 — Verify Gemini program names</t>
  </si>
  <si>
    <t>$94M SOF Digital, $265M Iron Legion, $2B WTRS, $950M LVC-IA. Real EIS pursuits?</t>
  </si>
  <si>
    <t>Shawn confirms</t>
  </si>
  <si>
    <t>DONE — 4/4 verified. W-TRS is $3.7B not $2B.</t>
  </si>
  <si>
    <t>L-6</t>
  </si>
  <si>
    <t>UV-002 — Verify Gemini competitor names</t>
  </si>
  <si>
    <t>UnityTec, FITT, Spathe Systems as floor competitors. Real or hallucinated?</t>
  </si>
  <si>
    <t>PARTIAL — Spathe YES, UnityTec/FITT not found.</t>
  </si>
  <si>
    <t>S-077 COMPLETE SESSION OUTPUT — Desktop Claude (March 15, 2026)</t>
  </si>
  <si>
    <t>DELIVERABLES BUILT</t>
  </si>
  <si>
    <t>Integration</t>
  </si>
  <si>
    <t>S077_FINAL_WEB_PROMPT.md</t>
  </si>
  <si>
    <t>Prompt</t>
  </si>
  <si>
    <t>~12KB</t>
  </si>
  <si>
    <t>Single web prompt with ALL code + SQL embedded. 8 MCP tasks.</t>
  </si>
  <si>
    <t>Paste into browser chat</t>
  </si>
  <si>
    <t>READY</t>
  </si>
  <si>
    <t>gda_charts_overhaul.jsx</t>
  </si>
  <si>
    <t>React</t>
  </si>
  <si>
    <t>22KB</t>
  </si>
  <si>
    <t>9 Recharts components. Every chart answers a decision question.</t>
  </si>
  <si>
    <t>Inline into App.jsx</t>
  </si>
  <si>
    <t>gda_morning_briefing.jsx</t>
  </si>
  <si>
    <t>Daily briefing modal with localStorage + AI chat.</t>
  </si>
  <si>
    <t>Launchpad page</t>
  </si>
  <si>
    <t>gda_opp_tracker_redesign.jsx</t>
  </si>
  <si>
    <t>17KB</t>
  </si>
  <si>
    <t>Full opp tracker: KPI bar, dept cards, program cards, filters.</t>
  </si>
  <si>
    <t>opp-tracker tab</t>
  </si>
  <si>
    <t>gda_trading_scans.jsx</t>
  </si>
  <si>
    <t>9.5KB</t>
  </si>
  <si>
    <t>Market scan card + signal cards + balance chart.</t>
  </si>
  <si>
    <t>Trading tab</t>
  </si>
  <si>
    <t>C2_Monday_PreMarket_Scan.md</t>
  </si>
  <si>
    <t>Analysis</t>
  </si>
  <si>
    <t>SIG-001: XAR LONG $175.50 entry, 78% conf. SQL ready.</t>
  </si>
  <si>
    <t>gda_trade_scans/signals</t>
  </si>
  <si>
    <t>M3_Seed_Risk_Register.md</t>
  </si>
  <si>
    <t>8KB</t>
  </si>
  <si>
    <t>8 real risks: 2 CRITICAL, 4 HIGH, 2 MEDIUM. INSERT ready.</t>
  </si>
  <si>
    <t>risk_register table</t>
  </si>
  <si>
    <t>eis_fit_scoring_algorithm.js</t>
  </si>
  <si>
    <t>JS</t>
  </si>
  <si>
    <t>6-factor weighted scoring for n8n Code node.</t>
  </si>
  <si>
    <t>opp-tracker-refresh</t>
  </si>
  <si>
    <t>GDA_Gist_Update_S077.md</t>
  </si>
  <si>
    <t>Doc</t>
  </si>
  <si>
    <t>Complete gist update text for MCP session to paste.</t>
  </si>
  <si>
    <t>GitHub gist</t>
  </si>
  <si>
    <t>UV001_UV002_Gemini_Verification.md</t>
  </si>
  <si>
    <t>Program verification: 5/7 confirmed. W-TRS is $3.7B not $2B.</t>
  </si>
  <si>
    <t>Strategic Roadmap</t>
  </si>
  <si>
    <t>Master_Build_v_16.xlsx</t>
  </si>
  <si>
    <t>Workbook</t>
  </si>
  <si>
    <t>~850KB</t>
  </si>
  <si>
    <t>Updated with full session tracking + all new sheets.</t>
  </si>
  <si>
    <t>Master record</t>
  </si>
  <si>
    <t>COMPONENTS DETAIL</t>
  </si>
  <si>
    <t>Chart/Module</t>
  </si>
  <si>
    <t>Decision Question</t>
  </si>
  <si>
    <t>How healthy is our pipeline? Where stuck?</t>
  </si>
  <si>
    <t>Built</t>
  </si>
  <si>
    <t>TopDepartments</t>
  </si>
  <si>
    <t>~45</t>
  </si>
  <si>
    <t>Which agencies to prioritize this quarter?</t>
  </si>
  <si>
    <t>~50</t>
  </si>
  <si>
    <t>Are we on track for $100M?</t>
  </si>
  <si>
    <t>Computed from pipeline</t>
  </si>
  <si>
    <t>OpportunityTimeline</t>
  </si>
  <si>
    <t>~55</t>
  </si>
  <si>
    <t>What is due soon, how much at stake per week?</t>
  </si>
  <si>
    <t>DepartmentTreemap</t>
  </si>
  <si>
    <t>~65</t>
  </si>
  <si>
    <t>Where is the money and what is urgent?</t>
  </si>
  <si>
    <t>PwinDistribution</t>
  </si>
  <si>
    <t>How confident are we across pipeline?</t>
  </si>
  <si>
    <t>Am I making money? What is the trend?</t>
  </si>
  <si>
    <t>/webhook/gda-trades</t>
  </si>
  <si>
    <t>What is hit rate and avg gain vs loss?</t>
  </si>
  <si>
    <t>~35</t>
  </si>
  <si>
    <t>Is risk posture improving or deteriorating?</t>
  </si>
  <si>
    <t>/webhook/gda-risk-register</t>
  </si>
  <si>
    <t>Risk</t>
  </si>
  <si>
    <t>Modal</t>
  </si>
  <si>
    <t>What do I need to know today?</t>
  </si>
  <si>
    <t>/webhook/gda-daily-brief</t>
  </si>
  <si>
    <t>Page</t>
  </si>
  <si>
    <t>~300</t>
  </si>
  <si>
    <t>What should I pursue and why?</t>
  </si>
  <si>
    <t>opp-tracker</t>
  </si>
  <si>
    <t>Section</t>
  </si>
  <si>
    <t>What does the market look like for trading?</t>
  </si>
  <si>
    <t>/webhook/gda-trade-scans</t>
  </si>
  <si>
    <t>Algorithm</t>
  </si>
  <si>
    <t>EIS Fit Scoring</t>
  </si>
  <si>
    <t>~120</t>
  </si>
  <si>
    <t>How well does this opp fit EIS?</t>
  </si>
  <si>
    <t>Computed (6 factors)</t>
  </si>
  <si>
    <t>GEMINI VERIFICATION RESULTS</t>
  </si>
  <si>
    <t>Gemini Claim</t>
  </si>
  <si>
    <t>Actual Value</t>
  </si>
  <si>
    <t>EIS Relevance</t>
  </si>
  <si>
    <t>SOF Digital Ecosystem</t>
  </si>
  <si>
    <t>$94M</t>
  </si>
  <si>
    <t>$136M+ (multiple contracts)</t>
  </si>
  <si>
    <t>PEO SDA / SOCOM</t>
  </si>
  <si>
    <t>CSO open through 2028</t>
  </si>
  <si>
    <t>Iron Legion JV</t>
  </si>
  <si>
    <t>$265M</t>
  </si>
  <si>
    <t>$265.2M IDIQ</t>
  </si>
  <si>
    <t>GDIT + Legion Systems</t>
  </si>
  <si>
    <t>Feb 2026 award, USSOCOM intel</t>
  </si>
  <si>
    <t>W-TRS</t>
  </si>
  <si>
    <t>$2B</t>
  </si>
  <si>
    <t>YES — LARGER</t>
  </si>
  <si>
    <t>$3.7B (V2X prime)</t>
  </si>
  <si>
    <t>PEO STRI / ACC-Orlando</t>
  </si>
  <si>
    <t>Biggest Army training contract</t>
  </si>
  <si>
    <t>LVC-IA</t>
  </si>
  <si>
    <t>$950M</t>
  </si>
  <si>
    <t>$950M (lifecycle est)</t>
  </si>
  <si>
    <t>PEO STRI POR</t>
  </si>
  <si>
    <t>10+ sites fielded</t>
  </si>
  <si>
    <t>Spathe Systems</t>
  </si>
  <si>
    <t>Competitor</t>
  </si>
  <si>
    <t>SDVOSB, OASIS+, MSOFS 2.0</t>
  </si>
  <si>
    <t>spathesystems.com</t>
  </si>
  <si>
    <t>HIGH THREAT</t>
  </si>
  <si>
    <t>Direct SOCOM SDVOSB competitor</t>
  </si>
  <si>
    <t>UnityTec</t>
  </si>
  <si>
    <t>NOT FOUND</t>
  </si>
  <si>
    <t>No web presence</t>
  </si>
  <si>
    <t>UNKNOWN</t>
  </si>
  <si>
    <t>Shawn to verify</t>
  </si>
  <si>
    <t>FITT</t>
  </si>
  <si>
    <t>Backend-1</t>
  </si>
  <si>
    <t>GDA.api.trade-scans workflow (RIS6TTn5W4Ytl2Up) — 11 nodes, 3 routes</t>
  </si>
  <si>
    <t>Backend-2</t>
  </si>
  <si>
    <t>GDA.sched.opp-refresh (PeLGDqgLAsEh5Gsd) — 16 nodes, dual trigger, scoring engine</t>
  </si>
  <si>
    <t>Backend-3</t>
  </si>
  <si>
    <t>3 PG tables: gda_trade_scans, gda_trade_signals, opportunity_alerts (+indexes)</t>
  </si>
  <si>
    <t>Backend-4</t>
  </si>
  <si>
    <t>20 GovTribe opportunities discovered — SETA, training/sim, cyber, IT, intel</t>
  </si>
  <si>
    <t>LOADED</t>
  </si>
  <si>
    <t>Charts + briefing + trade scans + opp tracker redesign</t>
  </si>
  <si>
    <t>~2100 est</t>
  </si>
  <si>
    <t>b240abb</t>
  </si>
  <si>
    <t>Action Items overdue filter .toLowerCase() fix</t>
  </si>
  <si>
    <t>3.24s</t>
  </si>
  <si>
    <t>d55c3f3</t>
  </si>
  <si>
    <t>CompIntel path (2x) + Email Drafter path fix</t>
  </si>
  <si>
    <t>3.15s</t>
  </si>
  <si>
    <t>d5bb207</t>
  </si>
  <si>
    <t>RAG Query path gda-rag-query to gda-rag-query-v2</t>
  </si>
  <si>
    <t>3.32s</t>
  </si>
  <si>
    <t>82d0063</t>
  </si>
  <si>
    <t>WOW charts: RadarChart, AreaChart, CartesianGrid, Legend, full imports</t>
  </si>
  <si>
    <t>3.18s</t>
  </si>
  <si>
    <t>5a</t>
  </si>
  <si>
    <t>e8cf4b0</t>
  </si>
  <si>
    <t>AreaChart + gradient bar (BUILD FAIL - syntax)</t>
  </si>
  <si>
    <t>-</t>
  </si>
  <si>
    <t>BUILD FAIL</t>
  </si>
  <si>
    <t>529945c</t>
  </si>
  <si>
    <t>Pipeline Trend AreaChart + 3-column Launchpad grid</t>
  </si>
  <si>
    <t>3.75s</t>
  </si>
  <si>
    <t>WORKFLOW FIXES (via MCP)</t>
  </si>
  <si>
    <t>GDA.api.rag-query</t>
  </si>
  <si>
    <t>Auth guard key: gda-api-2026-secure to gda-deploy-2026-secure</t>
  </si>
  <si>
    <t>GDA.api.ops-dashboard-data</t>
  </si>
  <si>
    <t>Webhook httpMethod: GET to POST (frontend sends POST)</t>
  </si>
  <si>
    <t>E2E TEST RESULTS</t>
  </si>
  <si>
    <t>Total Endpoints</t>
  </si>
  <si>
    <t>FAIL</t>
  </si>
  <si>
    <t>100%</t>
  </si>
  <si>
    <t>25 PASSING ENDPOINTS</t>
  </si>
  <si>
    <t>gda-opp-tracker</t>
  </si>
  <si>
    <t>200 OK</t>
  </si>
  <si>
    <t>gda-action-items</t>
  </si>
  <si>
    <t>gda-ooda</t>
  </si>
  <si>
    <t>gda-competitive</t>
  </si>
  <si>
    <t>gda-sitrep</t>
  </si>
  <si>
    <t>gda-email-draft</t>
  </si>
  <si>
    <t>gda-meeting-notes</t>
  </si>
  <si>
    <t>gda-trading</t>
  </si>
  <si>
    <t>gda-naics</t>
  </si>
  <si>
    <t>gda-red-team</t>
  </si>
  <si>
    <t>gda-ai-agent</t>
  </si>
  <si>
    <t>gda-predict</t>
  </si>
  <si>
    <t>gda-pptx</t>
  </si>
  <si>
    <t>gda-discussions</t>
  </si>
  <si>
    <t>gda-target-agencies</t>
  </si>
  <si>
    <t>gda-intel-feed</t>
  </si>
  <si>
    <t>gda-landing-brief</t>
  </si>
  <si>
    <t>gda-opp-search</t>
  </si>
  <si>
    <t>gda-rag-query-v2</t>
  </si>
  <si>
    <t>gda-ops-data</t>
  </si>
  <si>
    <t>gda-knowledge-base</t>
  </si>
  <si>
    <t>gda-ai-feedback</t>
  </si>
  <si>
    <t>gda-save-opp</t>
  </si>
  <si>
    <t>gda-report-builder</t>
  </si>
  <si>
    <t>gda-export</t>
  </si>
  <si>
    <t>S-067 END-TO-END TEST FINDINGS — 73 Items Across 15 Pages</t>
  </si>
  <si>
    <t>Session Date: March 13, 2026 | Tested by: Claude + Shawn (live walkthrough) | App: gda.csr-llc.tech | Build: c076261 (s066-all-bl-deployed)</t>
  </si>
  <si>
    <t>GLOBAL THEMES: (1) Source everything — every data point links to origin. (2) Pages collaborate — cross-tab navigation. (3) Document upload everywhere (PDF/Word/Excel/PPT). (4) Action Items accessible from every page. (5) All uploads feed shared AI knowledge. (6) Dark pages need light theme. (7) Interactive charts/tables on every data page. (8) Sidebar reorder: alphabetical + Admin section.</t>
  </si>
  <si>
    <t>LAUNCHPAD — PASS</t>
  </si>
  <si>
    <t>Finding / Requirement</t>
  </si>
  <si>
    <t>Assigned</t>
  </si>
  <si>
    <t>LP-001</t>
  </si>
  <si>
    <t>LAUNCHPAD</t>
  </si>
  <si>
    <t>S-067 DONE</t>
  </si>
  <si>
    <t>Top Opportunities table — programs must be clickable, open a data card with details</t>
  </si>
  <si>
    <t>Claude</t>
  </si>
  <si>
    <t>LP-002</t>
  </si>
  <si>
    <t>S-069 DONE</t>
  </si>
  <si>
    <t>6 KPI cards — click should drill down to show underlying data</t>
  </si>
  <si>
    <t>LP-003</t>
  </si>
  <si>
    <t>ENVISION, PD SYSTEMS, RIVERSTONE in header — must be hyperlinked to company websites (envision-is.com, pd-sys.net, riverstonesolutions.com)</t>
  </si>
  <si>
    <t>LP-004</t>
  </si>
  <si>
    <t>Recharts BarChart/PieChart — click bar or pie slice opens data card with source + ask questions</t>
  </si>
  <si>
    <t>LP-005</t>
  </si>
  <si>
    <t>News articles — each headline must be clickable link to actual source document</t>
  </si>
  <si>
    <t>LP-006</t>
  </si>
  <si>
    <t>SRC badges on news boxes are WRONG — SAM is not source for all 4 columns. Sources must be per-data-point, linked to specific item</t>
  </si>
  <si>
    <t>LP-007</t>
  </si>
  <si>
    <t>Acquisition Topic of the Day — needs clickable link to original source</t>
  </si>
  <si>
    <t>LP-008</t>
  </si>
  <si>
    <t>Bottom sections (Pipeline Risk Alert, Opportunity Signal) — need links to analysis or related page in tool</t>
  </si>
  <si>
    <t>LP-009</t>
  </si>
  <si>
    <t>S-070 DONE</t>
  </si>
  <si>
    <t>Sidebar reorder — alphabetical main items, new Admin section at bottom for Directions + Trading Challenge. Trading Challenge needs pin/lock (admin-only)</t>
  </si>
  <si>
    <t>OPPORTUNITY TRACKER — PASS</t>
  </si>
  <si>
    <t>OT-001</t>
  </si>
  <si>
    <t>Composite scores showing formula text (20/100 static) instead of actual calculated values. Every dept/program header needs REAL numbers: Needs: X, Financials: X%, OODA: X = Total: XX/100</t>
  </si>
  <si>
    <t>OT-002</t>
  </si>
  <si>
    <t>Need interactive chart at top of page (right of Opportunities | Predictable Intelligence tabs). Dropdown to select different chart views</t>
  </si>
  <si>
    <t>OT-003</t>
  </si>
  <si>
    <t>S-068 DONE</t>
  </si>
  <si>
    <t>OODA score on each opportunity must be clickable — opens actual OODA analysis for that program. Cross-tab collaboration</t>
  </si>
  <si>
    <t>OT-004</t>
  </si>
  <si>
    <t>Need transparency into how scores are calculated. Show data/analytics breakdown for Needs, Financials, OODA components</t>
  </si>
  <si>
    <t>OT-005</t>
  </si>
  <si>
    <t>Top 25 Programs should be sorted by SCORE not by department. Pure meritocratic ranking by numbers and analysis</t>
  </si>
  <si>
    <t>OT-006</t>
  </si>
  <si>
    <t>Refresh and OODA Top 5 buttons — unclear what they do. Need labels/tooltips. Does data stay static until Refresh?</t>
  </si>
  <si>
    <t>OT-007</t>
  </si>
  <si>
    <t>Interactive chart at top — leadership-quality visualization (reinforces OT-002)</t>
  </si>
  <si>
    <t>OT-008</t>
  </si>
  <si>
    <t>Page loads too slowly. Performance issue</t>
  </si>
  <si>
    <t>OT-009</t>
  </si>
  <si>
    <t>Tab-to-tab navigation must NOT cause page refresh. Maintain state when switching sidebar tabs</t>
  </si>
  <si>
    <t>OODA LOOP — PASS (seed)</t>
  </si>
  <si>
    <t>OODA-001</t>
  </si>
  <si>
    <t>OODA LOOP</t>
  </si>
  <si>
    <t>Dark theme — must match light theme used on all other pages. Style patch missed this page</t>
  </si>
  <si>
    <t>OODA-002</t>
  </si>
  <si>
    <t>JSON parse error — backend returning empty for PEO STRI. Falls back to sample SOCOM data. Backend fix needed</t>
  </si>
  <si>
    <t>OODA-003</t>
  </si>
  <si>
    <t>Layout and interactivity are the GOLD STANDARD — other pages should match this depth (4 tabs, decision buttons, AI interaction panel, push to tracker)</t>
  </si>
  <si>
    <t>OODA-004</t>
  </si>
  <si>
    <t>All data is seed (SOCOM sample). Once backend fixed, must return real analysis per target</t>
  </si>
  <si>
    <t>RFP RED TEAM — PASS</t>
  </si>
  <si>
    <t>RT-001</t>
  </si>
  <si>
    <t>RFP RED TEAM</t>
  </si>
  <si>
    <t>Must support document uploads — PDF, Word, Excel, PowerPoint. Not just paste text. Drag-and-drop or file picker</t>
  </si>
  <si>
    <t>RT-002</t>
  </si>
  <si>
    <t>Page should analyze ANY solicitation document — SOWs, PWS, RFIs, Sources Sought, J&amp;As. Broaden scope beyond just RFPs</t>
  </si>
  <si>
    <t>RT-003</t>
  </si>
  <si>
    <t>Output should be chat-style interface — conversational breakdown of analysis, not static text block</t>
  </si>
  <si>
    <t>RT-004</t>
  </si>
  <si>
    <t>Must be able to ask follow-up questions about analysis. This is essentially a chat box with document as context</t>
  </si>
  <si>
    <t>RT-005</t>
  </si>
  <si>
    <t>Add charts/tables where helpful — compliance matrix, scoring breakdown, risk visualization, section grades</t>
  </si>
  <si>
    <t>COMPETITIVE INTEL — FETCH FAIL</t>
  </si>
  <si>
    <t>CI-001</t>
  </si>
  <si>
    <t>COMPETITIVE INTEL</t>
  </si>
  <si>
    <t>Page returned "failed to fetch" — backend not returning data. Same pattern as OODA JSON error</t>
  </si>
  <si>
    <t>CI-002</t>
  </si>
  <si>
    <t>Output standard = COMP_Analysis.pdf (USASOC). 20-page format: org overview, org chart, leadership, 5yr spend, top 30 vendors, contract types, by state, top 10 contracts, NAICS/PSC, categories, set-asides, current contracts $25M+ and $50M+</t>
  </si>
  <si>
    <t>CI-003</t>
  </si>
  <si>
    <t>Must show org charts — AI searches and builds org charts for target agency leadership. Interactive clickable nodes</t>
  </si>
  <si>
    <t>CI-004</t>
  </si>
  <si>
    <t>All tables/charts must use chart/table builder — interactive, professional, leadership-quality. Click vendor row to see contracts. Click bar to drill down</t>
  </si>
  <si>
    <t>CI-005</t>
  </si>
  <si>
    <t>Data in tables and charts where appropriate — spending trends as bar charts, vendor rankings as sortable tables, geographic distribution as heatmap, contract pipeline as timeline</t>
  </si>
  <si>
    <t>CI-006</t>
  </si>
  <si>
    <t>Must be interactive — click any data point to get detail card and source</t>
  </si>
  <si>
    <t>TARGET AGENCIES (Competitor Intel) — PASS</t>
  </si>
  <si>
    <t>CI-007</t>
  </si>
  <si>
    <t>TARGET AGENCIES (Competitor Intel)</t>
  </si>
  <si>
    <t>Sort/filter by size category — Small, Medium, Large. Definitions: Small (&lt;50 emp, &lt;$10M-$38.5M rev), Medium (50-500+ emp, up to $1B rev), Large (thousands emp, high rev)</t>
  </si>
  <si>
    <t>CI-008</t>
  </si>
  <si>
    <t>Should include ALL competitors in market space, not just 14. Run initial scan once, data stays relatively static with periodic refreshes</t>
  </si>
  <si>
    <t>CI-009</t>
  </si>
  <si>
    <t>Click any competitor card — must be able to ask questions and get detailed info. Chat/Q&amp;A interface per company</t>
  </si>
  <si>
    <t>CI-010</t>
  </si>
  <si>
    <t>Dark theme — needs light theme like all other pages</t>
  </si>
  <si>
    <t>PRESENTATIONS — PASS</t>
  </si>
  <si>
    <t>PR-001</t>
  </si>
  <si>
    <t>PRESENTATIONS</t>
  </si>
  <si>
    <t>Key Points input — change to add-one-at-a-time pattern. Type key point, click + to add, appears as tag/chip. Click + for next</t>
  </si>
  <si>
    <t>PR-002</t>
  </si>
  <si>
    <t>Must support document attachments — PDF, PPT, Word, Excel. Upload docs and say "build 10-page presentation based on these"</t>
  </si>
  <si>
    <t>PR-003</t>
  </si>
  <si>
    <t>AI should ingest attached documents, analyze them, and generate full presentation from that analysis. Document-driven generation</t>
  </si>
  <si>
    <t>DIRECTIONS — PASS</t>
  </si>
  <si>
    <t>DIR-001</t>
  </si>
  <si>
    <t>DIRECTIONS</t>
  </si>
  <si>
    <t>Current page way too thin — one-liners dont cut it. Needs comprehensive, impressive documentation hub</t>
  </si>
  <si>
    <t>DIR-002</t>
  </si>
  <si>
    <t>Clickable drill-downs everywhere. "14 Modules" expands to list all 14, click any module opens detailed page about it</t>
  </si>
  <si>
    <t>DIR-003</t>
  </si>
  <si>
    <t>Show the scale — lines of code, workflows (54), tools, Postgres tables (11), Docker containers (8), API endpoints (28+), data sources</t>
  </si>
  <si>
    <t>DIR-004</t>
  </si>
  <si>
    <t>Purpose of every tool explained in depth — what it does, why it exists, how it connects to other modules, what data feeds it</t>
  </si>
  <si>
    <t>DIR-005</t>
  </si>
  <si>
    <t>Screenshots of each module in action — visual walkthrough not just text</t>
  </si>
  <si>
    <t>DIR-006</t>
  </si>
  <si>
    <t>Do the analysis and make something great — this is the page that would sell someone on the platform. Must wow</t>
  </si>
  <si>
    <t>TRADING CHALLENGE — PASS</t>
  </si>
  <si>
    <t>TC-001</t>
  </si>
  <si>
    <t>Need to see analysis behind every trade — why it was made, AI reasoning, supporting data. Full trade thesis per trade</t>
  </si>
  <si>
    <t>TC-002</t>
  </si>
  <si>
    <t>Ability to ask AI questions about trading decisions — chat interface within trading page</t>
  </si>
  <si>
    <t>TC-003</t>
  </si>
  <si>
    <t>Email notification on every trade to shawn.seffernick175@gmail.com — symbol, direction, entry price, reasoning, confidence</t>
  </si>
  <si>
    <t>TC-004</t>
  </si>
  <si>
    <t>Charts and graphs — P&amp;L over time, equity curve, win rate trend, sector allocation, position sizing. Interactive Recharts</t>
  </si>
  <si>
    <t>AI AGENT CHAT — PASS</t>
  </si>
  <si>
    <t>AI-001</t>
  </si>
  <si>
    <t>AI AGENT CHAT</t>
  </si>
  <si>
    <t>Must learn from everything uploaded — docs uploaded here feed knowledge base ALL modules access. Shared learning across platform</t>
  </si>
  <si>
    <t>AI-002</t>
  </si>
  <si>
    <t>Chatbot with document upload capability — upload PDF/Word/Excel/PPT, ask for analysis. Core RAG functionality</t>
  </si>
  <si>
    <t>AI-003</t>
  </si>
  <si>
    <t>Save chats — conversation history persisted. Go back and review past conversations</t>
  </si>
  <si>
    <t>AI-004</t>
  </si>
  <si>
    <t>Delete chats — remove conversations no longer needed</t>
  </si>
  <si>
    <t>AI-005</t>
  </si>
  <si>
    <t>Refresh button — clear current conversation and start fresh without leaving page</t>
  </si>
  <si>
    <t>AI-006</t>
  </si>
  <si>
    <t>GLOBAL: Everything uploaded anywhere in tool feeds into AI knowledge. Platform learns from every interaction across every tab</t>
  </si>
  <si>
    <t>ACTION ITEMS — PASS (empty)</t>
  </si>
  <si>
    <t>ACT-001</t>
  </si>
  <si>
    <t>ACTION ITEMS</t>
  </si>
  <si>
    <t>Global integration — Action Items accessible from EVERY tab. Button to add action item without leaving current page</t>
  </si>
  <si>
    <t>ACT-002</t>
  </si>
  <si>
    <t>Cross-cutting feature. Looking at opportunity? Click Add Action Item. Running OODA? Add from ACT tab. Reading SITREP alert? One click to create follow-up</t>
  </si>
  <si>
    <t>ACT-003</t>
  </si>
  <si>
    <t>Page itself is bare. Needs full treatment: KPI bar (total/open/overdue/done), priority badges, due dates, owners, source tracking, expandable detail cards</t>
  </si>
  <si>
    <t>DAILY SITREP — PASS</t>
  </si>
  <si>
    <t>SIT-001</t>
  </si>
  <si>
    <t>DAILY SITREP</t>
  </si>
  <si>
    <t>SITREP should comprehensively summarize entire tool — pipeline status, action items due, competitor moves, new opps, alerts, OODA recommendations. Tables and charts throughout</t>
  </si>
  <si>
    <t>SIT-002</t>
  </si>
  <si>
    <t>AI should analyze what needs to be done — actionable recommendations and priorities, not just data reporting</t>
  </si>
  <si>
    <t>SIT-003</t>
  </si>
  <si>
    <t>Save SITREPs — persistent history. Delete on command</t>
  </si>
  <si>
    <t>SIT-004</t>
  </si>
  <si>
    <t>Create Presentation button — generate SITREP presentation via Presentations tab. Cross-tab collaboration</t>
  </si>
  <si>
    <t>SIT-005</t>
  </si>
  <si>
    <t>+++ NEW: Conferences/Expos/Industry Events section. Event name, link, dates, details, relevance to EIS/PD/Riverstone portfolio. Maybe in Opp Tracker or own section</t>
  </si>
  <si>
    <t>EMAIL DRAFTER — PASS</t>
  </si>
  <si>
    <t>EM-001</t>
  </si>
  <si>
    <t>EMAIL DRAFTER</t>
  </si>
  <si>
    <t>EM-002</t>
  </si>
  <si>
    <t>Current page too simple. Needs full feature set: BASIC INFO (To/Subject/Tone/Length), STYLE (BLUF/Persona:EIS), EMAIL ELEMENTS (Opening/Urgency/Attachments/Closing/Classification), KEY POINTS (numbered + Add Point)</t>
  </si>
  <si>
    <t>EM-003</t>
  </si>
  <si>
    <t>AI must analyze incoming emails and help craft responses — paste received email, AI drafts contextual response</t>
  </si>
  <si>
    <t>EM-004</t>
  </si>
  <si>
    <t>Compose + History tabs — save drafts, review past emails generated</t>
  </si>
  <si>
    <t>EM-005</t>
  </si>
  <si>
    <t>If any field is N/A, thats fine — dont force every field</t>
  </si>
  <si>
    <t>DOCUMENT RAG — GOOD</t>
  </si>
  <si>
    <t>RAG-001</t>
  </si>
  <si>
    <t>DOCUMENT RAG</t>
  </si>
  <si>
    <t>Page is good as-is. Just needs document attachment capability — upload PDF/Word/Excel/PPT directly for analysis and Q&amp;A</t>
  </si>
  <si>
    <t>OPERATIONS DASHBOARD — PASS</t>
  </si>
  <si>
    <t>OPS-001</t>
  </si>
  <si>
    <t>OPERATIONS DASHBOARD</t>
  </si>
  <si>
    <t>Free reign — build out with charts, tables. Previous ops.html had KPI bar, open priorities, project completion, test results, platform components, tech issues, recent sessions</t>
  </si>
  <si>
    <t>OPS-002</t>
  </si>
  <si>
    <t>Uptime vs downtime chart — service availability over time. Which services went down, when, how long</t>
  </si>
  <si>
    <t>OPS-003</t>
  </si>
  <si>
    <t>Charts — interactive visualizations of platform health, test pass rates, workflow execution trends, build success/failure</t>
  </si>
  <si>
    <t>SUMMARY: 73 findings across 15 pages. 0 pages failed to render (Comp Intel fetch failed but page loaded). OODA Loop is gold standard for interactivity. Reference file: COMP_Analysis.pdf for Competitive Intel output format.</t>
  </si>
  <si>
    <t>YOU HAVE ACCESS TO: MCP AND SSH</t>
  </si>
  <si>
    <t>Seriously — confirm tool_search("n8n") returns n8n tools before doing anything</t>
  </si>
  <si>
    <t>SESSION INFO</t>
  </si>
  <si>
    <t>Session #</t>
  </si>
  <si>
    <t>S-080 COMPLETE. HEAD: f7800eb, 2233 lines. 18 nav items. 1 deploy (OODA wheel). 7/8 tasks done. Verified via Chrome: Launchpad, OODA, OppTracker render. Intel Feed backend works but missing from sidebar. SITREP "Failed to fetch". Tavily upgraded. MCP lost mid-session (n8n restart). daily-trends activated + seeded (9 metrics). gda-risk toggled.</t>
  </si>
  <si>
    <t>S-079 COMPLETE. HEAD: 263e9b9, 2233 lines. 18 nav items. 4 builds. Deployed: OppTrackerPage (13 cabinet DOD_DEPT_MAP), OODALoopPage (white, 4 phases, AI panel), IntelFeedPage (unified search), DailySitrepPage (sections+history), daily_trends table + GDA.cron.daily-trends (XH3IhyvWMPoZzxBS). BLOCKED: Activate trends workflow, gda-risk 404, Tavily 432, GovWin 401, gist PAT, Schwab OAuth.</t>
  </si>
  <si>
    <t>S-076 COMPLETE. SCHWAB TRADING LIVE. HEAD: 62e114a, 1801 lines. First trade: F x1 MARKET BUY. Risk Tab live. 29 opps / 11 depts. S-077: Monday 9:30 AM live test, Trading frontend, Opp Tracker redesign, Briefing modal, gist.</t>
  </si>
  <si>
    <t>WHAT WAS COMPLETED — S-068</t>
  </si>
  <si>
    <t>CompIntel fetch fix — 90s AbortController timeout, clear error message distinguishing timeout vs backend failure</t>
  </si>
  <si>
    <t>State persistence — visited+display:none pattern, navigate() wrapper. All page state survives sidebar clicks.</t>
  </si>
  <si>
    <t>OODA clickthrough — program score badges clickable in OppTracker. Auto-populates OODA via window._gdaOodaTarget.</t>
  </si>
  <si>
    <t>EM-002-005</t>
  </si>
  <si>
    <t>Email Drafter full rebuild — BLUF toggle, Persona, Email Elements, Key Points chip builder, incoming email response, Compose+History tabs (10 drafts).</t>
  </si>
  <si>
    <t>DIR-001-006</t>
  </si>
  <si>
    <t>Directions overhaul — stats bar, Overview/Modules/Architecture/FAQ tabs, 14 module drill-downs with sources/features/connections, platform stack + request flow.</t>
  </si>
  <si>
    <t>SIT-001-005</t>
  </si>
  <si>
    <t>SITREP full rebuild — KPI bar, Generate+History tabs, 10-SITREP persistent history, Copy/Add to Action Items quick actions, loading state.</t>
  </si>
  <si>
    <t>CURRENT STATE</t>
  </si>
  <si>
    <t>Site</t>
  </si>
  <si>
    <t>https://gda.csr-llc.tech</t>
  </si>
  <si>
    <t>1,628 lines | index 314KB + vendor-charts 414KB | gzip: 92+113 kB</t>
  </si>
  <si>
    <t>Git</t>
  </si>
  <si>
    <t>main d2d376f. 46 deploys S-070 (2 sessions).</t>
  </si>
  <si>
    <t>43 (all GDA.api.* + GDA.sched.* + GDA.dev.deploy)</t>
  </si>
  <si>
    <t>Deploy Key</t>
  </si>
  <si>
    <t>Container</t>
  </si>
  <si>
    <t>n8n-envision-gda-frontend-1 at /root/gda-frontend/dist/</t>
  </si>
  <si>
    <t>Connected end of S-068. Reconnect in new chat with tool_search("n8n").</t>
  </si>
  <si>
    <t>WHAT IS BROKEN</t>
  </si>
  <si>
    <t>CI-002-006</t>
  </si>
  <si>
    <t>BLOCKED — need COMP_Analysis.pdf (USASOC brief) from Shawn before Competitive Intel output standard can be built</t>
  </si>
  <si>
    <t>Nothing else</t>
  </si>
  <si>
    <t>Source healthy at 1,423 lines. All 4 S-068 deploys clean.</t>
  </si>
  <si>
    <t>NEXT SESSION PRIORITIES (S-069)</t>
  </si>
  <si>
    <t>OT-008: React.memo on OppTracker + memo on top-level page components for perf</t>
  </si>
  <si>
    <t>LP-002/004: KPI card drill-downs (click KPI → modal with underlying data) + chart slice/bar click-through</t>
  </si>
  <si>
    <t>RT-001-005: RFP Red Team — add doc upload (FileReader→base64) + chat-style conversational output</t>
  </si>
  <si>
    <t>AI-001-006: AI Agent Chat rebuild — doc upload, save/delete chats, refresh button, global knowledge sharing</t>
  </si>
  <si>
    <t>5 (BLOCKED)</t>
  </si>
  <si>
    <t>CI-002-006: Upload COMP_Analysis.pdf first, then rebuild Competitive Intel output to match that format</t>
  </si>
  <si>
    <t>SESSION START PROTOCOL</t>
  </si>
  <si>
    <t>tool_search("n8n") — confirm MCP. If not: new chat.</t>
  </si>
  <si>
    <t>Read this tab + S-067 E2E Findings. Green rows=done. White rows=queue.</t>
  </si>
  <si>
    <t>Read App.jsx via gda-deploy patch_script mode (sed/cat read). End script with print("READ_ONLY") not print("PATCH COMPLETE").</t>
  </si>
  <si>
    <t>Step 4</t>
  </si>
  <si>
    <t>Deploy via POST gda-deploy webhook, patch_script mode. Never raw emoji in Python patch strings.</t>
  </si>
  <si>
    <t>Never ask Shawn to copy/paste or run commands. Zero manual steps.</t>
  </si>
  <si>
    <t>LESSONS FROM S-068</t>
  </si>
  <si>
    <t>Emoji in patches</t>
  </si>
  <si>
    <t>Emoji in Python patch_script NEW= strings cause UnicodeEncodeError when writing JSX. Use text labels (LP, OT, CI, SR etc) not emoji.</t>
  </si>
  <si>
    <t>READ_ONLY rule</t>
  </si>
  <si>
    <t>Diagnostic read scripts must end with print("READ_ONLY") not print("PATCH COMPLETE"). PATCH COMPLETE triggers SSH Build which commits whatever is on disk.</t>
  </si>
  <si>
    <t>Anchor search</t>
  </si>
  <si>
    <t>Use find("function X(){") — the Unicode box chars in comments (──) break ASCII string search in patch scripts.</t>
  </si>
  <si>
    <t>Git restore</t>
  </si>
  <si>
    <t>If broken file baked into HEAD: restore with git show HEAD~1:src/App.jsx read via subprocess, write bytes directly.</t>
  </si>
  <si>
    <t>Empty payload</t>
  </si>
  <si>
    <t>Empty webhook payload {} bypasses auth guard silently — always include deploy_key in every call.</t>
  </si>
  <si>
    <t>🔴 RULE</t>
  </si>
  <si>
    <t>NEVER tell Shawn to do something Claude can do via MCP. Claude executes autonomously. Shawn only: (1) opens OAuth URLs in browser, (2) provides API keys Claude doesn't have, (3) approves RED-tier decisions. Everything else — Claude does it. No exceptions.</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</si>
  <si>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</si>
  <si>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</si>
  <si>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</si>
  <si>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</si>
  <si>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</si>
  <si>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</si>
  <si>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</si>
  <si>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</si>
  <si>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</si>
  <si>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</si>
  <si>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</si>
  <si>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</si>
  <si>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</si>
  <si>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</si>
  <si>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</si>
  <si>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</si>
  <si>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</si>
  <si>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</si>
  <si>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</si>
  <si>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</si>
  <si>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</si>
  <si>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</si>
  <si>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</si>
  <si>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</si>
  <si>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Blocker</t>
  </si>
  <si>
    <t>Monday 9:30 AM — Trade Engine live test. Real data, real signals, GREEN tier auto-execute.</t>
  </si>
  <si>
    <t>—</t>
  </si>
  <si>
    <t>🔴 MONDAY</t>
  </si>
  <si>
    <t>S-077</t>
  </si>
  <si>
    <t>Trading frontend — wire gda_trade_scans to Trading tab + GDA.api.trade-scans webhook</t>
  </si>
  <si>
    <t>🔲 S-077</t>
  </si>
  <si>
    <t>Opp Tracker frontend redesign + daily GovTribe auto-refresh workflow</t>
  </si>
  <si>
    <t>NF-008</t>
  </si>
  <si>
    <t>Briefing modal + charts overhaul + gist update + E2E test</t>
  </si>
  <si>
    <t>PLATFORM QUICK REFERENCE</t>
  </si>
  <si>
    <t>URL</t>
  </si>
  <si>
    <t>n8n Workflows (active)</t>
  </si>
  <si>
    <t>58+ active + 7 archived = 65+ (incl 9 Schwab/Trading, 2 new S-076 workflows)</t>
  </si>
  <si>
    <t>🟢 LIVE</t>
  </si>
  <si>
    <t>Docker Containers</t>
  </si>
  <si>
    <t>8 containers</t>
  </si>
  <si>
    <t>n8n Backend</t>
  </si>
  <si>
    <t>n8n.csr-llc.tech</t>
  </si>
  <si>
    <t>Postgres Tables (GDA)</t>
  </si>
  <si>
    <t>13 tables (+gda_trading_journal, +gda_trade_signals with FK + index)</t>
  </si>
  <si>
    <t>MCP Endpoint</t>
  </si>
  <si>
    <t>mcp.csr-llc.tech/mcp</t>
  </si>
  <si>
    <t>Git Commits (Session 4)</t>
  </si>
  <si>
    <t>S-075 latest. HEAD 4f6fa50. ~1652 lines.</t>
  </si>
  <si>
    <t>Deploy Pipeline</t>
  </si>
  <si>
    <t>gda-deploy (8GnGxnBL)</t>
  </si>
  <si>
    <t>🟢 ACTIVE</t>
  </si>
  <si>
    <t>App.jsx Size</t>
  </si>
  <si>
    <t>1,652 lines (Trading Command Center S-074)</t>
  </si>
  <si>
    <t>Daily Opp Sync</t>
  </si>
  <si>
    <t>Cron 0700 daily</t>
  </si>
  <si>
    <t>GDA OPS Dashboard</t>
  </si>
  <si>
    <t>v1.0 — DEPLOYED S-049</t>
  </si>
  <si>
    <t>OPS Console</t>
  </si>
  <si>
    <t>gda.csr-llc.tech/ops.html</t>
  </si>
  <si>
    <t>Last updated:</t>
  </si>
  <si>
    <t>REMAINING TECHNICAL ISSUES (From S-033 E2E Test)</t>
  </si>
  <si>
    <t>Severity</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</si>
  <si>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</si>
  <si>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</si>
  <si>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</si>
  <si>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</si>
  <si>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</si>
  <si>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</si>
  <si>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</si>
  <si>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</si>
  <si>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</si>
  <si>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</si>
  <si>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</si>
  <si>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</si>
  <si>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</si>
  <si>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</si>
  <si>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</si>
  <si>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</si>
  <si>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</si>
  <si>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</si>
  <si>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</si>
  <si>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</si>
  <si>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</si>
  <si>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</si>
  <si>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</si>
  <si>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</si>
  <si>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</si>
  <si>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</si>
  <si>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</si>
  <si>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</si>
  <si>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</si>
  <si>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</si>
  <si>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</si>
  <si>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</si>
  <si>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</si>
  <si>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</si>
  <si>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</si>
  <si>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</si>
  <si>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</si>
  <si>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</si>
  <si>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</si>
  <si>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</si>
  <si>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</si>
  <si>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</si>
  <si>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Verified By</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</si>
  <si>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</si>
  <si>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</si>
  <si>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</si>
  <si>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</si>
  <si>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</si>
  <si>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</si>
  <si>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</si>
  <si>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</si>
  <si>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</si>
  <si>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</si>
  <si>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</si>
  <si>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</si>
  <si>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</si>
  <si>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</si>
  <si>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</si>
  <si>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</si>
  <si>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</si>
  <si>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</si>
  <si>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</si>
  <si>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</si>
  <si>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</si>
  <si>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</si>
  <si>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</si>
  <si>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</si>
  <si>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</si>
  <si>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</si>
  <si>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</si>
  <si>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</si>
  <si>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</si>
  <si>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</si>
  <si>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</si>
  <si>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</si>
  <si>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</si>
  <si>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</si>
  <si>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</si>
  <si>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</si>
  <si>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</si>
  <si>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</si>
  <si>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</si>
  <si>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</si>
  <si>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</si>
  <si>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</si>
  <si>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</si>
  <si>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</si>
  <si>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</si>
  <si>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</si>
  <si>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</si>
  <si>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</si>
  <si>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</si>
  <si>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</si>
  <si>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</si>
  <si>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</si>
  <si>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</si>
  <si>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</si>
  <si>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</si>
  <si>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</si>
  <si>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</si>
  <si>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</si>
  <si>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</si>
  <si>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</si>
  <si>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</si>
  <si>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</si>
  <si>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</si>
  <si>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</si>
  <si>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</si>
  <si>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</si>
  <si>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</si>
  <si>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</si>
  <si>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</si>
  <si>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</si>
  <si>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</si>
  <si>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</si>
  <si>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</si>
  <si>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</si>
  <si>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</si>
  <si>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</si>
  <si>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</si>
  <si>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</si>
  <si>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</si>
  <si>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</si>
  <si>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</si>
  <si>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</si>
  <si>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</si>
  <si>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</si>
  <si>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</si>
  <si>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</si>
  <si>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</si>
  <si>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</si>
  <si>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</si>
  <si>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CRITICAL RULE</t>
  </si>
  <si>
    <t>NEVER tell Shawn to do something manually that Claude/MCP can do. Claude has MCP access to n8n — it can read/write credentials, read/update workflows, execute queries, trigger webhooks, deploy code. If Claude can do it via MCP, Claude does it. Do not say "go to n8n UI and update X" or "paste this into the workflow" or "update the credential manually." Claude reads the credential, finds the placeholder, and fixes it. The only things Shawn does manually: (1) open an OAuth URL in his browser to authorize, (2) provide API keys/passwords that Claude doesn't have, (3) approve RED-tier risk decisions. EVERYTHING ELSE — Claude executes autonomously. This has been stated multiple times. Do not forget it.</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</si>
  <si>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</si>
  <si>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</si>
  <si>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</si>
  <si>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</si>
  <si>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</si>
  <si>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</si>
  <si>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</si>
  <si>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</si>
  <si>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</si>
  <si>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</si>
  <si>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</si>
  <si>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</si>
  <si>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</si>
  <si>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</si>
  <si>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</si>
  <si>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</si>
  <si>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 DONE: Launchpad nav</t>
  </si>
  <si>
    <t>S-062: Sidebar wrapped in &lt;div style={S.sidebar}&gt;. Launchpad renders above BD header. Commit 8e17c3f. Netlify auto-builds.</t>
  </si>
  <si>
    <t>TRADING APP WORKFLOW IDS</t>
  </si>
  <si>
    <t>Trade Engine: 1G4gw4N7DFtVZKF7 (20-node autonomous scanner)</t>
  </si>
  <si>
    <t>Trade Control API: NQmaj5nu4TBQxBgD (start/stop/scan/dashboard/signals)</t>
  </si>
  <si>
    <t>Trading Tracker: IKfUmowQEXw86fpm (path: gda-trading, no Auth Guard — auth internal)</t>
  </si>
  <si>
    <t>Trade Email Alert: 3dc99tgxFQp4Mjqo (needs SMTP credentials in n8n UI)</t>
  </si>
  <si>
    <t>DB: gda_trading_journal, gda_schwab_tokens, gda_trade_signals</t>
  </si>
  <si>
    <t>Schwab OAuth: PENDING. Must complete before Monday 9:30 AM EST for live trading.</t>
  </si>
  <si>
    <t>🔴 SECURITY REMEDIATION — S-076 CHAT SPILLAGE</t>
  </si>
  <si>
    <t>Action required: rotate these credentials. Browser chat history contains exposed values.</t>
  </si>
  <si>
    <t>🔴 DO FIRST Postgres password (envision_secure_password)</t>
  </si>
  <si>
    <t>ROTATE NOW: Exposed in plaintext in browser chat. Update in docker-compose.yml → restart Postgres + n8n. Update n8n credential HwronxMmGY5XDGEt.</t>
  </si>
  <si>
    <t>🔴 HIGH Tavily API key (tvly-dev-30u5io-...)</t>
  </si>
  <si>
    <t>ROTATE: Visible in trade engine workflow Code node dump. Generate new key at tavily.com → update in n8n credential. Also fixes the 432 quota error if new key has fresh quota.</t>
  </si>
  <si>
    <t>🟡 LOW — auto-resolves Schwab refresh token</t>
  </si>
  <si>
    <t>MONITOR: Expires March 22. Useless without client_id/secret (not exposed). Token refresh scheduler will cycle it. Re-auth after March 22 invalidates old token completely.</t>
  </si>
  <si>
    <t>🟡 LOW Schwab account number (94715534)</t>
  </si>
  <si>
    <t>ACCEPT RISK: Account number alone is not actionable without OAuth tokens + client credentials. Standard risk acceptance.</t>
  </si>
  <si>
    <t>✅ NO ACTION GDA Master gist</t>
  </si>
  <si>
    <t>VERIFIED CLEAN: Gist update does NOT contain any tokens, passwords, or keys. Safe.</t>
  </si>
  <si>
    <t>✅ NO ACTION This desktop chat</t>
  </si>
  <si>
    <t>CLEAN: No credentials were exposed in this chat (desktop app). All spillage is in the browser chat only.</t>
  </si>
  <si>
    <t>POST-ROTATION RULE</t>
  </si>
  <si>
    <t>After rotating Postgres password: (1) Update docker-compose.yml POSTGRES_PASSWORD. (2) docker compose down &amp;&amp; docker compose up -d. (3) Update n8n credential HwronxMmGY5XDGEt with new password. (4) Verify all endpoints still respond. After rotating Tavily: (1) Get new key from tavily.com. (2) Update n8n credential. (3) Test comp-intel endpoint. Claude does all of this via MCP — Shawn only provides the new key values.</t>
  </si>
  <si>
    <t>GDA TRADING CHALLENGE</t>
  </si>
  <si>
    <t>LIVE — Schwab OAuth complete, tokens in DB, first trade executed. F x1 MARKET BUY, HTTP 201 from Schwab. Trade Engine: 20 nodes, 34s full pipeline. Token refresh scheduler active (QDtXXMqp0JEAYbkc). Risk params: 2% risk/trade, 25% max position, 6% max portfolio. gda_trade_scans table persists every analysis run. Monday 9:30 AM: first real market-hours test with live data and GREEN tier auto-execution.</t>
  </si>
  <si>
    <t>Starting Balance</t>
  </si>
  <si>
    <t>Ongoing (no end date)</t>
  </si>
  <si>
    <t>Trading Type</t>
  </si>
  <si>
    <t>TBD — stocks, options, or both</t>
  </si>
  <si>
    <t>Broker</t>
  </si>
  <si>
    <t>Charles Schwab (API)</t>
  </si>
  <si>
    <t>API Status</t>
  </si>
  <si>
    <t>✅ LIVE — OAuth complete, tokens cycling, first trade placed (F x1 MARKET BUY, HTTP 201). 9 Schwab workflows active.</t>
  </si>
  <si>
    <t>Credential ID</t>
  </si>
  <si>
    <t>fSEn5DdU5Res0x3z (Schwab Basic Auth)</t>
  </si>
  <si>
    <t>Callback Workflow</t>
  </si>
  <si>
    <t>pg8Dbz7FZGeXur9Z (active, OAuth working — 4 successful callbacks)</t>
  </si>
  <si>
    <t>Token Refresh</t>
  </si>
  <si>
    <t>QDtXXMqp0JEAYbkc (REBUILT S-076 — old 6rGZygHrJibebN0q had FK corruption). Fires every 25 min.</t>
  </si>
  <si>
    <t>All 6 Schwab Workflows</t>
  </si>
  <si>
    <t>Active ✅</t>
  </si>
  <si>
    <t>Last Updated</t>
  </si>
  <si>
    <t>S-076 — 2026-03-15. SCHWAB LIVE.</t>
  </si>
  <si>
    <t>S-074 TRADING APP STATUS (2026-03-15)</t>
  </si>
  <si>
    <t>Trade Engine (1G4gw4N7DFtVZKF7): 20-node autonomous scanner — ACTIVE</t>
  </si>
  <si>
    <t>Trade Control API (NQmaj5nu4TBQxBgD): start/stop/scan/dashboard/signals — ACTIVE</t>
  </si>
  <si>
    <t>AI analyzes market data via Schwab API → recommends trades → executes via Schwab API → logs to Postgres</t>
  </si>
  <si>
    <t>Frontend: Trading Command Center with Command/Journal/AI Advisor tabs — DEPLOYED (4f6fa50)</t>
  </si>
  <si>
    <t>Schwab real-time quotes, price history, options chains, movers + Tavily news search</t>
  </si>
  <si>
    <t>Schwab OAuth: PENDING — needed before Monday 9:30 AM for live quotes + order execution</t>
  </si>
  <si>
    <t>Claude analyzes technicals + fundamentals + news sentiment → generates trade thesis with entry/exit/stop → confidence score</t>
  </si>
  <si>
    <t>BUG FOUND S-075: Trade Control "scan" route errors — Run Scan Code node references $("Fetch Movers Down") which only exists in Trade Engine workflow. Fix: use Execute Workflow or lightweight trigger. SQL table verification pending.</t>
  </si>
  <si>
    <t>Max 10% of balance per trade. Stop-loss required on every position. No naked options.</t>
  </si>
  <si>
    <t>NEXT: Verify signals table, complete Schwab OAuth, test live scan, git commit + push</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</si>
  <si>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</si>
  <si>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</si>
  <si>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</si>
  <si>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</si>
  <si>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</si>
  <si>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</si>
  <si>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</si>
  <si>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</si>
  <si>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schwab-accounts → monitors positions, checks P&amp;L, triggers stop-loss or take-profit exits</t>
  </si>
  <si>
    <t>Frontend Trading Challenge page shows live balance, trade history, win rate, AI reasoning per trade</t>
  </si>
  <si>
    <t>RISK PARAMETERS (S-076)</t>
  </si>
  <si>
    <t>Risk per trade</t>
  </si>
  <si>
    <t>2% of total equity ($2 at $100)</t>
  </si>
  <si>
    <t>Max position</t>
  </si>
  <si>
    <t>25% of total equity ($25 at $100)</t>
  </si>
  <si>
    <t>Max portfolio risk</t>
  </si>
  <si>
    <t>6% of total equity ($6 at $100)</t>
  </si>
  <si>
    <t>Position sizing</t>
  </si>
  <si>
    <t>shares = risk_dollars / (entry - stop_loss). Enforced in Process Signals node.</t>
  </si>
  <si>
    <t>Scaling</t>
  </si>
  <si>
    <t>All params grow proportionally with account size. No hard caps. Math is discipline.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</si>
  <si>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</si>
  <si>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</si>
  <si>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</si>
  <si>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</si>
  <si>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</si>
  <si>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</si>
  <si>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</si>
  <si>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</si>
  <si>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</si>
  <si>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</si>
  <si>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</si>
  <si>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</si>
  <si>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</si>
  <si>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</si>
  <si>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</si>
  <si>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</si>
  <si>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</si>
  <si>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</si>
  <si>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</si>
  <si>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</si>
  <si>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</si>
  <si>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</si>
  <si>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</si>
  <si>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</si>
  <si>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</si>
  <si>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</si>
  <si>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</si>
  <si>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</si>
  <si>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</si>
  <si>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</si>
  <si>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</si>
  <si>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</si>
  <si>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</si>
  <si>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</si>
  <si>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</si>
  <si>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SCHWAB ACCOUNT (S-076)</t>
  </si>
  <si>
    <t>Account Number</t>
  </si>
  <si>
    <t>94715534</t>
  </si>
  <si>
    <t>Account Hash</t>
  </si>
  <si>
    <t>082CB9720D2DC5B753ED99DC9673DA780391BBF708D00C68967E00C24352847B</t>
  </si>
  <si>
    <t>Equity</t>
  </si>
  <si>
    <t>~$100.56 (KO micro-position $0.56)</t>
  </si>
  <si>
    <t>First Trade</t>
  </si>
  <si>
    <t>F (Ford) x1 MARKET BUY — HTTP 201, queued Sunday, executes Monday open</t>
  </si>
  <si>
    <t>Trade via</t>
  </si>
  <si>
    <t>Direct Schwab API (bypassed webhook due to registration bug)</t>
  </si>
  <si>
    <t>Tokens</t>
  </si>
  <si>
    <t>access_token + refresh_token in gda_schwab_tokens. Refresh every 25 min.</t>
  </si>
  <si>
    <t>SCHWAB WORKFLOW REGISTRY</t>
  </si>
  <si>
    <t>GDA.api.schwab-callback (pg8Dbz7FZGeXur9Z)</t>
  </si>
  <si>
    <t>OAuth callback — exchanges auth codes for tokens</t>
  </si>
  <si>
    <t>GDA.api.schwab-login (owUbgcWjmU65oTIB)</t>
  </si>
  <si>
    <t>OAuth login URL generator</t>
  </si>
  <si>
    <t>GDA.api.schwab-trade (KJZXNreX1DOhwvKT)</t>
  </si>
  <si>
    <t>Order placement — MARKET/LIMIT/STOP orders</t>
  </si>
  <si>
    <t>GDA.api.schwab-accounts (r1S9h809aI5bC3UH)</t>
  </si>
  <si>
    <t>Account data — positions, balances, P&amp;L</t>
  </si>
  <si>
    <t>GDA.api.schwab-market-data (a6i1cBBFOzS3IVe2)</t>
  </si>
  <si>
    <t>Quotes, price history, options chains, movers</t>
  </si>
  <si>
    <t>GDA.sched.schwab-token-refresh (QDtXXMqp0JEAYbkc)</t>
  </si>
  <si>
    <t>Token refresh every 25 min (REBUILT S-076)</t>
  </si>
  <si>
    <t>GDA.sched.trade-engine (1G4gw4N7DFtVZKF7)</t>
  </si>
  <si>
    <t>20-node autonomous scanner — cron market hours Mon-Fri</t>
  </si>
  <si>
    <t>GDA.api.trade-control (NQmaj5nu4TBQxBgD)</t>
  </si>
  <si>
    <t>Start/stop/scan/dashboard/signals API</t>
  </si>
  <si>
    <t>GDA.api.trading-tracker (IKfUmowQEXw86fpm)</t>
  </si>
  <si>
    <t>Trade journal CRUD — setup/add/close/list/stats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</si>
  <si>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</si>
  <si>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</si>
  <si>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</si>
  <si>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</si>
  <si>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</si>
  <si>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</si>
  <si>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</si>
  <si>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</si>
  <si>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</si>
  <si>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</si>
  <si>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</si>
  <si>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</si>
  <si>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</si>
  <si>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</si>
  <si>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</si>
  <si>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</si>
  <si>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</si>
  <si>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</si>
  <si>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</si>
  <si>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</si>
  <si>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</si>
  <si>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</si>
  <si>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</si>
  <si>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</si>
  <si>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</si>
  <si>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</si>
  <si>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</si>
  <si>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</si>
  <si>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</si>
  <si>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</si>
  <si>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</si>
  <si>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</si>
  <si>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</si>
  <si>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</si>
  <si>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</si>
  <si>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</si>
  <si>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</si>
  <si>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</si>
  <si>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</si>
  <si>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</si>
  <si>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</si>
  <si>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</si>
  <si>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</si>
  <si>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</si>
  <si>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</si>
  <si>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</si>
  <si>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</si>
  <si>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</si>
  <si>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</si>
  <si>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</si>
  <si>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</si>
  <si>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</si>
  <si>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</si>
  <si>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</si>
  <si>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</si>
  <si>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</si>
  <si>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</si>
  <si>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</si>
  <si>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</si>
  <si>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Date Completed</t>
  </si>
  <si>
    <t>Session Ref</t>
  </si>
  <si>
    <t>REQ-001</t>
  </si>
  <si>
    <t>Section rename</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</si>
  <si>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</si>
  <si>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</si>
  <si>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</si>
  <si>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</si>
  <si>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</si>
  <si>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</si>
  <si>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</si>
  <si>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</si>
  <si>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</si>
  <si>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</si>
  <si>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</si>
  <si>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</si>
  <si>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</si>
  <si>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</si>
  <si>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</si>
  <si>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</si>
  <si>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</si>
  <si>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</si>
  <si>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</si>
  <si>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</si>
  <si>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</si>
  <si>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</si>
  <si>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</si>
  <si>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</si>
  <si>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</si>
  <si>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</si>
  <si>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</si>
  <si>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</si>
  <si>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</si>
  <si>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</si>
  <si>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</si>
  <si>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</si>
  <si>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</si>
  <si>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</si>
  <si>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</si>
  <si>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</si>
  <si>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</si>
  <si>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</si>
  <si>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</si>
  <si>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</si>
  <si>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</si>
  <si>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</si>
  <si>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</si>
  <si>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</si>
  <si>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</si>
  <si>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</si>
  <si>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</si>
  <si>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</si>
  <si>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</si>
  <si>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</si>
  <si>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</si>
  <si>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</si>
  <si>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</si>
  <si>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</si>
  <si>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</si>
  <si>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</si>
  <si>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</si>
  <si>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</si>
  <si>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</si>
  <si>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</si>
  <si>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</si>
  <si>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</si>
  <si>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</si>
  <si>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</si>
  <si>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</si>
  <si>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</si>
  <si>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</si>
  <si>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</si>
  <si>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</si>
  <si>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</si>
  <si>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</si>
  <si>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</si>
  <si>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</si>
  <si>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</si>
  <si>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</si>
  <si>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</si>
  <si>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</si>
  <si>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</si>
  <si>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</si>
  <si>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</si>
  <si>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</si>
  <si>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</si>
  <si>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</si>
  <si>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</si>
  <si>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</si>
  <si>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</si>
  <si>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</si>
  <si>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</si>
  <si>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</si>
  <si>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</si>
  <si>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</si>
  <si>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REQ-029</t>
  </si>
  <si>
    <t>Dollar formatting — All financial values display as $xx,x.xM (millions with one decimal)</t>
  </si>
  <si>
    <t>✅ DEPLOYED S-065 — formatDollars() utility</t>
  </si>
  <si>
    <t>FB-022. Apply across OppTracker dept headers, program values, KPI bar, predictions.</t>
  </si>
  <si>
    <t>S-064</t>
  </si>
  <si>
    <t>REQ-030</t>
  </si>
  <si>
    <t>Searchable sources — Every data point must have a clickable/searchable source citation</t>
  </si>
  <si>
    <t>✅ DEPLOYED S-066 — SourceTag</t>
  </si>
  <si>
    <t>BL-034. Clickable source badges on all API data. Unicode arrow, no emoji.</t>
  </si>
  <si>
    <t>Mar 13, 2026</t>
  </si>
  <si>
    <t>S-066</t>
  </si>
  <si>
    <t>REQ-031</t>
  </si>
  <si>
    <t>Center Launchpad KPI boxes — The 6 top boxes must be horizontally centered</t>
  </si>
  <si>
    <t>✅ DEPLOYED S-065 — KPI boxes centered</t>
  </si>
  <si>
    <t>FB-024. CSS flexbox justify-content:center on KPI container.</t>
  </si>
  <si>
    <t>REQ-032</t>
  </si>
  <si>
    <t>Composite scoring — Dept/program headers show Needs(1-10) + Financials(budget-addressable=%) + OODA score = total 1-100</t>
  </si>
  <si>
    <t>✅ DEPLOYED S-066 — compositeScore+ScoreBadge</t>
  </si>
  <si>
    <t>BL-036. Needs*4+Financials*30+OODA*0.3=1-100. On OppTracker dept headers.</t>
  </si>
  <si>
    <t>REQ-033</t>
  </si>
  <si>
    <t>Directions tab — In-depth tool documentation with workflow screenshots, purpose, TOC</t>
  </si>
  <si>
    <t>✅ DEPLOYED S-066 — GDA Docs/TOC</t>
  </si>
  <si>
    <t>BL-037. 4-tab: Overview/Modules/Workflows/FAQ. Searchable module reference.</t>
  </si>
  <si>
    <t>REQ-034</t>
  </si>
  <si>
    <t>Target Agencies tab — Data cards for top 5 GDA competitors in large/med/small categories, clickable with AI question field</t>
  </si>
  <si>
    <t>✅ DEPLOYED S-066 — Competitor Intel cards</t>
  </si>
  <si>
    <t>BL-038. 5 cards: Leidos/SAIC/BAH/CACI/L3H. Size badges, AI ask field.</t>
  </si>
  <si>
    <t>REQ-035</t>
  </si>
  <si>
    <t>Launchpad source links — Each section includes links to source documents and references</t>
  </si>
  <si>
    <t>✅ DEPLOYED S-066 — Launchpad source links</t>
  </si>
  <si>
    <t>BL-039. Source URLs on news + Top Opps. SAM.gov, defense.gov, GovWin.</t>
  </si>
  <si>
    <t>REQ-036</t>
  </si>
  <si>
    <t>Professional visualizations — Chart and table nodes in workflows for leadership-quality data storytelling</t>
  </si>
  <si>
    <t>✅ DEPLOYED S-066 — Recharts BarChart+PieChart</t>
  </si>
  <si>
    <t>BL-040. Pipeline by Dept + Win Prob charts on Launchpad. 414KB vendor chunk.</t>
  </si>
  <si>
    <t>AI #</t>
  </si>
  <si>
    <t>Action Item</t>
  </si>
  <si>
    <t>Due / Target</t>
  </si>
  <si>
    <t>Source / Cross-Ref</t>
  </si>
  <si>
    <t>Fix OODA dropdown — DUAL FIX: 1) n8n gda-ooda workflow needs 3 separate prompts (agency/competitor/program). 2) OodaPage needs 3 conditional renderers. Agency→mission+budget+contracts. Competitor→SWOT+winrate+incumbency. Program→requirements+timeline+capture.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</si>
  <si>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</si>
  <si>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</si>
  <si>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</si>
  <si>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Build opportunity save/persist feature — AI ranking, user interaction</t>
  </si>
  <si>
    <t>✅ ACTIVE</t>
  </si>
  <si>
    <t>REQ-012 Phase 1 backend built. DB table + API endpoints. Needs: activation + frontend save/star buttons.</t>
  </si>
  <si>
    <t>Build predictive requirements intelligence module</t>
  </si>
  <si>
    <t>✅ BACKEND ACTIVE</t>
  </si>
  <si>
    <t>REQ-013 backend built (FlfwRXW31NnEzzFb). Needs: activation + frontend Predictions section.</t>
  </si>
  <si>
    <t>Build consolidated action items view with alerts and manual entry</t>
  </si>
  <si>
    <t>REQ-014. fetchActionItems() + createActionItem() wired via gdaApi.js. Missing: nav badge for overdue count.</t>
  </si>
  <si>
    <t>Add AI interaction layer — recommendations + question field + accept/reject</t>
  </si>
  <si>
    <t>REQ-015 backend built (EeR3nC8l30Vdsu5b). Needs: activation + frontend accept/reject/modify buttons.</t>
  </si>
  <si>
    <t>AI-007</t>
  </si>
  <si>
    <t>Add last-updated timestamps to every data section in UI</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</si>
  <si>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</si>
  <si>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</si>
  <si>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</si>
  <si>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</si>
  <si>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</si>
  <si>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</si>
  <si>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</si>
  <si>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</si>
  <si>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</si>
  <si>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</si>
  <si>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</si>
  <si>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</si>
  <si>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</si>
  <si>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</si>
  <si>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</si>
  <si>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</si>
  <si>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</si>
  <si>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</si>
  <si>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</si>
  <si>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</si>
  <si>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</si>
  <si>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</si>
  <si>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</si>
  <si>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</si>
  <si>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</si>
  <si>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</si>
  <si>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</si>
  <si>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</si>
  <si>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</si>
  <si>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</si>
  <si>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</si>
  <si>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</si>
  <si>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</si>
  <si>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</si>
  <si>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</si>
  <si>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</si>
  <si>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</si>
  <si>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</si>
  <si>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</si>
  <si>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</si>
  <si>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</si>
  <si>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</si>
  <si>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</si>
  <si>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</si>
  <si>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</si>
  <si>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</si>
  <si>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</si>
  <si>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</si>
  <si>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</si>
  <si>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</si>
  <si>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</si>
  <si>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</si>
  <si>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</si>
  <si>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</si>
  <si>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</si>
  <si>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</si>
  <si>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</si>
  <si>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</si>
  <si>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</si>
  <si>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</si>
  <si>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</si>
  <si>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</si>
  <si>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</si>
  <si>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</si>
  <si>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</si>
  <si>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</si>
  <si>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</si>
  <si>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</si>
  <si>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</si>
  <si>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</si>
  <si>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</si>
  <si>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</si>
  <si>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</si>
  <si>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</si>
  <si>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</si>
  <si>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</si>
  <si>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</si>
  <si>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</si>
  <si>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</si>
  <si>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</si>
  <si>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</si>
  <si>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</si>
  <si>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</si>
  <si>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</si>
  <si>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</si>
  <si>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</si>
  <si>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</si>
  <si>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</si>
  <si>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</si>
  <si>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</si>
  <si>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</si>
  <si>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</si>
  <si>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</si>
  <si>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</si>
  <si>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</si>
  <si>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</si>
  <si>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</si>
  <si>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</si>
  <si>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</si>
  <si>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</si>
  <si>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</si>
  <si>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</si>
  <si>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</si>
  <si>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</si>
  <si>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</si>
  <si>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</si>
  <si>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</si>
  <si>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</si>
  <si>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</si>
  <si>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</si>
  <si>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</si>
  <si>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</si>
  <si>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</si>
  <si>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</si>
  <si>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</si>
  <si>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</si>
  <si>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</si>
  <si>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</si>
  <si>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</si>
  <si>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</si>
  <si>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</si>
  <si>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</si>
  <si>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</si>
  <si>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</si>
  <si>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</si>
  <si>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</si>
  <si>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</si>
  <si>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</si>
  <si>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</si>
  <si>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</si>
  <si>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</si>
  <si>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</si>
  <si>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</si>
  <si>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</si>
  <si>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</si>
  <si>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</si>
  <si>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</si>
  <si>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</si>
  <si>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</si>
  <si>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</si>
  <si>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</si>
  <si>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</si>
  <si>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</si>
  <si>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</si>
  <si>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</si>
  <si>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</si>
  <si>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</si>
  <si>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</si>
  <si>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Per Shawn (2026-03-13). Disabled "Send an Email" node in GDA.api.sitrep workflow (TcR5oY6zxjSAwkbE, node ce2c4a04). No daily emails will be sent. Completed S-064.</t>
  </si>
  <si>
    <t>BL-030</t>
  </si>
  <si>
    <t>Remove the daily email automation. Disable or delete the scheduled email workflow that sends daily notifications.</t>
  </si>
  <si>
    <t>✅ DEPLOYED S-066</t>
  </si>
  <si>
    <t>Email node disabled S-064, marked complete S-066.</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</si>
  <si>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</si>
  <si>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</si>
  <si>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</si>
  <si>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</si>
  <si>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</si>
  <si>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 DEPLOYED S-065</t>
  </si>
  <si>
    <t>formatDollars() utility, commit ce244a8</t>
  </si>
  <si>
    <t>FB-022 / REQ-029. formatDollars() utility function.</t>
  </si>
  <si>
    <t>BL-034</t>
  </si>
  <si>
    <t>Searchable source citations — Every data point shows clickable source badge linking to original document/URL.</t>
  </si>
  <si>
    <t>SourceTag, commit dfdf1fd</t>
  </si>
  <si>
    <t>FB-023/REQ-030. Clickable source badges. No emoji. Unicode arrow.</t>
  </si>
  <si>
    <t>BL-035</t>
  </si>
  <si>
    <t>Center Launchpad KPI boxes — Horizontally center the 6 top KPI boxes on the Launchpad page.</t>
  </si>
  <si>
    <t>maxWidth:1100 + margin auto, commit ce244a8</t>
  </si>
  <si>
    <t>FB-024 / REQ-031. CSS fix: justify-content:center on KPI flex container.</t>
  </si>
  <si>
    <t>BL-036</t>
  </si>
  <si>
    <t>Composite scoring model — Needs(1-10) + Financials(budget-addressable=%) + OODA = total score 1-100 on dept/program headers.</t>
  </si>
  <si>
    <t>compositeScore+ScoreBadge, dfdf1fd</t>
  </si>
  <si>
    <t>FB-025/REQ-032. Three-factor scoring 1-100 on dept headers.</t>
  </si>
  <si>
    <t>BL-037</t>
  </si>
  <si>
    <t>Directions tab — New sidebar tab with in-depth tool documentation, workflow screenshots, purpose statement, TOC.</t>
  </si>
  <si>
    <t>GDA Docs/TOC, commit 77cab87</t>
  </si>
  <si>
    <t>FB-026/REQ-033. 4-tab: Overview/Modules(14)/Workflows(6)/FAQ(4).</t>
  </si>
  <si>
    <t>BL-038</t>
  </si>
  <si>
    <t>Target Agencies tab — Top 5 competitor data cards (large/med/small), clickable detail panels with AI question field.</t>
  </si>
  <si>
    <t>Competitor Intel, commit 6e92054</t>
  </si>
  <si>
    <t>FB-027/REQ-034. 5 cards, size badges, AI ask field.</t>
  </si>
  <si>
    <t>BL-039</t>
  </si>
  <si>
    <t>Launchpad source links — Add document references and source links to each Launchpad section and KPI.</t>
  </si>
  <si>
    <t>Launchpad sources, commit dfdf1fd</t>
  </si>
  <si>
    <t>FB-028/REQ-035. Source URLs on 4 news cols + Top Opps.</t>
  </si>
  <si>
    <t>BL-040</t>
  </si>
  <si>
    <t>Professional visualizations — Chart/table nodes in workflows. Recharts interactive charts, pipeline funnels, budget treemaps, trend lines for leadership presentations.</t>
  </si>
  <si>
    <t>Recharts charts, commit c076261</t>
  </si>
  <si>
    <t>FB-029/REQ-036. BarChart + PieChart on Launchpad.</t>
  </si>
  <si>
    <t>BL-043</t>
  </si>
  <si>
    <t>Compliance Matrix Builder</t>
  </si>
  <si>
    <t>S-097. Qa0p2I5Qqi2lPeRN. AI parses RFP L/M/X.</t>
  </si>
  <si>
    <t>BL-044</t>
  </si>
  <si>
    <t>Relationship Tracker</t>
  </si>
  <si>
    <t>S-097. ck1NTtdvuqB7CQ81. Touchpoints + gap alerts.</t>
  </si>
  <si>
    <t>BL-045</t>
  </si>
  <si>
    <t>Win/Loss Database</t>
  </si>
  <si>
    <t>S-097. SpU3znFHHABYNmb9. AI pattern analysis.</t>
  </si>
  <si>
    <t>BL-101</t>
  </si>
  <si>
    <t>IDIQ Deep-Dive + TO Monitor</t>
  </si>
  <si>
    <t>S-097. 21 IDIQs. Daily SAM scan.</t>
  </si>
  <si>
    <t>BL-102</t>
  </si>
  <si>
    <t>On-Ramp Detection</t>
  </si>
  <si>
    <t>TO monitor searches SAM. Need explicit open-season scanner.</t>
  </si>
  <si>
    <t>BL-103</t>
  </si>
  <si>
    <t>Auto-Generate Capture Plans for All Tracked Opps</t>
  </si>
  <si>
    <t>AI must auto-generate and FULLY FILL OUT Shipley capture plans for every tracked opportunity. No blank sections. Shawn reviews to approve, change, or delete. Tool does ALL analysis — win themes, ghosting, teaming, pricing strategy, past performance mapping. Use capture-plan workflow (QgperN6cuOpfnb09) + opp tracker data + GovTribe + Tavily enrichment.</t>
  </si>
  <si>
    <t>Date</t>
  </si>
  <si>
    <t>What Was Completed</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</si>
  <si>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</si>
  <si>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</si>
  <si>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</si>
  <si>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</si>
  <si>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</si>
  <si>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</si>
  <si>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</si>
  <si>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</si>
  <si>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</si>
  <si>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</si>
  <si>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</si>
  <si>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</si>
  <si>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</si>
  <si>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</si>
  <si>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 COMPLETE</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</si>
  <si>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</si>
  <si>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</si>
  <si>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</si>
  <si>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</si>
  <si>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</si>
  <si>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</si>
  <si>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</si>
  <si>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</si>
  <si>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</si>
  <si>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</si>
  <si>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</si>
  <si>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</si>
  <si>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</si>
  <si>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</si>
  <si>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</si>
  <si>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</si>
  <si>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</si>
  <si>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</si>
  <si>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</si>
  <si>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</si>
  <si>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</si>
  <si>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</si>
  <si>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</si>
  <si>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</si>
  <si>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</si>
  <si>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</si>
  <si>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</si>
  <si>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</si>
  <si>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</si>
  <si>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</si>
  <si>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</si>
  <si>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</si>
  <si>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</si>
  <si>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</si>
  <si>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</si>
  <si>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</si>
  <si>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</si>
  <si>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</si>
  <si>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</si>
  <si>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</si>
  <si>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</si>
  <si>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</si>
  <si>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</si>
  <si>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</si>
  <si>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</si>
  <si>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</si>
  <si>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</si>
  <si>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</si>
  <si>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</si>
  <si>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</si>
  <si>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</si>
  <si>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</si>
  <si>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</si>
  <si>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</si>
  <si>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</si>
  <si>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</si>
  <si>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</si>
  <si>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</si>
  <si>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</si>
  <si>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</si>
  <si>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</si>
  <si>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</si>
  <si>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</si>
  <si>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</si>
  <si>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</si>
  <si>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</si>
  <si>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</si>
  <si>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S-071</t>
  </si>
  <si>
    <t>COMPLETE</t>
  </si>
  <si>
    <t>5 deploys + 3 WF fixes. All 6 priority items done. E2E: 25/25 PASS (100%). WOW charts: RadarChart (OppTracker), AreaChart (Launchpad trend), CartesianGrid, Legend. Fixed 3 webhook path mismatches + 3 auth key inconsistencies. All auth standardized to gda-deploy-2026-secure.</t>
  </si>
  <si>
    <t>Deploy 5a build fail (syntax) - restored and retried clean.</t>
  </si>
  <si>
    <t>Priority 4: Page-by-page with Shawn. Continue chart upgrades on remaining 9 pages without charts.</t>
  </si>
  <si>
    <t>HEAD: 529945c. Commits: b240abb d55c3f3 d5bb207 82d0063 529945c. ~1652 lines.</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</si>
  <si>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</si>
  <si>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</si>
  <si>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</si>
  <si>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</si>
  <si>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</si>
  <si>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</si>
  <si>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</si>
  <si>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</si>
  <si>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</si>
  <si>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</si>
  <si>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</si>
  <si>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</si>
  <si>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</si>
  <si>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</si>
  <si>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</si>
  <si>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</si>
  <si>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</si>
  <si>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</si>
  <si>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</si>
  <si>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</si>
  <si>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</si>
  <si>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</si>
  <si>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</si>
  <si>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</si>
  <si>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</si>
  <si>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</si>
  <si>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</si>
  <si>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</si>
  <si>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</si>
  <si>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</si>
  <si>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</si>
  <si>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</si>
  <si>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</si>
  <si>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</si>
  <si>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</si>
  <si>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</si>
  <si>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</si>
  <si>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</si>
  <si>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</si>
  <si>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</si>
  <si>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</si>
  <si>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</si>
  <si>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</si>
  <si>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S-075</t>
  </si>
  <si>
    <t>FULL SESSION: (1) Master Build v12.4→v12.5 — 7 fixes, 0 formula errors. Dashboard COUNTIF wildcard fix (8 phantom REQs→0). Architecture corrected (NO NETLIFY). (2) Strategic Roadmap sheet created — 5 guardrails, 7 features, 7 AI directives, autonomy matrix. (3) Trade Control scan fixed (200 OK, 62ms). (4) Trading tables created (journal 21 cols + signals 17 cols + $100 seed). (5) Trade Engine audit — already protected with dual-format try/catch. (6) Git push confirmed up-to-date. (7) GovTribe MCP connected + verified — pulled 6 live SOCOM opps. (8) Warfighter EO verified (real Jan 7 2026 policy). (9) Gemini brainstorm analyzed — 30% new, 40% existing, 30% unverified. (10) KPI centering deployed (57c0282). (11) Risk Cube + Intel Feed frontend prototypes built. (12) GDA Master gist update drafted.</t>
  </si>
  <si>
    <t>Desktop MCP offline entire session — browser relay mode. GovTribe tools not loading in desktop app (OAuth works but tool_search returns nothing). Comp-intel still blocked (Tavily/GovWin). Schwab OAuth pending Mon 9:30 AM.</t>
  </si>
  <si>
    <t>S-076: (1) Daily Briefing workflow + frontend modal. (2) GovTribe intel feed in Opp Tracker. (3) Schwab OAuth. (4) Tavily/GovWin refresh. (5) Risk Tab backend + deploy. (6) AI Agent prompt update (7 new directives). (7) Page-by-page walkthrough.</t>
  </si>
  <si>
    <t>v12.5 final. 12 deliverables. Desktop MCP offline, browser relay. GovTribe live. Commit 57c0282.</t>
  </si>
  <si>
    <t>S-076</t>
  </si>
  <si>
    <t>S-076 FULLY COMPLETE. 9/9 TASKS + SCHWAB LIVE. (1) AI Agent 7 directives ✅. (2) risk_register table ✅. (3) Risk API ✅. (4) Daily Briefing workflow ✅ 06:00 UTC. (5) Risk Tab DEPLOYED ✅ 62e114a. (6) Trading indexes ✅. (7) Gist → S-077. (8) SCHWAB OAUTH COMPLETE ✅ — tokens in DB, account hash stored, token refresh scheduler active (QDtXXMqp0JEAYbkc), schwab-trade + schwab-accounts fixed, FIRST LIVE TRADE: F x1 MARKET BUY HTTP 201 from Schwab, Trade Engine full pipeline test: 20 nodes, 34 sec, end-to-end ✅. gda_trade_scans table created — analysis persists every run. gda_schwab_accounts table created. (9) Opp Tracker: 29 opps / 11 depts ✅, frontend + refresh → S-077. ALSO: GovTribe MCP connected. Chart spec created. Autonomy rule documented (3 sheets + memory). Trade Engine risk params: 2%/25%/6% proportional scaling.</t>
  </si>
  <si>
    <t>Briefing modal not in frontend yet. Opp Tracker frontend needs redesign. Gist not updated. Charts need overhaul per spec. schwab-trade and schwab-accounts webhooks need curl verification.</t>
  </si>
  <si>
    <t>S-077: (1) Frontend: Trade tab reads gda_trade_scans + displays analysis/signals. (2) GDA.api.trade-scans webhook for frontend. (3) Verify schwab-trade + schwab-accounts webhooks via curl. (4) Monday 9:30 AM live test — real market data, real signals, GREEN tier auto-execute. (5) Opp Tracker frontend redesign + daily GovTribe refresh. (6) Launchpad Briefing modal deploy. (7) Charts overhaul (decision-driving only). (8) GDA Master gist update (S-075 + S-076). (9) E2E test all endpoints.</t>
  </si>
  <si>
    <t>HEAD: 62e114a, 1801 lines. 56+ active workflows. 18+ Postgres tables (+risk_register, +gda_daily_briefings, +opportunity_alerts, +gda_trade_scans, +gda_schwab_accounts). FIRST LIVE SCHWAB TRADE EXECUTED. F x1 MARKET BUY, HTTP 201. Trade Engine: 20 nodes, 34s full pipeline. Token refresh active. Desktop MCP offline, browser relay mode both sessions.</t>
  </si>
  <si>
    <t>S-080</t>
  </si>
  <si>
    <t>Web MCP</t>
  </si>
  <si>
    <t>7/8 tasks done. Verified 18 pages in PAGES map. OODA Loop SOCOM test: 4 phases, confidence 72, PURSUE. Intel Feed: 7 alerts. daily-trends activated + SQL fixed + 9 metrics seeded. gda-risk toggled. OODA wheel SVG expanded (f7800eb). Launchpad already white. Chrome verified: Launchpad/OODA/OppTracker PASS.</t>
  </si>
  <si>
    <t>MCP disconnected mid-session (n8n restart). Intel Feed missing from sidebar. SITREP "Failed to fetch". gda-trends webhook 404 (needs UI toggle).</t>
  </si>
  <si>
    <t>S-081: Add Intel Feed to sidebar. Fix SITREP fetch. Toggle gda-trends in n8n UI. Wire Tavily + GovTribe. 18-tab walkthrough.</t>
  </si>
  <si>
    <t>f7800eb | 2233 lines | 1 deploy</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</si>
  <si>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</si>
  <si>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</si>
  <si>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</si>
  <si>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</si>
  <si>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</si>
  <si>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</si>
  <si>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</si>
  <si>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</si>
  <si>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</si>
  <si>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</si>
  <si>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</si>
  <si>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</si>
  <si>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</si>
  <si>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</si>
  <si>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</si>
  <si>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</si>
  <si>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</si>
  <si>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</si>
  <si>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S-052</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</si>
  <si>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</si>
  <si>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</si>
  <si>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</si>
  <si>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</si>
  <si>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</si>
  <si>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</si>
  <si>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</si>
  <si>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</si>
  <si>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</si>
  <si>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</si>
  <si>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</si>
  <si>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</si>
  <si>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</si>
  <si>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</si>
  <si>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S-083</t>
  </si>
  <si>
    <t>Desktop build: 6 tasks built (Tavily Intel Feed, Tavily OODA, GovTribe pipeline, 18-tab audit, Launchpad trend charts, endpoint auto-fix). 8 files produced. 0 deploys.</t>
  </si>
  <si>
    <t>None (desktop session)</t>
  </si>
  <si>
    <t>Deploy all builds in web MCP session</t>
  </si>
  <si>
    <t>HEAD unchanged: beb2cbe, 2234 lines</t>
  </si>
  <si>
    <t>S-084</t>
  </si>
  <si>
    <t>Web MCP: Enhanced IntelFeedPage deployed (SOURCE_LABELS, URGENCY_COLORS, DEPT_OPTIONS, fetchIntel, filters, source toggles). Tavily+OODA confirmed wired. GovTribe MCP connected.</t>
  </si>
  <si>
    <t>T6 trend hook, T5 GovTribe pipeline, SITREP verify, 18-tab sweep still pending</t>
  </si>
  <si>
    <t>S-085: Deploy T6+T5, trend charts, SITREP verify, full 18-tab test</t>
  </si>
  <si>
    <t>HEAD: 4801466, 2272 lines. 1 deploy.</t>
  </si>
  <si>
    <t>S-060</t>
  </si>
  <si>
    <t>2026-03-13</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</si>
  <si>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</si>
  <si>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</si>
  <si>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</si>
  <si>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</si>
  <si>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</si>
  <si>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</si>
  <si>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</si>
  <si>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</si>
  <si>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</si>
  <si>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S-062</t>
  </si>
  <si>
    <t>S-062: Sidebar fix + Launchpad full rebuild. 6-KPI bar, Top Opps table, 4-col news grid, Acq Topic, AI Intel Brief. Commit c6cae2b. BUILD_EXIT_CODE_0 (3.95s). Netlify auto-builds.</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</si>
  <si>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</si>
  <si>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</si>
  <si>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</si>
  <si>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</si>
  <si>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</si>
  <si>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</si>
  <si>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</si>
  <si>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S-065</t>
  </si>
  <si>
    <t>BL-033 formatDollars + BL-035 KPI center DEPLOYED. BL-034/036/039 built in memory but UnicodeEncodeError on emoji surrogates. File NOT written — App.jsx clean at ce244a8.</t>
  </si>
  <si>
    <t>Python UnicodeEncodeError on emoji surrogates. Patches verified in memory but file.write() crashed.</t>
  </si>
  <si>
    <t>Redeploy BL-034/036/039 without emoji. Then BL-037/038/040/031.</t>
  </si>
  <si>
    <t>BUILD_EXIT_CODE_0. Commit ce244a8. formatDollars + KPI centering deployed.</t>
  </si>
  <si>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</si>
  <si>
    <t>Found App.jsx at 0 bytes (HEAD 199014b). Restored from ce244a8 before patching. No regressions.</t>
  </si>
  <si>
    <t>E2E tab-by-tab test. Wire charts to live data. External API keys. Update GDA Master Gist.</t>
  </si>
  <si>
    <t>Git tag: s066-all-bl-deployed. Commits: dfdf1fd, 6e92054, 77cab87, c076261. Backlog: 0 open.</t>
  </si>
  <si>
    <t>S-069</t>
  </si>
  <si>
    <t>2026-03-14</t>
  </si>
  <si>
    <t>7 deploys: LP-002/004/006/008 drill-downs, RT-001-005 Red Team (doc upload+chat+9 types), AI-001-006 Agent rebuild (doc upload+save/delete+history), PR-001-003+RAG-001, CI-007/008/009 (14 competitors+size filter), TC-001-004 charts+AI chat, OPS-001-003. OT-008 confirmed done.</t>
  </si>
  <si>
    <t>None. All 7 builds clean.</t>
  </si>
  <si>
    <t>S-070 started same session.</t>
  </si>
  <si>
    <t>ee97c2f, e987b3a, 78a29d3, d32758f, f77e64a, d1a6296, 6e26583. 1462 lines.</t>
  </si>
  <si>
    <t>S-070</t>
  </si>
  <si>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</si>
  <si>
    <t>0-byte file crash from Python emoji surrogate encoding. Restored from git f8d8aba. Heredoc hex escapes also broke emoji — had to extract emoji lines from original file via sed. LESSON: Never construct emoji in Python or bash heredocs — always extract from existing file.</t>
  </si>
  <si>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</si>
  <si>
    <t>Commits: f8d8aba→677ffbc. 12 successful deploys + 2 no-ops. n8n restarted for auth key batch fix.</t>
  </si>
  <si>
    <t>CompIntel component was function CompIntel() not const CompetitiveIntelPage — required recon to identify correct pattern.</t>
  </si>
  <si>
    <t>S-070c</t>
  </si>
  <si>
    <t>Deploys 20-22: (1) Action Items title bug - items showed "medium" instead of item text, fixed with i.item||i.title fallback + all status comparisons case-insensitive. (2) SAM.gov removed from Launchpad - SourceTags, opp name links, Acq News source. (3) Sidebar Action Items button at bottom, floating FAB removed. (4) IDIQ On-Ramp Search new page under BD nav. (5) Recharts pie+bar charts on Action Items page.</t>
  </si>
  <si>
    <t>MCP n8n tools did not load (connector listed but tools not indexed at session start). GitHub token expired (ghp_45y... returns 401). File download from Claude outputs failed. Build crashed once from corrupted App.jsx (sed script stripped newlines). Recovered via git checkout.</t>
  </si>
  <si>
    <t>Update GDA Master gist. Rotate GitHub PAT. Fix MCP connector (start new chat to re-init). CI-002-006 still blocked. AI-006 global knowledge. SMTP creds for trade email alert workflow.</t>
  </si>
  <si>
    <t>Commits: e1948b9, b42642b (reverted 9ebc2e5, 74d80f2), 47b6602. Deployed via SCP+SSH (no MCP). Base64 Python patch script approach worked for bulk changes. sed line-targeted approach for small fixes.</t>
  </si>
  <si>
    <t>S-070b</t>
  </si>
  <si>
    <t>✅ IN PROGRESS</t>
  </si>
  <si>
    <t>CI-002-006 CompIntel rebuilt as free-text research tool (not dropdown). USASOC separated from SOCOM. 3 webhook 404s fixed (comp-intel, pptx, target-agencies). OppTracker API call fixed. Program detail card: score breakdown (Need/40+Fin/30+OODA/30), so_what analysis, EIS/PD/Riverstone fit, capture action, SAM links, incumbents. Launchpad: centered KPIs, live data charts, intelligence table (Score/Urgency/Fit/Capture Action), drill modals with real programs, news links fixed, DoW. Sidebar Action Items -&gt; quick-add card. 4GB swap added. n8n crash recovered. Daily opp sync schedule trigger. DB DoD-&gt;DoW.</t>
  </si>
  <si>
    <t>n8n crashed (96% memory from opp sync). MCP tools dropped end of session (n8n restart). Build failures on so_what subtitle row (JSX fragment issue). Opp sync producing 0 new items.</t>
  </si>
  <si>
    <t>1) E2E retest (paused at Launchpad). 2) Charts visual upgrade. 3) Fix opp sync data feed. 4) Continue 6-point intelligence overhaul. 5) GitHub PAT rotation. 6) GDA Master gist update. 7) Trade email SMTP creds.</t>
  </si>
  <si>
    <t>24 deploys (23-46). HEAD d2d376f. 1628 lines. n8n v2.37.1. 4GB swap active. Memory stable at 15% (was 96% before crash).</t>
  </si>
  <si>
    <t>S-072 (infra)</t>
  </si>
  <si>
    <t>INFRASTRUCTURE FIXES. (1) n8n crash-loop fix: ERR_ERL_UNEXPECTED_X_FORWARDED_FOR — added N8N_PROXY_HOPS=1 to ~/n8n-envision/docker-compose.yml environment. (2) Removed rogue root-oauth-1 container with broken Traefik rule (PathPrefix syntax error) spamming Traefik error logs. (3) Verified MCP endpoint healthy: 20 tools serving via mcp.csr-llc.tech/mcp. (4) Verified n8n API key in MCP container still valid (200 on /api/v1/workflows). (5) Confirmed TLS certs exist for n8n/mcp/gda subdomains in acme.json.</t>
  </si>
  <si>
    <t>n8n was crash-looping on X-Forwarded-For header from Traefik (express-rate-limit ERR_ERL_UNEXPECTED_X_FORWARDED_FOR). root-oauth-1 container had broken Traefik router rule (PathPrefix without backticks). MCP connector in Claude.ai shows Configure not Connected — tools did not load this session despite healthy server.</t>
  </si>
  <si>
    <t>1) Start new Claude chat — MCP should now load (server confirmed 20 tools). 2) If still shows Configure: investigate Claude.ai connector auth handshake. 3) Consider cron health-check script to auto-restart n8n/MCP if they drop.</t>
  </si>
  <si>
    <t>No code deploys. Infra-only session.</t>
  </si>
  <si>
    <t>Desktop Claude</t>
  </si>
  <si>
    <t>Full S-077 Build: Charts + Briefing + Opp Tracker + Trade Scans + Risks + Pre-Market + Scoring + Verification + Web Prompt</t>
  </si>
  <si>
    <t>11 deliverables: 4 JSX files (~60KB), 5 MD files, 1 JS algo, 1 XLSX update. All MCP tasks compiled into single web prompt.</t>
  </si>
  <si>
    <t>COMPLETE (Desktop)</t>
  </si>
  <si>
    <t>11 deliverables</t>
  </si>
  <si>
    <t>Pending MCP deploy via web prompt</t>
  </si>
  <si>
    <t>S-077 (Web)</t>
  </si>
  <si>
    <t>Browser MCP</t>
  </si>
  <si>
    <t>Backend deploy: trade-scans workflow, opp-refresh workflow, 3 tables, 20 GovTribe opps, E2E test</t>
  </si>
  <si>
    <t>RIS6TTn5W4Ytl2Up (trade-scans), PeLGDqgLAsEh5Gsd (opp-refresh). 8/13 endpoints passing. 17 GDA tables. Frontend deploy deferred to S-078.</t>
  </si>
  <si>
    <t>COMPLETE (Backend)</t>
  </si>
  <si>
    <t>2 workflows + 3 tables + 20 opps</t>
  </si>
  <si>
    <t>Frontend deploy → S-078</t>
  </si>
  <si>
    <t>S-087</t>
  </si>
  <si>
    <t>MEGA SESSION: 25+ deploys. Trading fix, opp restore, $1.1B values, DoD 4-level hierarchy, 295 opps (SAM+GovTribe), SITREP, Red Team, Doc Compare, inline OODA, predictive insights, scoring legend, state persistence, budget format, clickable programs with AI. Master Build v25 with 8 new tabs.</t>
  </si>
  <si>
    <t>MCP memory leak OOM-killed n8n once. Fit scores temporarily broken by 0-10 vs 0-100 scale mismatch. DELETE FROM wiped all opps once.</t>
  </si>
  <si>
    <t>Risk register, SAM enrichment, score 295 opps, capture intel, passwords, PAM/TAM/SAM/SOM</t>
  </si>
  <si>
    <t>25+ deploys, 295 opps, ~2500 lines</t>
  </si>
  <si>
    <t>S-092</t>
  </si>
  <si>
    <t>E2E 0%→100% (28/28). 118+ changes. RFP Scanner multi-doc. Dashboard Intel 90s→1.4s. Nav consolidated (17 tabs). Risk Register rebuilt. Pwin badges. IDIQ &amp; NDAA Intel. Document Hub. Platform Guide auto-gen. Operating Doctrine ingested.</t>
  </si>
  <si>
    <t>3 slow workflows (Comp 52s, Proactive 40s). Daily SITREP sections slow. GovWin creds may need refresh.</t>
  </si>
  <si>
    <t>Verify CC deploys. GDA Core architecture. FAR/NDAA ingestion. Golden Dome. Zero static data audit.</t>
  </si>
  <si>
    <t>CC: 93 changes. Chat: 25+. CC fully operational on PowerShell 7 Max.</t>
  </si>
  <si>
    <t>S-093</t>
  </si>
  <si>
    <t>QA audit: 91 data integrity findings→0. Pipeline→Opps, CSR→GDA, window hacks removed. Watchlist rich cards. AI Agent→Opus. SITREP field mapping. E1-E8 all verified present.</t>
  </si>
  <si>
    <t>Comp Intel 52s timeout (expected). DEPT_MARKET_DATA still hardcoded.</t>
  </si>
  <si>
    <t>GDA Core architecture. Pinecone doctrine. Frontend modularization.</t>
  </si>
  <si>
    <t>S-097</t>
  </si>
  <si>
    <t>2026-03-22</t>
  </si>
  <si>
    <t>4 bug fixes, 3 Shipley backends+frontends (BL-043/044/045), Platform Health page, Gemini E2E cron fixed, IDIQ tracker (21 vehicles, 7 held), Dept sweep, DPC forecast, DHS monitor, CompIntel 11Q rebuild, webhookId discovery, 4 redundant workflows deactivated. 12 deploys.</t>
  </si>
  <si>
    <t>Vulcan-SOF API parked (need token). Deploy stdout broken for READ_ONLY.</t>
  </si>
  <si>
    <t>Seed Relationships + Win/Loss. BL-102 On-Ramp full scanner. FAR/DFARS/NDAA ingestion.</t>
  </si>
  <si>
    <t>HEAD: cf5ad50. 90+ workflows. 34 E2E endpoints. $489B IDIQ ceiling tracked.</t>
  </si>
  <si>
    <t>S-102c</t>
  </si>
  <si>
    <t>2026-03-25</t>
  </si>
  <si>
    <t>AOP Tracker 2-tab (Execution+Capture) + Contract Waterfall tab. 7% YoY corrected. 37 AOP scenarios documented. CC deploys via tar+SSH.</t>
  </si>
  <si>
    <t>Webhook deploy pipeline &gt;22K limit. Fake contract data from CC needs replacement.</t>
  </si>
  <si>
    <t>Step-by-step review of all 3 tabs. Replace fake data with GovTribe. Connect Waterfall→AOP.</t>
  </si>
  <si>
    <t>CC-deployed via tar+SSH</t>
  </si>
  <si>
    <t>Test #</t>
  </si>
  <si>
    <t>Test Description</t>
  </si>
  <si>
    <t>Detail / Output</t>
  </si>
  <si>
    <t>Session</t>
  </si>
  <si>
    <t>Timestamp</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</si>
  <si>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</si>
  <si>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</si>
  <si>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</si>
  <si>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</si>
  <si>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</si>
  <si>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</si>
  <si>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</si>
  <si>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</si>
  <si>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</si>
  <si>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</si>
  <si>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</si>
  <si>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</si>
  <si>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</si>
  <si>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</si>
  <si>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</si>
  <si>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</si>
  <si>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</si>
  <si>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</si>
  <si>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</si>
  <si>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</si>
  <si>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</si>
  <si>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</si>
  <si>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</si>
  <si>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</si>
  <si>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</si>
  <si>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</si>
  <si>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</si>
  <si>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</si>
  <si>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</si>
  <si>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</si>
  <si>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</si>
  <si>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</si>
  <si>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</si>
  <si>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</si>
  <si>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</si>
  <si>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</si>
  <si>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</si>
  <si>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</si>
  <si>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</si>
  <si>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</si>
  <si>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</si>
  <si>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</si>
  <si>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</si>
  <si>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</si>
  <si>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</si>
  <si>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</si>
  <si>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</si>
  <si>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</si>
  <si>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</si>
  <si>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</si>
  <si>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</si>
  <si>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</si>
  <si>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</si>
  <si>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</si>
  <si>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</si>
  <si>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</si>
  <si>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</si>
  <si>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</si>
  <si>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</si>
  <si>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</si>
  <si>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</si>
  <si>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</si>
  <si>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</si>
  <si>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</si>
  <si>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</si>
  <si>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</si>
  <si>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</si>
  <si>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</si>
  <si>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</si>
  <si>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</si>
  <si>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</si>
  <si>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</si>
  <si>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</si>
  <si>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</si>
  <si>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</si>
  <si>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</si>
  <si>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</si>
  <si>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</si>
  <si>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</si>
  <si>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</si>
  <si>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</si>
  <si>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</si>
  <si>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</si>
  <si>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</si>
  <si>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</si>
  <si>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</si>
  <si>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</si>
  <si>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</si>
  <si>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</si>
  <si>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</si>
  <si>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</si>
  <si>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</si>
  <si>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</si>
  <si>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</si>
  <si>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</si>
  <si>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</si>
  <si>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</si>
  <si>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</si>
  <si>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</si>
  <si>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</si>
  <si>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</si>
  <si>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</si>
  <si>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</si>
  <si>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</si>
  <si>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</si>
  <si>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</si>
  <si>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</si>
  <si>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</si>
  <si>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</si>
  <si>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</si>
  <si>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</si>
  <si>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</si>
  <si>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</si>
  <si>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</si>
  <si>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</si>
  <si>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</si>
  <si>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</si>
  <si>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</si>
  <si>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</si>
  <si>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</si>
  <si>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</si>
  <si>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</si>
  <si>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</si>
  <si>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</si>
  <si>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</si>
  <si>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</si>
  <si>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</si>
  <si>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</si>
  <si>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</si>
  <si>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</si>
  <si>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</si>
  <si>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</si>
  <si>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</si>
  <si>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</si>
  <si>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</si>
  <si>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</si>
  <si>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</si>
  <si>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</si>
  <si>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</si>
  <si>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</si>
  <si>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</si>
  <si>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</si>
  <si>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</si>
  <si>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</si>
  <si>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</si>
  <si>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</si>
  <si>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</si>
  <si>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</si>
  <si>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</si>
  <si>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</si>
  <si>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</si>
  <si>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</si>
  <si>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</si>
  <si>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</si>
  <si>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</si>
  <si>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</si>
  <si>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</si>
  <si>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</si>
  <si>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</si>
  <si>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</si>
  <si>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</si>
  <si>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</si>
  <si>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</si>
  <si>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</si>
  <si>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</si>
  <si>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</si>
  <si>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</si>
  <si>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</si>
  <si>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</si>
  <si>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</si>
  <si>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</si>
  <si>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</si>
  <si>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</si>
  <si>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</si>
  <si>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</si>
  <si>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</si>
  <si>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</si>
  <si>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</si>
  <si>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</si>
  <si>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</si>
  <si>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</si>
  <si>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</si>
  <si>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</si>
  <si>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</si>
  <si>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</si>
  <si>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</si>
  <si>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</si>
  <si>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</si>
  <si>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</si>
  <si>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</si>
  <si>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</si>
  <si>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</si>
  <si>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</si>
  <si>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</si>
  <si>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</si>
  <si>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</si>
  <si>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</si>
  <si>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</si>
  <si>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</si>
  <si>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</si>
  <si>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</si>
  <si>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</si>
  <si>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</si>
  <si>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</si>
  <si>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</si>
  <si>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</si>
  <si>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</si>
  <si>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</si>
  <si>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</si>
  <si>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</si>
  <si>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</si>
  <si>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</si>
  <si>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</si>
  <si>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</si>
  <si>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</si>
  <si>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</si>
  <si>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</si>
  <si>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</si>
  <si>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</si>
  <si>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</si>
  <si>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</si>
  <si>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</si>
  <si>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</si>
  <si>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</si>
  <si>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</si>
  <si>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</si>
  <si>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</si>
  <si>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</si>
  <si>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</si>
  <si>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</si>
  <si>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</si>
  <si>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</si>
  <si>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</si>
  <si>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</si>
  <si>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</si>
  <si>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</si>
  <si>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</si>
  <si>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</si>
  <si>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</si>
  <si>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</si>
  <si>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</si>
  <si>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</si>
  <si>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</si>
  <si>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</si>
  <si>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</si>
  <si>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</si>
  <si>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</si>
  <si>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</si>
  <si>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</si>
  <si>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</si>
  <si>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</si>
  <si>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</si>
  <si>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</si>
  <si>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</si>
  <si>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</si>
  <si>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</si>
  <si>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</si>
  <si>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</si>
  <si>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</si>
  <si>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</si>
  <si>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</si>
  <si>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</si>
  <si>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</si>
  <si>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</si>
  <si>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</si>
  <si>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</si>
  <si>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</si>
  <si>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</si>
  <si>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</si>
  <si>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</si>
  <si>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</si>
  <si>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</si>
  <si>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</si>
  <si>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</si>
  <si>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</si>
  <si>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</si>
  <si>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</si>
  <si>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</si>
  <si>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</si>
  <si>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</si>
  <si>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</si>
  <si>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</si>
  <si>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</si>
  <si>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</si>
  <si>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</si>
  <si>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</si>
  <si>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</si>
  <si>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</si>
  <si>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</si>
  <si>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</si>
  <si>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</si>
  <si>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</si>
  <si>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</si>
  <si>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</si>
  <si>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</si>
  <si>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</si>
  <si>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</si>
  <si>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</si>
  <si>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</si>
  <si>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</si>
  <si>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</si>
  <si>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</si>
  <si>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</si>
  <si>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</si>
  <si>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</si>
  <si>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</si>
  <si>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</si>
  <si>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</si>
  <si>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</si>
  <si>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</si>
  <si>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</si>
  <si>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</si>
  <si>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</si>
  <si>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</si>
  <si>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</si>
  <si>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</si>
  <si>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</si>
  <si>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</si>
  <si>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</si>
  <si>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</si>
  <si>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</si>
  <si>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</si>
  <si>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</si>
  <si>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</si>
  <si>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</si>
  <si>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</si>
  <si>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</si>
  <si>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</si>
  <si>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</si>
  <si>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</si>
  <si>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</si>
  <si>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</si>
  <si>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</si>
  <si>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</si>
  <si>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</si>
  <si>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</si>
  <si>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</si>
  <si>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</si>
  <si>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</si>
  <si>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</si>
  <si>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</si>
  <si>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</si>
  <si>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</si>
  <si>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</si>
  <si>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</si>
  <si>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</si>
  <si>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</si>
  <si>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</si>
  <si>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</si>
  <si>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</si>
  <si>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</si>
  <si>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</si>
  <si>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</si>
  <si>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</si>
  <si>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</si>
  <si>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</si>
  <si>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</si>
  <si>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</si>
  <si>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</si>
  <si>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</si>
  <si>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</si>
  <si>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</si>
  <si>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</si>
  <si>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</si>
  <si>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</si>
  <si>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</si>
  <si>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</si>
  <si>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</si>
  <si>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</si>
  <si>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</si>
  <si>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</si>
  <si>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</si>
  <si>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</si>
  <si>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POST /gda-opp-search {query:'training simulation'}</t>
  </si>
  <si>
    <t>❌ NOT FOUND</t>
  </si>
  <si>
    <t>Workflow resource not found. SAME as T-021. Needs toggle.</t>
  </si>
  <si>
    <t>✅ RESOLVED S-033 — Opp Search now PASS (T-137). Working.</t>
  </si>
  <si>
    <t>T-067</t>
  </si>
  <si>
    <t>POST /daily-sitrep-status</t>
  </si>
  <si>
    <t>Signal aborted at 30s. Long-running AI aggregation. Same as T-002.</t>
  </si>
  <si>
    <t>Expected — heavy query</t>
  </si>
  <si>
    <t>T-068</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</si>
  <si>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</si>
  <si>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</si>
  <si>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</si>
  <si>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</si>
  <si>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</si>
  <si>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</si>
  <si>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</si>
  <si>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</si>
  <si>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</si>
  <si>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</si>
  <si>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</si>
  <si>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</si>
  <si>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</si>
  <si>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</si>
  <si>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</si>
  <si>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</si>
  <si>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</si>
  <si>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</si>
  <si>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</si>
  <si>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</si>
  <si>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</si>
  <si>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</si>
  <si>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</si>
  <si>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</si>
  <si>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</si>
  <si>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</si>
  <si>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</si>
  <si>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</si>
  <si>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</si>
  <si>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</si>
  <si>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</si>
  <si>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</si>
  <si>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</si>
  <si>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</si>
  <si>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</si>
  <si>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</si>
  <si>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</si>
  <si>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</si>
  <si>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</si>
  <si>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</si>
  <si>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</si>
  <si>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</si>
  <si>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</si>
  <si>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</si>
  <si>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</si>
  <si>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</si>
  <si>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</si>
  <si>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</si>
  <si>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</si>
  <si>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</si>
  <si>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</si>
  <si>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</si>
  <si>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</si>
  <si>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</si>
  <si>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</si>
  <si>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</si>
  <si>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</si>
  <si>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</si>
  <si>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</si>
  <si>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</si>
  <si>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</si>
  <si>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</si>
  <si>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</si>
  <si>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</si>
  <si>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</si>
  <si>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</si>
  <si>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</si>
  <si>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</si>
  <si>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</si>
  <si>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</si>
  <si>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</si>
  <si>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</si>
  <si>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</si>
  <si>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</si>
  <si>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</si>
  <si>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</si>
  <si>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</si>
  <si>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</si>
  <si>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</si>
  <si>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</si>
  <si>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</si>
  <si>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</si>
  <si>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</si>
  <si>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</si>
  <si>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</si>
  <si>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</si>
  <si>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</si>
  <si>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</si>
  <si>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</si>
  <si>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</si>
  <si>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</si>
  <si>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</si>
  <si>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</si>
  <si>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</si>
  <si>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</si>
  <si>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</si>
  <si>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</si>
  <si>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</si>
  <si>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</si>
  <si>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</si>
  <si>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</si>
  <si>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</si>
  <si>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</si>
  <si>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</si>
  <si>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</si>
  <si>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</si>
  <si>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</si>
  <si>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</si>
  <si>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</si>
  <si>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</si>
  <si>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</si>
  <si>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</si>
  <si>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</si>
  <si>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</si>
  <si>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</si>
  <si>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</si>
  <si>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</si>
  <si>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</si>
  <si>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</si>
  <si>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</si>
  <si>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</si>
  <si>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</si>
  <si>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</si>
  <si>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</si>
  <si>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</si>
  <si>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</si>
  <si>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</si>
  <si>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</si>
  <si>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</si>
  <si>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</si>
  <si>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</si>
  <si>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</si>
  <si>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</si>
  <si>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</si>
  <si>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</si>
  <si>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</si>
  <si>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</si>
  <si>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</si>
  <si>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</si>
  <si>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</si>
  <si>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</si>
  <si>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</si>
  <si>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</si>
  <si>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</si>
  <si>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</si>
  <si>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</si>
  <si>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</si>
  <si>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</si>
  <si>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</si>
  <si>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</si>
  <si>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</si>
  <si>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</si>
  <si>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</si>
  <si>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</si>
  <si>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</si>
  <si>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</si>
  <si>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</si>
  <si>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</si>
  <si>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</si>
  <si>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</si>
  <si>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</si>
  <si>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</si>
  <si>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</si>
  <si>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</si>
  <si>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</si>
  <si>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</si>
  <si>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</si>
  <si>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</si>
  <si>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</si>
  <si>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</si>
  <si>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</si>
  <si>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</si>
  <si>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</si>
  <si>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</si>
  <si>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</si>
  <si>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</si>
  <si>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</si>
  <si>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</si>
  <si>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</si>
  <si>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</si>
  <si>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</si>
  <si>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</si>
  <si>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</si>
  <si>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</si>
  <si>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</si>
  <si>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</si>
  <si>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</si>
  <si>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</si>
  <si>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</si>
  <si>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</si>
  <si>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</si>
  <si>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</si>
  <si>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</si>
  <si>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</si>
  <si>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</si>
  <si>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</si>
  <si>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</si>
  <si>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</si>
  <si>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</si>
  <si>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</si>
  <si>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</si>
  <si>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</si>
  <si>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</si>
  <si>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</si>
  <si>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</si>
  <si>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</si>
  <si>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</si>
  <si>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</si>
  <si>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</si>
  <si>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</si>
  <si>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</si>
  <si>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</si>
  <si>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</si>
  <si>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</si>
  <si>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</si>
  <si>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</si>
  <si>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</si>
  <si>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</si>
  <si>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</si>
  <si>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</si>
  <si>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</si>
  <si>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</si>
  <si>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</si>
  <si>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</si>
  <si>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</si>
  <si>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</si>
  <si>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</si>
  <si>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</si>
  <si>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</si>
  <si>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</si>
  <si>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</si>
  <si>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</si>
  <si>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</si>
  <si>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</si>
  <si>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</si>
  <si>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</si>
  <si>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</si>
  <si>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</si>
  <si>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</si>
  <si>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</si>
  <si>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</si>
  <si>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</si>
  <si>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</si>
  <si>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</si>
  <si>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</si>
  <si>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</si>
  <si>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</si>
  <si>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</si>
  <si>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</si>
  <si>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</si>
  <si>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</si>
  <si>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</si>
  <si>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</si>
  <si>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</si>
  <si>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</si>
  <si>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</si>
  <si>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24 of 31 API endpoints</t>
  </si>
  <si>
    <t>All returning 200 OK with valid data or proper responseNode empty body</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</si>
  <si>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</si>
  <si>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</si>
  <si>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</si>
  <si>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</si>
  <si>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</si>
  <si>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</si>
  <si>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</si>
  <si>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</si>
  <si>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</si>
  <si>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</si>
  <si>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</si>
  <si>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</si>
  <si>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</si>
  <si>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</si>
  <si>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</si>
  <si>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</si>
  <si>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</si>
  <si>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</si>
  <si>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</si>
  <si>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</si>
  <si>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</si>
  <si>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</si>
  <si>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</si>
  <si>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</si>
  <si>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</si>
  <si>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</si>
  <si>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</si>
  <si>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</si>
  <si>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</si>
  <si>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</si>
  <si>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</si>
  <si>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</si>
  <si>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</si>
  <si>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</si>
  <si>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</si>
  <si>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</si>
  <si>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</si>
  <si>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</si>
  <si>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</si>
  <si>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</si>
  <si>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</si>
  <si>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</si>
  <si>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</si>
  <si>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</si>
  <si>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</si>
  <si>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</si>
  <si>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</si>
  <si>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</si>
  <si>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</si>
  <si>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</si>
  <si>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</si>
  <si>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</si>
  <si>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</si>
  <si>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</si>
  <si>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</si>
  <si>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</si>
  <si>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</si>
  <si>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</si>
  <si>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</si>
  <si>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</si>
  <si>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</si>
  <si>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</si>
  <si>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</si>
  <si>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</si>
  <si>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</si>
  <si>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</si>
  <si>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</si>
  <si>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</si>
  <si>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</si>
  <si>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</si>
  <si>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</si>
  <si>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</si>
  <si>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</si>
  <si>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</si>
  <si>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</si>
  <si>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</si>
  <si>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</si>
  <si>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</si>
  <si>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</si>
  <si>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</si>
  <si>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</si>
  <si>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</si>
  <si>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</si>
  <si>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</si>
  <si>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</si>
  <si>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</si>
  <si>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</si>
  <si>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</si>
  <si>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</si>
  <si>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</si>
  <si>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</si>
  <si>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</si>
  <si>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</si>
  <si>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</si>
  <si>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</si>
  <si>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</si>
  <si>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GET /gda-target-agencies</t>
  </si>
  <si>
    <t>200 OK — 5 agencies, 61ms</t>
  </si>
  <si>
    <t>T-133</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</si>
  <si>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</si>
  <si>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</si>
  <si>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</si>
  <si>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</si>
  <si>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</si>
  <si>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</si>
  <si>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</si>
  <si>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</si>
  <si>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</si>
  <si>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</si>
  <si>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</si>
  <si>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</si>
  <si>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</si>
  <si>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</si>
  <si>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</si>
  <si>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</si>
  <si>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</si>
  <si>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</si>
  <si>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</si>
  <si>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</si>
  <si>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</si>
  <si>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</si>
  <si>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</si>
  <si>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</si>
  <si>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</si>
  <si>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</si>
  <si>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</si>
  <si>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</si>
  <si>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</si>
  <si>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</si>
  <si>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</si>
  <si>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</si>
  <si>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</si>
  <si>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</si>
  <si>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</si>
  <si>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</si>
  <si>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</si>
  <si>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</si>
  <si>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</si>
  <si>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</si>
  <si>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</si>
  <si>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</si>
  <si>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</si>
  <si>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</si>
  <si>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</si>
  <si>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</si>
  <si>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</si>
  <si>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</si>
  <si>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</si>
  <si>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</si>
  <si>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</si>
  <si>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</si>
  <si>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</si>
  <si>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</si>
  <si>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</si>
  <si>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</si>
  <si>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</si>
  <si>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</si>
  <si>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</si>
  <si>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</si>
  <si>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</si>
  <si>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</si>
  <si>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</si>
  <si>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</si>
  <si>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</si>
  <si>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</si>
  <si>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</si>
  <si>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</si>
  <si>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</si>
  <si>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</si>
  <si>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</si>
  <si>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</si>
  <si>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</si>
  <si>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</si>
  <si>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</si>
  <si>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</si>
  <si>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</si>
  <si>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</si>
  <si>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</si>
  <si>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</si>
  <si>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</si>
  <si>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</si>
  <si>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</si>
  <si>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</si>
  <si>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</si>
  <si>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</si>
  <si>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</si>
  <si>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</si>
  <si>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</si>
  <si>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</si>
  <si>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</si>
  <si>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</si>
  <si>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</si>
  <si>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</si>
  <si>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Known from T-003</t>
  </si>
  <si>
    <t>Same as T-003</t>
  </si>
  <si>
    <t>T-156</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</si>
  <si>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</si>
  <si>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</si>
  <si>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</si>
  <si>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</si>
  <si>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</si>
  <si>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</si>
  <si>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</si>
  <si>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</si>
  <si>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</si>
  <si>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</si>
  <si>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</si>
  <si>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</si>
  <si>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</si>
  <si>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</si>
  <si>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</si>
  <si>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</si>
  <si>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</si>
  <si>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</si>
  <si>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</si>
  <si>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</si>
  <si>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</si>
  <si>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</si>
  <si>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</si>
  <si>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</si>
  <si>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</si>
  <si>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</si>
  <si>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</si>
  <si>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</si>
  <si>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</si>
  <si>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</si>
  <si>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</si>
  <si>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</si>
  <si>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</si>
  <si>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</si>
  <si>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</si>
  <si>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</si>
  <si>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</si>
  <si>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</si>
  <si>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</si>
  <si>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</si>
  <si>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</si>
  <si>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</si>
  <si>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</si>
  <si>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</si>
  <si>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</si>
  <si>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</si>
  <si>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</si>
  <si>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</si>
  <si>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</si>
  <si>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</si>
  <si>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</si>
  <si>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</si>
  <si>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</si>
  <si>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</si>
  <si>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</si>
  <si>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</si>
  <si>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</si>
  <si>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</si>
  <si>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</si>
  <si>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</si>
  <si>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</si>
  <si>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</si>
  <si>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</si>
  <si>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</si>
  <si>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</si>
  <si>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</si>
  <si>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</si>
  <si>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</si>
  <si>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</si>
  <si>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</si>
  <si>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</si>
  <si>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</si>
  <si>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</si>
  <si>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</si>
  <si>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</si>
  <si>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</si>
  <si>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</si>
  <si>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</si>
  <si>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</si>
  <si>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</si>
  <si>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</si>
  <si>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</si>
  <si>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</si>
  <si>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</si>
  <si>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</si>
  <si>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</si>
  <si>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</si>
  <si>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</si>
  <si>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</si>
  <si>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</si>
  <si>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</si>
  <si>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</si>
  <si>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</si>
  <si>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</si>
  <si>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</si>
  <si>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</si>
  <si>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</si>
  <si>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</si>
  <si>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</si>
  <si>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</si>
  <si>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</si>
  <si>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</si>
  <si>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</si>
  <si>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</si>
  <si>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</si>
  <si>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</si>
  <si>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</si>
  <si>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</si>
  <si>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</si>
  <si>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</si>
  <si>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</si>
  <si>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</si>
  <si>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</si>
  <si>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</si>
  <si>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</si>
  <si>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</si>
  <si>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</si>
  <si>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</si>
  <si>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</si>
  <si>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</si>
  <si>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</si>
  <si>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</si>
  <si>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</si>
  <si>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</si>
  <si>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</si>
  <si>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</si>
  <si>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</si>
  <si>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</si>
  <si>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</si>
  <si>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</si>
  <si>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</si>
  <si>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</si>
  <si>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</si>
  <si>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</si>
  <si>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</si>
  <si>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</si>
  <si>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</si>
  <si>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</si>
  <si>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</si>
  <si>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</si>
  <si>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</si>
  <si>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</si>
  <si>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</si>
  <si>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</si>
  <si>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</si>
  <si>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</si>
  <si>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</si>
  <si>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</si>
  <si>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</si>
  <si>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</si>
  <si>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</si>
  <si>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</si>
  <si>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</si>
  <si>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</si>
  <si>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</si>
  <si>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</si>
  <si>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</si>
  <si>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</si>
  <si>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</si>
  <si>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</si>
  <si>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</si>
  <si>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</si>
  <si>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</si>
  <si>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</si>
  <si>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</si>
  <si>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</si>
  <si>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</si>
  <si>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</si>
  <si>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</si>
  <si>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</si>
  <si>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</si>
  <si>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</si>
  <si>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</si>
  <si>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</si>
  <si>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</si>
  <si>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</si>
  <si>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</si>
  <si>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</si>
  <si>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</si>
  <si>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</si>
  <si>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</si>
  <si>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</si>
  <si>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</si>
  <si>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</si>
  <si>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</si>
  <si>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</si>
  <si>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</si>
  <si>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</si>
  <si>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</si>
  <si>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</si>
  <si>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</si>
  <si>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</si>
  <si>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</si>
  <si>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</si>
  <si>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</si>
  <si>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</si>
  <si>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</si>
  <si>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</si>
  <si>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</si>
  <si>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</si>
  <si>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</si>
  <si>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</si>
  <si>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</si>
  <si>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</si>
  <si>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</si>
  <si>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</si>
  <si>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</si>
  <si>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</si>
  <si>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</si>
  <si>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</si>
  <si>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</si>
  <si>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</si>
  <si>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</si>
  <si>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</si>
  <si>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</si>
  <si>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</si>
  <si>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</si>
  <si>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</si>
  <si>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</si>
  <si>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</si>
  <si>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</si>
  <si>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</si>
  <si>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</si>
  <si>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</si>
  <si>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</si>
  <si>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</si>
  <si>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</si>
  <si>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</si>
  <si>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</si>
  <si>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</si>
  <si>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</si>
  <si>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</si>
  <si>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</si>
  <si>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</si>
  <si>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</si>
  <si>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</si>
  <si>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</si>
  <si>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</si>
  <si>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</si>
  <si>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</si>
  <si>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</si>
  <si>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</si>
  <si>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</si>
  <si>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</si>
  <si>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</si>
  <si>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</si>
  <si>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</si>
  <si>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</si>
  <si>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</si>
  <si>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</si>
  <si>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</si>
  <si>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</si>
  <si>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</si>
  <si>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</si>
  <si>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</si>
  <si>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</si>
  <si>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</si>
  <si>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</si>
  <si>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</si>
  <si>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</si>
  <si>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</si>
  <si>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</si>
  <si>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</si>
  <si>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</si>
  <si>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</si>
  <si>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</si>
  <si>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</si>
  <si>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</si>
  <si>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</si>
  <si>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</si>
  <si>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</si>
  <si>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</si>
  <si>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</si>
  <si>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</si>
  <si>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</si>
  <si>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</si>
  <si>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</si>
  <si>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</si>
  <si>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</si>
  <si>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</si>
  <si>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</si>
  <si>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</si>
  <si>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</si>
  <si>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</si>
  <si>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</si>
  <si>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</si>
  <si>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</si>
  <si>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</si>
  <si>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</si>
  <si>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</si>
  <si>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</si>
  <si>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</si>
  <si>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</si>
  <si>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</si>
  <si>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</si>
  <si>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</si>
  <si>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</si>
  <si>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</si>
  <si>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</si>
  <si>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</si>
  <si>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</si>
  <si>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</si>
  <si>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</si>
  <si>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</si>
  <si>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</si>
  <si>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</si>
  <si>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</si>
  <si>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</si>
  <si>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</si>
  <si>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</si>
  <si>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</si>
  <si>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</si>
  <si>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</si>
  <si>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</si>
  <si>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</si>
  <si>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</si>
  <si>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</si>
  <si>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</si>
  <si>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</si>
  <si>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</si>
  <si>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</si>
  <si>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</si>
  <si>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</si>
  <si>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</si>
  <si>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</si>
  <si>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</si>
  <si>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</si>
  <si>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</si>
  <si>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</si>
  <si>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</si>
  <si>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</si>
  <si>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</si>
  <si>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</si>
  <si>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</si>
  <si>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</si>
  <si>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</si>
  <si>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</si>
  <si>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</si>
  <si>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</si>
  <si>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</si>
  <si>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</si>
  <si>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</si>
  <si>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</si>
  <si>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</si>
  <si>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</si>
  <si>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</si>
  <si>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</si>
  <si>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</si>
  <si>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</si>
  <si>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</si>
  <si>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</si>
  <si>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</si>
  <si>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</si>
  <si>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</si>
  <si>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</si>
  <si>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</si>
  <si>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</si>
  <si>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</si>
  <si>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</si>
  <si>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</si>
  <si>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</si>
  <si>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</si>
  <si>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</si>
  <si>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</si>
  <si>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</si>
  <si>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</si>
  <si>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</si>
  <si>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</si>
  <si>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</si>
  <si>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</si>
  <si>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</si>
  <si>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</si>
  <si>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</si>
  <si>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</si>
  <si>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</si>
  <si>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</si>
  <si>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</si>
  <si>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</si>
  <si>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</si>
  <si>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</si>
  <si>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</si>
  <si>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</si>
  <si>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</si>
  <si>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</si>
  <si>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</si>
  <si>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</si>
  <si>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</si>
  <si>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</si>
  <si>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</si>
  <si>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</si>
  <si>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</si>
  <si>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</si>
  <si>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</si>
  <si>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</si>
  <si>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</si>
  <si>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</si>
  <si>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</si>
  <si>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</si>
  <si>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</si>
  <si>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</si>
  <si>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</si>
  <si>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</si>
  <si>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</si>
  <si>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</si>
  <si>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</si>
  <si>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</si>
  <si>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</si>
  <si>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</si>
  <si>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</si>
  <si>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</si>
  <si>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</si>
  <si>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</si>
  <si>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</si>
  <si>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</si>
  <si>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</si>
  <si>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</si>
  <si>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</si>
  <si>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</si>
  <si>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</si>
  <si>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</si>
  <si>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</si>
  <si>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</si>
  <si>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</si>
  <si>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</si>
  <si>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</si>
  <si>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</si>
  <si>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</si>
  <si>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</si>
  <si>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</si>
  <si>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</si>
  <si>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</si>
  <si>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</si>
  <si>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</si>
  <si>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</si>
  <si>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</si>
  <si>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</si>
  <si>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</si>
  <si>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</si>
  <si>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</si>
  <si>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</si>
  <si>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</si>
  <si>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</si>
  <si>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</si>
  <si>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</si>
  <si>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</si>
  <si>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</si>
  <si>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</si>
  <si>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</si>
  <si>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</si>
  <si>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</si>
  <si>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</si>
  <si>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</si>
  <si>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</si>
  <si>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</si>
  <si>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</si>
  <si>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</si>
  <si>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</si>
  <si>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</si>
  <si>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</si>
  <si>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</si>
  <si>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</si>
  <si>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</si>
  <si>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</si>
  <si>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</si>
  <si>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</si>
  <si>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</si>
  <si>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</si>
  <si>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</si>
  <si>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</si>
  <si>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</si>
  <si>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</si>
  <si>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</si>
  <si>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</si>
  <si>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</si>
  <si>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</si>
  <si>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</si>
  <si>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</si>
  <si>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ALL 28 API-guarded workflows reject requests — frontend users get empty responses or errors on every tab</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</si>
  <si>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</si>
  <si>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</si>
  <si>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</si>
  <si>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</si>
  <si>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</si>
  <si>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</si>
  <si>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</si>
  <si>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</si>
  <si>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</si>
  <si>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</si>
  <si>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</si>
  <si>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</si>
  <si>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</si>
  <si>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</si>
  <si>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</si>
  <si>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</si>
  <si>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</si>
  <si>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</si>
  <si>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</si>
  <si>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</si>
  <si>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</si>
  <si>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</si>
  <si>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</si>
  <si>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</si>
  <si>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</si>
  <si>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</si>
  <si>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</si>
  <si>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</si>
  <si>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</si>
  <si>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</si>
  <si>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</si>
  <si>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</si>
  <si>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</si>
  <si>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</si>
  <si>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</si>
  <si>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</si>
  <si>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</si>
  <si>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</si>
  <si>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</si>
  <si>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</si>
  <si>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</si>
  <si>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</si>
  <si>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</si>
  <si>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</si>
  <si>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</si>
  <si>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</si>
  <si>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</si>
  <si>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</si>
  <si>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</si>
  <si>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</si>
  <si>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</si>
  <si>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</si>
  <si>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</si>
  <si>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</si>
  <si>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</si>
  <si>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</si>
  <si>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</si>
  <si>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</si>
  <si>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</si>
  <si>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</si>
  <si>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</si>
  <si>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</si>
  <si>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</si>
  <si>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</si>
  <si>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</si>
  <si>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</si>
  <si>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</si>
  <si>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</si>
  <si>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</si>
  <si>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</si>
  <si>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</si>
  <si>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</si>
  <si>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</si>
  <si>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</si>
  <si>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</si>
  <si>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</si>
  <si>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</si>
  <si>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</si>
  <si>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</si>
  <si>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</si>
  <si>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</si>
  <si>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</si>
  <si>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</si>
  <si>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</si>
  <si>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</si>
  <si>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</si>
  <si>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</si>
  <si>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</si>
  <si>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</si>
  <si>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</si>
  <si>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</si>
  <si>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</si>
  <si>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</si>
  <si>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</si>
  <si>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</si>
  <si>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</si>
  <si>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</si>
  <si>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</si>
  <si>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</si>
  <si>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</si>
  <si>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</si>
  <si>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</si>
  <si>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</si>
  <si>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</si>
  <si>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</si>
  <si>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</si>
  <si>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</si>
  <si>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</si>
  <si>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</si>
  <si>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</si>
  <si>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</si>
  <si>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</si>
  <si>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</si>
  <si>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</si>
  <si>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</si>
  <si>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</si>
  <si>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</si>
  <si>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</si>
  <si>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</si>
  <si>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</si>
  <si>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</si>
  <si>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</si>
  <si>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</si>
  <si>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</si>
  <si>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</si>
  <si>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</si>
  <si>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 S-045 COMPLETE: 13 pass / 1 P3 ═</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</si>
  <si>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</si>
  <si>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</si>
  <si>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</si>
  <si>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</si>
  <si>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</si>
  <si>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</si>
  <si>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</si>
  <si>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</si>
  <si>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</si>
  <si>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</si>
  <si>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</si>
  <si>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</si>
  <si>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</si>
  <si>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</si>
  <si>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</si>
  <si>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</si>
  <si>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</si>
  <si>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</si>
  <si>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</si>
  <si>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</si>
  <si>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</si>
  <si>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</si>
  <si>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</si>
  <si>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</si>
  <si>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</si>
  <si>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</si>
  <si>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</si>
  <si>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</si>
  <si>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</si>
  <si>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</si>
  <si>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</si>
  <si>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</si>
  <si>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</si>
  <si>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</si>
  <si>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</si>
  <si>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</si>
  <si>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</si>
  <si>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</si>
  <si>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</si>
  <si>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</si>
  <si>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</si>
  <si>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</si>
  <si>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</si>
  <si>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</si>
  <si>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</si>
  <si>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</si>
  <si>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</si>
  <si>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</si>
  <si>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</si>
  <si>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</si>
  <si>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</si>
  <si>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</si>
  <si>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</si>
  <si>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</si>
  <si>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</si>
  <si>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</si>
  <si>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</si>
  <si>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</si>
  <si>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</si>
  <si>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</si>
  <si>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</si>
  <si>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</si>
  <si>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</si>
  <si>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</si>
  <si>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</si>
  <si>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</si>
  <si>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</si>
  <si>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</si>
  <si>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</si>
  <si>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</si>
  <si>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</si>
  <si>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</si>
  <si>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</si>
  <si>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</si>
  <si>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</si>
  <si>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</si>
  <si>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</si>
  <si>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</si>
  <si>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</si>
  <si>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</si>
  <si>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</si>
  <si>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</si>
  <si>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</si>
  <si>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</si>
  <si>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</si>
  <si>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</si>
  <si>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</si>
  <si>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</si>
  <si>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</si>
  <si>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</si>
  <si>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</si>
  <si>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</si>
  <si>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</si>
  <si>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</si>
  <si>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</si>
  <si>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</si>
  <si>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</si>
  <si>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</si>
  <si>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</si>
  <si>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</si>
  <si>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</si>
  <si>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</si>
  <si>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</si>
  <si>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</si>
  <si>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</si>
  <si>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</si>
  <si>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</si>
  <si>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</si>
  <si>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</si>
  <si>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</si>
  <si>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</si>
  <si>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</si>
  <si>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</si>
  <si>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</si>
  <si>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</si>
  <si>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</si>
  <si>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</si>
  <si>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</si>
  <si>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</si>
  <si>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</si>
  <si>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</si>
  <si>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</si>
  <si>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</si>
  <si>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</si>
  <si>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</si>
  <si>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</si>
  <si>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</si>
  <si>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</si>
  <si>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</si>
  <si>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</si>
  <si>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</si>
  <si>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</si>
  <si>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</si>
  <si>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</si>
  <si>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</si>
  <si>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</si>
  <si>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</si>
  <si>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</si>
  <si>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</si>
  <si>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</si>
  <si>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</si>
  <si>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</si>
  <si>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</si>
  <si>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</si>
  <si>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</si>
  <si>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</si>
  <si>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</si>
  <si>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</si>
  <si>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</si>
  <si>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</si>
  <si>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</si>
  <si>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</si>
  <si>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</si>
  <si>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</si>
  <si>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</si>
  <si>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</si>
  <si>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</si>
  <si>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</si>
  <si>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</si>
  <si>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</si>
  <si>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</si>
  <si>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</si>
  <si>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</si>
  <si>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</si>
  <si>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</si>
  <si>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</si>
  <si>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</si>
  <si>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</si>
  <si>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</si>
  <si>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</si>
  <si>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</si>
  <si>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</si>
  <si>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</si>
  <si>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</si>
  <si>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</si>
  <si>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</si>
  <si>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</si>
  <si>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</si>
  <si>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</si>
  <si>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</si>
  <si>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</si>
  <si>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</si>
  <si>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</si>
  <si>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</si>
  <si>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</si>
  <si>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</si>
  <si>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</si>
  <si>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</si>
  <si>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</si>
  <si>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</si>
  <si>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</si>
  <si>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</si>
  <si>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</si>
  <si>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</si>
  <si>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</si>
  <si>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STATUS: S-076 COMPLETE (9/9). SCHWAB LIVE — first trade F x1 MARKET BUY, HTTP 201. HEAD: 62e114a, 1801 lines. Risk Tab live. 29 opps / 11 depts. Daily Briefing active. AI Agent 7 directives. Trade Engine 20 nodes, 34s pipeline, 2%/25%/6% scaling. 18+ Postgres tables. 56+ workflows. GovTribe MCP connected. S-077: Monday live test, Trade frontend, Opp Tracker redesign, Briefing modal, charts, gist, E2E.</t>
  </si>
  <si>
    <t>NEEDS SHAWN INPUT</t>
  </si>
  <si>
    <t>STATUS: S-070 active. HEAD: 677ffbc, 1493 lines. 19 successful deploys (8-19) + 2 no-ops (20-21). CRITICAL FIXES: S.nav crash (3 pages), SITREP 503 (webhook path), 28-workflow auth key batch fix. OPEN: Action Items title display (i.priority→i.item), Action Items KPIs case-sensitive, SAM.gov links go to blank screen (remove as reference), move Action Item btn to sidebar bottom, add IDIQ On-Ramp search, add chart to Action Items.</t>
  </si>
  <si>
    <t>SESSION S-066</t>
  </si>
  <si>
    <t>2026-03-13 — All 7 remaining BL items deployed in 4 builds. Backlog cleared.</t>
  </si>
  <si>
    <t>Commit ce244a8. BUILD_EXIT_CODE_0.</t>
  </si>
  <si>
    <t>BL-034 SourceTag (dfdf1fd), BL-036 ScoreBadge (dfdf1fd), BL-039 Source links (dfdf1fd), BL-038 Competitor Intel (6e92054), BL-037 GDA Docs (77cab87), BL-040 Recharts (c076261), BL-031 email done.</t>
  </si>
  <si>
    <t>Shawn Reply 1</t>
  </si>
  <si>
    <t>Shawn Reply 2</t>
  </si>
  <si>
    <t>Shawn Reply 3</t>
  </si>
  <si>
    <t>Response to claude</t>
  </si>
  <si>
    <t>ISSUE FOUND + FIXED</t>
  </si>
  <si>
    <t>App.jsx was 0 bytes at HEAD 199014b (stray deploy). Restored from ce244a8. No corruption — emoji error from S-065 never wrote to file.</t>
  </si>
  <si>
    <t>RETRY NEXT SESSION</t>
  </si>
  <si>
    <t>✅ UPDATE (S-030+): All 7 backend workflows now ACTIVE. 5 of 6 API functions wired in gdaApi.js (S-031 commit 6100de0). Remaining: trackEvent() on 12 tabs + Pinecone cross-feed.</t>
  </si>
  <si>
    <t>BACKLOG STATUS</t>
  </si>
  <si>
    <t>ZERO open items. All 40 BL items complete. All 35 REQ items complete.</t>
  </si>
  <si>
    <t>QUEUED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</si>
  <si>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</si>
  <si>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</si>
  <si>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1) E2E tab-by-tab test. 2) Wire Recharts + Competitor cards to live APIs. 3) External API keys. 4) GDA Master Gist update.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</si>
  <si>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</si>
  <si>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</si>
  <si>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</si>
  <si>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</si>
  <si>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</si>
  <si>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</si>
  <si>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</si>
  <si>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</si>
  <si>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</si>
  <si>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</si>
  <si>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</si>
  <si>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</si>
  <si>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</si>
  <si>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</si>
  <si>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</si>
  <si>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</si>
  <si>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</si>
  <si>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</si>
  <si>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</si>
  <si>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</si>
  <si>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</si>
  <si>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</si>
  <si>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</si>
  <si>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</si>
  <si>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</si>
  <si>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</si>
  <si>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</si>
  <si>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</si>
  <si>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</si>
  <si>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</si>
  <si>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</si>
  <si>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</si>
  <si>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</si>
  <si>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</si>
  <si>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</si>
  <si>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</si>
  <si>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</si>
  <si>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</si>
  <si>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</si>
  <si>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</si>
  <si>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</si>
  <si>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</si>
  <si>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</si>
  <si>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</si>
  <si>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</si>
  <si>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</si>
  <si>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</si>
  <si>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</si>
  <si>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</si>
  <si>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</si>
  <si>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</si>
  <si>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</si>
  <si>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</si>
  <si>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</si>
  <si>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</si>
  <si>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</si>
  <si>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</si>
  <si>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</si>
  <si>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</si>
  <si>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</si>
  <si>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</si>
  <si>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</si>
  <si>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</si>
  <si>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</si>
  <si>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</si>
  <si>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</si>
  <si>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</si>
  <si>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</si>
  <si>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</si>
  <si>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</si>
  <si>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</si>
  <si>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</si>
  <si>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</si>
  <si>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</si>
  <si>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</si>
  <si>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</si>
  <si>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</si>
  <si>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</si>
  <si>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</si>
  <si>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</si>
  <si>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</si>
  <si>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</si>
  <si>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</si>
  <si>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</si>
  <si>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</si>
  <si>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</si>
  <si>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</si>
  <si>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</si>
  <si>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</si>
  <si>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</si>
  <si>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</si>
  <si>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</si>
  <si>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</si>
  <si>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</si>
  <si>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</si>
  <si>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</si>
  <si>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Session date marker (2026-03-13)</t>
  </si>
  <si>
    <t>FB-022</t>
  </si>
  <si>
    <t>Need Dollars to be $xx,x.xM</t>
  </si>
  <si>
    <t>UI FORMAT — Dollar formatting $xx,x.xM across all displays. REQ-029 / BL-033</t>
  </si>
  <si>
    <t>FB-023</t>
  </si>
  <si>
    <t>everything needs a searchable source</t>
  </si>
  <si>
    <t>DATA QUALITY — Every data point needs clickable/searchable source. REQ-030 / BL-034</t>
  </si>
  <si>
    <t>FB-024</t>
  </si>
  <si>
    <t>Center the boxes in the launch pad, the 6 boxes at top</t>
  </si>
  <si>
    <t>UI LAYOUT — Center the 6 KPI boxes on Launchpad. REQ-031 / BL-035</t>
  </si>
  <si>
    <t>FB-025</t>
  </si>
  <si>
    <t>Need to put financial data on header of each dept and program in opp tracker (Needs (1-10) + Financials (Dept budget - GDA Adressable share = % of total budget) + OODA loope score = total score 1 to 100</t>
  </si>
  <si>
    <t>SCORING — Dept/program headers: Needs(1-10)+Financials(budget-addressable=%)+OODA = composite 1-100. REQ-032 / BL-036</t>
  </si>
  <si>
    <t>FB-026</t>
  </si>
  <si>
    <t>Directions tab is for directions of the GDA Command tool. Needs to be indepth, include screen shots of workflows, purpose TOC, stuff like that.</t>
  </si>
  <si>
    <t>NEW TAB — Directions: in-depth docs, workflow screenshots, purpose, TOC. REQ-033 / BL-037</t>
  </si>
  <si>
    <t>FB-027</t>
  </si>
  <si>
    <t>Target agencies is blank, shourd show data cards on the top five competitors to gda in large, med, and small areas. Needs to be clickabel and have a place to ask questions</t>
  </si>
  <si>
    <t>NEW FEATURE — Target Agencies: top 5 competitor cards (lg/med/sm), clickable + AI ask. REQ-034 / BL-038</t>
  </si>
  <si>
    <t>FB-028</t>
  </si>
  <si>
    <t xml:space="preserve">Launchpad needs to have sources and links to documents to read. </t>
  </si>
  <si>
    <t>UI FEATURE — Launchpad: source links and document references per section. REQ-035 / BL-039</t>
  </si>
  <si>
    <t>FB-029</t>
  </si>
  <si>
    <t>need a chart and table node added to the workflow. Need profesional, impressive visualizations to impress leadership and help tell a story</t>
  </si>
  <si>
    <t>VIZ — Professional charts &amp; tables for leadership storytelling. Chart/table nodes in workflows. REQ-036 / BL-040</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</si>
  <si>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</si>
  <si>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</si>
  <si>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</si>
  <si>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</si>
  <si>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</si>
  <si>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</si>
  <si>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</si>
  <si>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</si>
  <si>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</si>
  <si>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</si>
  <si>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</si>
  <si>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</si>
  <si>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</si>
  <si>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</si>
  <si>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</si>
  <si>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</si>
  <si>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</si>
  <si>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</si>
  <si>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</si>
  <si>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</si>
  <si>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</si>
  <si>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</si>
  <si>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</si>
  <si>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</si>
  <si>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</si>
  <si>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</si>
  <si>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</si>
  <si>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</si>
  <si>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</si>
  <si>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</si>
  <si>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</si>
  <si>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</si>
  <si>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</si>
  <si>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</si>
  <si>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</si>
  <si>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</si>
  <si>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</si>
  <si>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</si>
  <si>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</si>
  <si>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</si>
  <si>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</si>
  <si>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</si>
  <si>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</si>
  <si>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</si>
  <si>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</si>
  <si>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</si>
  <si>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</si>
  <si>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</si>
  <si>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</si>
  <si>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</si>
  <si>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</si>
  <si>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</si>
  <si>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</si>
  <si>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</si>
  <si>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</si>
  <si>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</si>
  <si>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</si>
  <si>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</si>
  <si>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</si>
  <si>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</si>
  <si>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</si>
  <si>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</si>
  <si>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</si>
  <si>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</si>
  <si>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</si>
  <si>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</si>
  <si>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</si>
  <si>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</si>
  <si>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</si>
  <si>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</si>
  <si>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</si>
  <si>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</si>
  <si>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</si>
  <si>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</si>
  <si>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</si>
  <si>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</si>
  <si>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</si>
  <si>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</si>
  <si>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</si>
  <si>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</si>
  <si>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</si>
  <si>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</si>
  <si>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</si>
  <si>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</si>
  <si>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</si>
  <si>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</si>
  <si>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</si>
  <si>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</si>
  <si>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</si>
  <si>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</si>
  <si>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</si>
  <si>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</si>
  <si>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</si>
  <si>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</si>
  <si>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</si>
  <si>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</si>
  <si>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</si>
  <si>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</si>
  <si>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</si>
  <si>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</si>
  <si>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</si>
  <si>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</si>
  <si>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</si>
  <si>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</si>
  <si>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</si>
  <si>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</si>
  <si>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</si>
  <si>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</si>
  <si>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(VPS direct — nginx bind mount (read-only))</t>
  </si>
  <si>
    <t>LIVE — VPS/nginx</t>
  </si>
  <si>
    <t>Netlify Host</t>
  </si>
  <si>
    <t>REMOVED — Netlify reversed. Serving from VPS nginx container, bind mount /root/gda-frontend/dist/</t>
  </si>
  <si>
    <t>https://n8n.csr-llc.tech</t>
  </si>
  <si>
    <t>https://mcp.csr-llc.tech/mcp</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</si>
  <si>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</si>
  <si>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</si>
  <si>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</si>
  <si>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</si>
  <si>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</si>
  <si>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</si>
  <si>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</si>
  <si>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</si>
  <si>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</si>
  <si>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</si>
  <si>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</si>
  <si>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</si>
  <si>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</si>
  <si>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</si>
  <si>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</si>
  <si>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</si>
  <si>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VqYFb1aRGJa8UfBc (corrected — deploy pipeline uses this))</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</si>
  <si>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</si>
  <si>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</si>
  <si>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</si>
  <si>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</si>
  <si>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</si>
  <si>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</si>
  <si>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</si>
  <si>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</si>
  <si>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</si>
  <si>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</si>
  <si>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</si>
  <si>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</si>
  <si>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</si>
  <si>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</si>
  <si>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</si>
  <si>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</si>
  <si>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</si>
  <si>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</si>
  <si>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</si>
  <si>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</si>
  <si>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</si>
  <si>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</si>
  <si>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</si>
  <si>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</si>
  <si>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</si>
  <si>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</si>
  <si>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</si>
  <si>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</si>
  <si>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</si>
  <si>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</si>
  <si>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</si>
  <si>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</si>
  <si>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</si>
  <si>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</si>
  <si>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</si>
  <si>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</si>
  <si>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</si>
  <si>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</si>
  <si>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</si>
  <si>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</si>
  <si>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</si>
  <si>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</si>
  <si>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</si>
  <si>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</si>
  <si>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</si>
  <si>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</si>
  <si>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</si>
  <si>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</si>
  <si>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</si>
  <si>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</si>
  <si>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</si>
  <si>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</si>
  <si>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</si>
  <si>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</si>
  <si>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</si>
  <si>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</si>
  <si>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</si>
  <si>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</si>
  <si>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</si>
  <si>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</si>
  <si>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</si>
  <si>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</si>
  <si>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</si>
  <si>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</si>
  <si>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</si>
  <si>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</si>
  <si>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</si>
  <si>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</si>
  <si>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</si>
  <si>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</si>
  <si>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</si>
  <si>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</si>
  <si>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</si>
  <si>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</si>
  <si>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</si>
  <si>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</si>
  <si>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</si>
  <si>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</si>
  <si>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</si>
  <si>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</si>
  <si>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</si>
  <si>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</si>
  <si>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</si>
  <si>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</si>
  <si>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</si>
  <si>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</si>
  <si>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</si>
  <si>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</si>
  <si>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</si>
  <si>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</si>
  <si>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</si>
  <si>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</si>
  <si>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</si>
  <si>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</si>
  <si>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</si>
  <si>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</si>
  <si>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</si>
  <si>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</si>
  <si>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</si>
  <si>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</si>
  <si>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</si>
  <si>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</si>
  <si>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</si>
  <si>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</si>
  <si>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</si>
  <si>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</si>
  <si>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</si>
  <si>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</si>
  <si>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</si>
  <si>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</si>
  <si>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</si>
  <si>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</si>
  <si>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</si>
  <si>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</si>
  <si>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</si>
  <si>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</si>
  <si>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</si>
  <si>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</si>
  <si>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</si>
  <si>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</si>
  <si>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</si>
  <si>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</si>
  <si>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</si>
  <si>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</si>
  <si>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</si>
  <si>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</si>
  <si>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</si>
  <si>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</si>
  <si>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</si>
  <si>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</si>
  <si>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</si>
  <si>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</si>
  <si>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</si>
  <si>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</si>
  <si>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</si>
  <si>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</si>
  <si>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</si>
  <si>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</si>
  <si>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</si>
  <si>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</si>
  <si>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</si>
  <si>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</si>
  <si>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</si>
  <si>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</si>
  <si>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</si>
  <si>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</si>
  <si>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</si>
  <si>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</si>
  <si>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</si>
  <si>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</si>
  <si>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</si>
  <si>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</si>
  <si>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</si>
  <si>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</si>
  <si>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</si>
  <si>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</si>
  <si>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</si>
  <si>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</si>
  <si>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</si>
  <si>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</si>
  <si>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</si>
  <si>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</si>
  <si>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</si>
  <si>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</si>
  <si>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</si>
  <si>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</si>
  <si>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</si>
  <si>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</si>
  <si>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</si>
  <si>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</si>
  <si>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</si>
  <si>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</si>
  <si>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</si>
  <si>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</si>
  <si>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</si>
  <si>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</si>
  <si>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</si>
  <si>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</si>
  <si>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</si>
  <si>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</si>
  <si>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</si>
  <si>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</si>
  <si>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</si>
  <si>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</si>
  <si>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</si>
  <si>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</si>
  <si>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</si>
  <si>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</si>
  <si>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</si>
  <si>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</si>
  <si>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</si>
  <si>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</si>
  <si>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</si>
  <si>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</si>
  <si>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</si>
  <si>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</si>
  <si>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</si>
  <si>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</si>
  <si>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</si>
  <si>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</si>
  <si>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</si>
  <si>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</si>
  <si>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</si>
  <si>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</si>
  <si>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</si>
  <si>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</si>
  <si>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</si>
  <si>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</si>
  <si>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</si>
  <si>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</si>
  <si>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</si>
  <si>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</si>
  <si>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</si>
  <si>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</si>
  <si>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</si>
  <si>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</si>
  <si>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</si>
  <si>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</si>
  <si>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</si>
  <si>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</si>
  <si>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</si>
  <si>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</si>
  <si>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</si>
  <si>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</si>
  <si>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</si>
  <si>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</si>
  <si>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</si>
  <si>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</si>
  <si>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</si>
  <si>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</si>
  <si>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</si>
  <si>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</si>
  <si>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</si>
  <si>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</si>
  <si>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</si>
  <si>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</si>
  <si>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</si>
  <si>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</si>
  <si>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</si>
  <si>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</si>
  <si>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</si>
  <si>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</si>
  <si>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</si>
  <si>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</si>
  <si>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</si>
  <si>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</si>
  <si>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</si>
  <si>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</si>
  <si>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</si>
  <si>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</si>
  <si>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</si>
  <si>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</si>
  <si>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</si>
  <si>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</si>
  <si>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</si>
  <si>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</si>
  <si>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</si>
  <si>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</si>
  <si>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</si>
  <si>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</si>
  <si>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</si>
  <si>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</si>
  <si>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</si>
  <si>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</si>
  <si>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</si>
  <si>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</si>
  <si>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Red team RFP analysis</t>
  </si>
  <si>
    <t>EmailPage</t>
  </si>
  <si>
    <t>360-390</t>
  </si>
  <si>
    <t>Draft state</t>
  </si>
  <si>
    <t>AI-assisted email composition</t>
  </si>
  <si>
    <t>PipelinePage (Action Items)</t>
  </si>
  <si>
    <t>390-440</t>
  </si>
  <si>
    <t>items[], filter, adding</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</si>
  <si>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</si>
  <si>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</si>
  <si>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</si>
  <si>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</si>
  <si>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</si>
  <si>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</si>
  <si>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</si>
  <si>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</si>
  <si>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</si>
  <si>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</si>
  <si>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</si>
  <si>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</si>
  <si>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</si>
  <si>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</si>
  <si>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</si>
  <si>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</si>
  <si>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</si>
  <si>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</si>
  <si>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</si>
  <si>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</si>
  <si>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</si>
  <si>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</si>
  <si>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</si>
  <si>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</si>
  <si>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</si>
  <si>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</si>
  <si>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</si>
  <si>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</si>
  <si>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</si>
  <si>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</si>
  <si>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</si>
  <si>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</si>
  <si>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</si>
  <si>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</si>
  <si>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</si>
  <si>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</si>
  <si>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</si>
  <si>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</si>
  <si>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</si>
  <si>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</si>
  <si>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</si>
  <si>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</si>
  <si>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</si>
  <si>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</si>
  <si>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</si>
  <si>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</si>
  <si>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</si>
  <si>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</si>
  <si>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</si>
  <si>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</si>
  <si>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</si>
  <si>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</si>
  <si>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</si>
  <si>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</si>
  <si>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</si>
  <si>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</si>
  <si>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</si>
  <si>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</si>
  <si>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</si>
  <si>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</si>
  <si>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</si>
  <si>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</si>
  <si>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</si>
  <si>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</si>
  <si>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</si>
  <si>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</si>
  <si>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</si>
  <si>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</si>
  <si>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</si>
  <si>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</si>
  <si>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</si>
  <si>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</si>
  <si>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</si>
  <si>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</si>
  <si>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</si>
  <si>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</si>
  <si>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</si>
  <si>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</si>
  <si>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</si>
  <si>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</si>
  <si>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</si>
  <si>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</si>
  <si>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</si>
  <si>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</si>
  <si>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</si>
  <si>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</si>
  <si>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</si>
  <si>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</si>
  <si>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</si>
  <si>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</si>
  <si>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</si>
  <si>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</si>
  <si>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</si>
  <si>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</si>
  <si>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</si>
  <si>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</si>
  <si>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</si>
  <si>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</si>
  <si>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</si>
  <si>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</si>
  <si>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</si>
  <si>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</si>
  <si>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</si>
  <si>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</si>
  <si>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</si>
  <si>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</si>
  <si>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</si>
  <si>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</si>
  <si>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</si>
  <si>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</si>
  <si>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</si>
  <si>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</si>
  <si>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</si>
  <si>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</si>
  <si>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</si>
  <si>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</si>
  <si>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</si>
  <si>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</si>
  <si>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</si>
  <si>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</si>
  <si>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</si>
  <si>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</si>
  <si>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</si>
  <si>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</si>
  <si>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</si>
  <si>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</si>
  <si>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</si>
  <si>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</si>
  <si>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</si>
  <si>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</si>
  <si>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</si>
  <si>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</si>
  <si>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</si>
  <si>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</si>
  <si>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</si>
  <si>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</si>
  <si>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</si>
  <si>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</si>
  <si>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</si>
  <si>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</si>
  <si>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</si>
  <si>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</si>
  <si>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</si>
  <si>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</si>
  <si>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</si>
  <si>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</si>
  <si>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</si>
  <si>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</si>
  <si>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</si>
  <si>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</si>
  <si>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</si>
  <si>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</si>
  <si>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</si>
  <si>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</si>
  <si>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</si>
  <si>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</si>
  <si>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</si>
  <si>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</si>
  <si>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</si>
  <si>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</si>
  <si>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</si>
  <si>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</si>
  <si>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</si>
  <si>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</si>
  <si>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</si>
  <si>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</si>
  <si>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</si>
  <si>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</si>
  <si>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</si>
  <si>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</si>
  <si>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</si>
  <si>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</si>
  <si>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</si>
  <si>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</si>
  <si>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</si>
  <si>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</si>
  <si>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</si>
  <si>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</si>
  <si>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</si>
  <si>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</si>
  <si>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</si>
  <si>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</si>
  <si>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</si>
  <si>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</si>
  <si>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</si>
  <si>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</si>
  <si>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</si>
  <si>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</si>
  <si>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</si>
  <si>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</si>
  <si>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</si>
  <si>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</si>
  <si>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</si>
  <si>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</si>
  <si>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</si>
  <si>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</si>
  <si>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</si>
  <si>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</si>
  <si>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</si>
  <si>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</si>
  <si>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</si>
  <si>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</si>
  <si>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</si>
  <si>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</si>
  <si>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</si>
  <si>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</si>
  <si>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</si>
  <si>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</si>
  <si>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</si>
  <si>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</si>
  <si>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</si>
  <si>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</si>
  <si>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</si>
  <si>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</si>
  <si>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</si>
  <si>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</si>
  <si>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</si>
  <si>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</si>
  <si>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</si>
  <si>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</si>
  <si>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</si>
  <si>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</si>
  <si>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</si>
  <si>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</si>
  <si>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</si>
  <si>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</si>
  <si>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</si>
  <si>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</si>
  <si>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</si>
  <si>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</si>
  <si>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</si>
  <si>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</si>
  <si>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</si>
  <si>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</si>
  <si>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</si>
  <si>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</si>
  <si>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</si>
  <si>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</si>
  <si>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</si>
  <si>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</si>
  <si>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</si>
  <si>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</si>
  <si>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</si>
  <si>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</si>
  <si>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</si>
  <si>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</si>
  <si>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</si>
  <si>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</si>
  <si>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</si>
  <si>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</si>
  <si>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</si>
  <si>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</si>
  <si>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</si>
  <si>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</si>
  <si>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</si>
  <si>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</si>
  <si>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</si>
  <si>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</si>
  <si>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</si>
  <si>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</si>
  <si>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</si>
  <si>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</si>
  <si>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</si>
  <si>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</si>
  <si>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</si>
  <si>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</si>
  <si>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</si>
  <si>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</si>
  <si>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</si>
  <si>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</si>
  <si>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</si>
  <si>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</si>
  <si>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</si>
  <si>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</si>
  <si>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</si>
  <si>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</si>
  <si>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</si>
  <si>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</si>
  <si>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</si>
  <si>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</si>
  <si>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</si>
  <si>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</si>
  <si>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</si>
  <si>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</si>
  <si>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</si>
  <si>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</si>
  <si>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</si>
  <si>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REVERSED — back to VPS direct deploy via gda-deploy webhook</t>
  </si>
  <si>
    <t>PRIMARY: push to GitHub main → Netlify auto-builds. gda-deploy webhook is backup for VPS ops only.</t>
  </si>
  <si>
    <t>LL-065</t>
  </si>
  <si>
    <t>REVERSED — Netlify migration rolled back. VPS direct via nginx serves frontend.</t>
  </si>
  <si>
    <t>300 build min/mo, 100GB bandwidth, custom domain, SSL — no upgrade needed. All backend stays on VPS.</t>
  </si>
  <si>
    <t>LL-066</t>
  </si>
  <si>
    <t>REVERSED — gda CNAME removed, A record restored to 187.77.206.105</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</si>
  <si>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</si>
  <si>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</si>
  <si>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</si>
  <si>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</si>
  <si>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</si>
  <si>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</si>
  <si>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</si>
  <si>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</si>
  <si>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</si>
  <si>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</si>
  <si>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</si>
  <si>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</si>
  <si>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</si>
  <si>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</si>
  <si>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</si>
  <si>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</si>
  <si>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</si>
  <si>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</si>
  <si>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</si>
  <si>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</si>
  <si>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</si>
  <si>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</si>
  <si>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</si>
  <si>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</si>
  <si>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</si>
  <si>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</si>
  <si>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</si>
  <si>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</si>
  <si>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</si>
  <si>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</si>
  <si>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</si>
  <si>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</si>
  <si>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</si>
  <si>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</si>
  <si>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</si>
  <si>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</si>
  <si>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</si>
  <si>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</si>
  <si>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</si>
  <si>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</si>
  <si>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</si>
  <si>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</si>
  <si>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</si>
  <si>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</si>
  <si>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</si>
  <si>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</si>
  <si>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</si>
  <si>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</si>
  <si>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</si>
  <si>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</si>
  <si>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</si>
  <si>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</si>
  <si>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</si>
  <si>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</si>
  <si>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</si>
  <si>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Small business size standard lookups</t>
  </si>
  <si>
    <t>PowerPoint Generator</t>
  </si>
  <si>
    <t>Auto-generate briefing decks</t>
  </si>
  <si>
    <t>SECTION 7: GDA OPS DASHBOARD (v1.0)</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</si>
  <si>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</si>
  <si>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</si>
  <si>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</si>
  <si>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</si>
  <si>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</si>
  <si>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</si>
  <si>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</si>
  <si>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</si>
  <si>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</si>
  <si>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</si>
  <si>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</si>
  <si>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</si>
  <si>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</si>
  <si>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</si>
  <si>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</si>
  <si>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</si>
  <si>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</si>
  <si>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</si>
  <si>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</si>
  <si>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</si>
  <si>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</si>
  <si>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</si>
  <si>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</si>
  <si>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</si>
  <si>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</si>
  <si>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</si>
  <si>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</si>
  <si>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</si>
  <si>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</si>
  <si>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</si>
  <si>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</si>
  <si>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</si>
  <si>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</si>
  <si>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</si>
  <si>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</si>
  <si>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</si>
  <si>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</si>
  <si>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</si>
  <si>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</si>
  <si>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</si>
  <si>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</si>
  <si>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</si>
  <si>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</si>
  <si>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</si>
  <si>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S-070 INFRASTRUCTURE UPDATES</t>
  </si>
  <si>
    <t>Swap: 4GB (/swapfile) added to prevent OOM crashes. Persists across reboots via /etc/fstab.</t>
  </si>
  <si>
    <t>Webhook audit: 3 broken paths fixed (gda-compintel-&gt;gda-competitive, gda-pptx-gen-&gt;gda-pptx, gda-comp-intel-&gt;gda-competitive)</t>
  </si>
  <si>
    <t>Daily opp sync: Schedule trigger added (0700 EST cron). Workflow oYnpevwGn5bd8nK2.</t>
  </si>
  <si>
    <t>DB: gda_opportunity_tracker.dept column updated DoD-&gt;DoW.</t>
  </si>
  <si>
    <t>n8n: Upgraded to v2.37.1 after crash recovery.</t>
  </si>
  <si>
    <t>Memory: Stable at 2.3GB/16GB (15%) after restart. MCP container is largest at 1.18GB.</t>
  </si>
  <si>
    <t>S-072 INFRASTRUCTURE FIXES (2026-03-15)</t>
  </si>
  <si>
    <t>N8N_PROXY_HOPS=1 added to ~/n8n-envision/docker-compose.yml n8n environment. Fixes ERR_ERL_UNEXPECTED_X_FORWARDED_FOR crash when behind Traefik reverse proxy.</t>
  </si>
  <si>
    <t>Removed rogue root-oauth-1 container. Had broken Traefik label: PathPrefix(/oauth) missing backtick quoting. Was spamming Traefik error logs.</t>
  </si>
  <si>
    <t>Traefik cert resolver: n8n/mcp use mytlschallenge (defined in /docker/n8n/docker-compose.yml). gda-app uses letsencrypt (nonexistent resolver — needs fix or switch to mytlschallenge).</t>
  </si>
  <si>
    <t>MCP API key verified valid: curl to /api/v1/workflows returns 200. JWT in docker-compose.yml N8N_API_KEY env var is current.</t>
  </si>
  <si>
    <t>MCP tools confirmed via browser JS fetch: 20 tools returned from POST to mcp.csr-llc.tech/mcp tools/list.</t>
  </si>
  <si>
    <t>TRADING APP ARCHITECTURE (2026-03-15)</t>
  </si>
  <si>
    <t>Trade Engine workflow (ID: 1G4gw4N7DFtVZKF7): 20-node autonomous scanner. Tavily news + price history. Claude Sonnet for signal generation. Sub-workflow trigger for manual scans. ACTIVE.</t>
  </si>
  <si>
    <t>Trade Control API (ID: NQmaj5nu4TBQxBgD): Webhook endpoints for start/stop/scan/dashboard/signals. ACTIVE.</t>
  </si>
  <si>
    <t>DB tables: gda_trading_journal (trades), gda_schwab_tokens (OAuth tokens), gda_trade_signals (pending verification).</t>
  </si>
  <si>
    <t>Frontend: Trading Command Center with Command/Journal/AI Advisor tabs. Light theme. Deployed in commit 4f6fa50.</t>
  </si>
  <si>
    <t>Auth: trading-tracker has Auth Guard added. Trade Control API auth handled internally in Trade Handler.</t>
  </si>
  <si>
    <t>Schwab integration: OAuth flow pending. gda_schwab_tokens table created. Validate Token made graceful (no crash without token). Needed before Monday 9:30 AM EST for live quotes + order execution.</t>
  </si>
  <si>
    <t>KNOWN ISSUE: 42s pipeline execution confirmed but empty response body from trade-control Respond node. Save Signals node may need saveDataSuccessExecution:all setting.</t>
  </si>
  <si>
    <t>AI CAPABILITIES — WHAT I CAN DO AFTER YOU HIT EXECUTE</t>
  </si>
  <si>
    <t>🔴 AUTONOMY RULE</t>
  </si>
  <si>
    <t>If Claude CAN do it via MCP, Claude DOES it. Never defer to Shawn.</t>
  </si>
  <si>
    <t>Claude has: n8n MCP (read/write workflows, credentials, queries, triggers), SSH to VPS, deploy webhook, Postgres access, GovTribe MCP. Shawn ONLY does: OAuth browser authorization, provide unknown API keys, RED-tier approvals.</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</si>
  <si>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</si>
  <si>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</si>
  <si>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</si>
  <si>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</si>
  <si>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</si>
  <si>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</si>
  <si>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</si>
  <si>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</si>
  <si>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</si>
  <si>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</si>
  <si>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</si>
  <si>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</si>
  <si>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</si>
  <si>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</si>
  <si>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</si>
  <si>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</si>
  <si>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</si>
  <si>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</si>
  <si>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</si>
  <si>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</si>
  <si>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</si>
  <si>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</si>
  <si>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</si>
  <si>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</si>
  <si>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</si>
  <si>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</si>
  <si>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</si>
  <si>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</si>
  <si>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</si>
  <si>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</si>
  <si>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</si>
  <si>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</si>
  <si>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</si>
  <si>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</si>
  <si>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</si>
  <si>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</si>
  <si>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</si>
  <si>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</si>
  <si>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</si>
  <si>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</si>
  <si>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</si>
  <si>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</si>
  <si>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</si>
  <si>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</si>
  <si>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</si>
  <si>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</si>
  <si>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</si>
  <si>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</si>
  <si>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</si>
  <si>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</si>
  <si>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</si>
  <si>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</si>
  <si>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</si>
  <si>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</si>
  <si>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</si>
  <si>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</si>
  <si>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</si>
  <si>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</si>
  <si>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</si>
  <si>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</si>
  <si>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</si>
  <si>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</si>
  <si>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</si>
  <si>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</si>
  <si>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</si>
  <si>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</si>
  <si>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</si>
  <si>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</si>
  <si>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</si>
  <si>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</si>
  <si>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</si>
  <si>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</si>
  <si>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</si>
  <si>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</si>
  <si>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</si>
  <si>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</si>
  <si>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</si>
  <si>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</si>
  <si>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</si>
  <si>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</si>
  <si>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</si>
  <si>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</si>
  <si>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</si>
  <si>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</si>
  <si>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</si>
  <si>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</si>
  <si>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</si>
  <si>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</si>
  <si>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</si>
  <si>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</si>
  <si>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</si>
  <si>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</si>
  <si>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</si>
  <si>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</si>
  <si>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</si>
  <si>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</si>
  <si>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</si>
  <si>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</si>
  <si>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</si>
  <si>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</si>
  <si>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</si>
  <si>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</si>
  <si>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</si>
  <si>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</si>
  <si>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</si>
  <si>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</si>
  <si>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</si>
  <si>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</si>
  <si>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</si>
  <si>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</si>
  <si>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</si>
  <si>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</si>
  <si>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</si>
  <si>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</si>
  <si>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</si>
  <si>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</si>
  <si>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</si>
  <si>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</si>
  <si>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</si>
  <si>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</si>
  <si>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</si>
  <si>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</si>
  <si>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</si>
  <si>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</si>
  <si>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</si>
  <si>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</si>
  <si>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</si>
  <si>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</si>
  <si>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</si>
  <si>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</si>
  <si>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</si>
  <si>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</si>
  <si>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</si>
  <si>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</si>
  <si>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</si>
  <si>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</si>
  <si>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</si>
  <si>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</si>
  <si>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</si>
  <si>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</si>
  <si>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</si>
  <si>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</si>
  <si>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</si>
  <si>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</si>
  <si>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</si>
  <si>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</si>
  <si>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</si>
  <si>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</si>
  <si>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</si>
  <si>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</si>
  <si>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</si>
  <si>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</si>
  <si>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</si>
  <si>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</si>
  <si>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</si>
  <si>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</si>
  <si>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</si>
  <si>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</si>
  <si>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</si>
  <si>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</si>
  <si>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</si>
  <si>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</si>
  <si>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</si>
  <si>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</si>
  <si>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</si>
  <si>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</si>
  <si>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</si>
  <si>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</si>
  <si>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</si>
  <si>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</si>
  <si>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</si>
  <si>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</si>
  <si>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</si>
  <si>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</si>
  <si>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</si>
  <si>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</si>
  <si>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</si>
  <si>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</si>
  <si>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</si>
  <si>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</si>
  <si>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</si>
  <si>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</si>
  <si>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</si>
  <si>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</si>
  <si>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</si>
  <si>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</si>
  <si>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</si>
  <si>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</si>
  <si>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</si>
  <si>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</si>
  <si>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</si>
  <si>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</si>
  <si>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</si>
  <si>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</si>
  <si>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</si>
  <si>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</si>
  <si>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</si>
  <si>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</si>
  <si>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</si>
  <si>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</si>
  <si>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</si>
  <si>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</si>
  <si>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</si>
  <si>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</si>
  <si>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</si>
  <si>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</si>
  <si>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</si>
  <si>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</si>
  <si>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</si>
  <si>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</si>
  <si>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</si>
  <si>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</si>
  <si>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</si>
  <si>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</si>
  <si>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</si>
  <si>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</si>
  <si>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</si>
  <si>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</si>
  <si>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</si>
  <si>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</si>
  <si>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</si>
  <si>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</si>
  <si>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</si>
  <si>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</si>
  <si>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</si>
  <si>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</si>
  <si>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</si>
  <si>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</si>
  <si>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</si>
  <si>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</si>
  <si>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</si>
  <si>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</si>
  <si>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</si>
  <si>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</si>
  <si>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</si>
  <si>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</si>
  <si>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</si>
  <si>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</si>
  <si>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</si>
  <si>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</si>
  <si>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</si>
  <si>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</si>
  <si>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</si>
  <si>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</si>
  <si>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</si>
  <si>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</si>
  <si>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</si>
  <si>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</si>
  <si>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</si>
  <si>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</si>
  <si>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</si>
  <si>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</si>
  <si>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</si>
  <si>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</si>
  <si>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</si>
  <si>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</si>
  <si>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</si>
  <si>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</si>
  <si>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</si>
  <si>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</si>
  <si>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</si>
  <si>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</si>
  <si>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</si>
  <si>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</si>
  <si>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</si>
  <si>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</si>
  <si>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</si>
  <si>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</si>
  <si>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</si>
  <si>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</si>
  <si>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</si>
  <si>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</si>
  <si>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</si>
  <si>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</si>
  <si>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</si>
  <si>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</si>
  <si>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</si>
  <si>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</si>
  <si>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</si>
  <si>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</si>
  <si>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</si>
  <si>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</si>
  <si>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</si>
  <si>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</si>
  <si>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</si>
  <si>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</si>
  <si>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</si>
  <si>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</si>
  <si>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</si>
  <si>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</si>
  <si>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</si>
  <si>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</si>
  <si>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</si>
  <si>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</si>
  <si>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</si>
  <si>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</si>
  <si>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</si>
  <si>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</si>
  <si>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</si>
  <si>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</si>
  <si>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</si>
  <si>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</si>
  <si>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</si>
  <si>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</si>
  <si>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</si>
  <si>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</si>
  <si>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</si>
  <si>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</si>
  <si>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</si>
  <si>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</si>
  <si>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</si>
  <si>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</si>
  <si>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</si>
  <si>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</si>
  <si>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</si>
  <si>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</si>
  <si>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</si>
  <si>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</si>
  <si>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</si>
  <si>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</si>
  <si>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</si>
  <si>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</si>
  <si>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</si>
  <si>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</si>
  <si>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</si>
  <si>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</si>
  <si>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</si>
  <si>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</si>
  <si>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</si>
  <si>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</si>
  <si>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</si>
  <si>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</si>
  <si>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</si>
  <si>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</si>
  <si>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</si>
  <si>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</si>
  <si>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</si>
  <si>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</si>
  <si>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</si>
  <si>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</si>
  <si>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</si>
  <si>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</si>
  <si>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</si>
  <si>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</si>
  <si>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</si>
  <si>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</si>
  <si>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</si>
  <si>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SECTION: VERIFIED NEW INTEGRATIONS (S-075)</t>
  </si>
  <si>
    <t>GovTribe MCP Server</t>
  </si>
  <si>
    <t>Market Intel</t>
  </si>
  <si>
    <t>🟡 VERIFIED — NOT YET CONNECTED</t>
  </si>
  <si>
    <t>Claude Settings &gt; Connectors (OAuth)</t>
  </si>
  <si>
    <t>govtribe.com/account-mcp</t>
  </si>
  <si>
    <t>50+ MCP tools: federal opp search, awards, IDVs, vendors, forecasts, contacts + GovExec/Defense One reporting. Credit-based. Could replace Tavily+GovWin.</t>
  </si>
  <si>
    <t>"Prioritizing the Warfighter" EO</t>
  </si>
  <si>
    <t>Policy/Compliance</t>
  </si>
  <si>
    <t>✅ VERIFIED — ACTIVE EO</t>
  </si>
  <si>
    <t>AI Agent monitoring</t>
  </si>
  <si>
    <t>whitehouse.gov/presidential-actions/2026/01/</t>
  </si>
  <si>
    <t>Jan 7 2026 EO. Restricts buybacks/dividends for underperforming defense contractors. New DFARS clauses. Targets large primes — creates teaming opportunity for EIS as reliable small biz partner.</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</si>
  <si>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</si>
  <si>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</si>
  <si>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</si>
  <si>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</si>
  <si>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</si>
  <si>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</si>
  <si>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</si>
  <si>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</si>
  <si>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</si>
  <si>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</si>
  <si>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</si>
  <si>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</si>
  <si>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</si>
  <si>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</si>
  <si>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</si>
  <si>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</si>
  <si>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</si>
  <si>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</si>
  <si>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</si>
  <si>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</si>
  <si>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</si>
  <si>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</si>
  <si>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</si>
  <si>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</si>
  <si>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</si>
  <si>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</si>
  <si>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</si>
  <si>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</si>
  <si>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</si>
  <si>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</si>
  <si>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</si>
  <si>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</si>
  <si>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</si>
  <si>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</si>
  <si>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</si>
  <si>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</si>
  <si>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</si>
  <si>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</si>
  <si>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</si>
  <si>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</si>
  <si>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</si>
  <si>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</si>
  <si>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</si>
  <si>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</si>
  <si>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</si>
  <si>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</si>
  <si>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</si>
  <si>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</si>
  <si>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</si>
  <si>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</si>
  <si>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</si>
  <si>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</si>
  <si>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</si>
  <si>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</si>
  <si>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</si>
  <si>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gda-govwin</t>
  </si>
  <si>
    <t>GovWin data ingestion. Competitive intelligence and opportunity pipeline data from GovWin.</t>
  </si>
  <si>
    <t>Intelligence data feed API. Aggregates intel from multiple sources for dashboard.</t>
  </si>
  <si>
    <t>Save/star individual opportunities to database.</t>
  </si>
  <si>
    <t>gda-saved-opps</t>
  </si>
  <si>
    <t>List and delete saved/starred opportunities.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</si>
  <si>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</si>
  <si>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</si>
  <si>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</si>
  <si>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</si>
  <si>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</si>
  <si>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</si>
  <si>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General-purpose knowledge base query endpoint.</t>
  </si>
  <si>
    <t>gda-dashboard-intel</t>
  </si>
  <si>
    <t>Powers main dashboard — daily brief, intel tables, headlines. 25-node workflow.</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</si>
  <si>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</si>
  <si>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</si>
  <si>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</si>
  <si>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</si>
  <si>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</si>
  <si>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</si>
  <si>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</si>
  <si>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</si>
  <si>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</si>
  <si>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</si>
  <si>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Generate landing page content briefs.</t>
  </si>
  <si>
    <t>CATEGORY: AUTOMATION &amp; EXPORT (5 workflows)</t>
  </si>
  <si>
    <t>AI email drafting. Light theme deployed S-050. Drafts responses for user review.</t>
  </si>
  <si>
    <t>Meeting notes → extract action items → push to tracker.</t>
  </si>
  <si>
    <t>gda-ppt-gen</t>
  </si>
  <si>
    <t>Auto-generate briefing decks from GDA data.</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</si>
  <si>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</si>
  <si>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</si>
  <si>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</si>
  <si>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</si>
  <si>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</si>
  <si>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</si>
  <si>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Learning</t>
  </si>
  <si>
    <t>Accept/reject/modify/defer/flag on AI recommendations. Closed learning system (LL-038).</t>
  </si>
  <si>
    <t>Chat History</t>
  </si>
  <si>
    <t>Save/list/get/pin/search chat history. Persistent conversations across sessions.</t>
  </si>
  <si>
    <t>gda-learn</t>
  </si>
  <si>
    <t>Captures ALL platform interactions. trackEvent() from all 14 modules (LL-039). Fire-and-forget.</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</si>
  <si>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</si>
  <si>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</si>
  <si>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</si>
  <si>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</si>
  <si>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</si>
  <si>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</si>
  <si>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</si>
  <si>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</si>
  <si>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</si>
  <si>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</si>
  <si>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</si>
  <si>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</si>
  <si>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</si>
  <si>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</si>
  <si>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</si>
  <si>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</si>
  <si>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</si>
  <si>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</si>
  <si>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</si>
  <si>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</si>
  <si>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</si>
  <si>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</si>
  <si>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</si>
  <si>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</si>
  <si>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</si>
  <si>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</si>
  <si>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</si>
  <si>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</si>
  <si>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</si>
  <si>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</si>
  <si>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</si>
  <si>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</si>
  <si>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</si>
  <si>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</si>
  <si>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</si>
  <si>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</si>
  <si>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</si>
  <si>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</si>
  <si>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</si>
  <si>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</si>
  <si>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</si>
  <si>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</si>
  <si>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</si>
  <si>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</si>
  <si>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</si>
  <si>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</si>
  <si>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</si>
  <si>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</si>
  <si>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</si>
  <si>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</si>
  <si>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</si>
  <si>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</si>
  <si>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</si>
  <si>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</si>
  <si>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</si>
  <si>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</si>
  <si>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</si>
  <si>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</si>
  <si>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</si>
  <si>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</si>
  <si>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</si>
  <si>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</si>
  <si>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</si>
  <si>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</si>
  <si>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</si>
  <si>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</si>
  <si>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</si>
  <si>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</si>
  <si>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</si>
  <si>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</si>
  <si>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</si>
  <si>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</si>
  <si>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</si>
  <si>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</si>
  <si>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</si>
  <si>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</si>
  <si>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</si>
  <si>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</si>
  <si>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</si>
  <si>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</si>
  <si>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</si>
  <si>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</si>
  <si>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</si>
  <si>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</si>
  <si>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</si>
  <si>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</si>
  <si>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</si>
  <si>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</si>
  <si>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</si>
  <si>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</si>
  <si>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</si>
  <si>
    <t>S-076 NEW WORKFLOWS</t>
  </si>
  <si>
    <t>cS4SQ8tVeAvGm3ht</t>
  </si>
  <si>
    <t>Risk Intel</t>
  </si>
  <si>
    <t>CRUD for risk_register — list/create/update/delete. Path: gda-risk</t>
  </si>
  <si>
    <t>GDA.sched.daily-briefing</t>
  </si>
  <si>
    <t>EZ3vi9pUuXjqnRdH</t>
  </si>
  <si>
    <t>Intelligence</t>
  </si>
  <si>
    <t>Daily 06:00 UTC. Aggregates action items + risks + trades + opps → briefing JSON. Path: gda-daily-brief</t>
  </si>
  <si>
    <t>schwab-token-refresh (rebuilt)</t>
  </si>
  <si>
    <t>QDtXXMqp0JEAYbkc</t>
  </si>
  <si>
    <t>Token refresh scheduler — keeps Schwab OAuth tokens valid. Rebuilt S-076.</t>
  </si>
  <si>
    <t>SCHWAB TRADING WORKFLOWS (S-076 — ALL LIVE)</t>
  </si>
  <si>
    <t>Trading/OAuth</t>
  </si>
  <si>
    <t>OAuth callback — auth code → tokens</t>
  </si>
  <si>
    <t>Order placement (version fixed S-076)</t>
  </si>
  <si>
    <t>Account data (version fixed S-076)</t>
  </si>
  <si>
    <t>Quotes, history, options, movers</t>
  </si>
  <si>
    <t>Token refresh 25min (REBUILT S-076)</t>
  </si>
  <si>
    <t>GDA.sched.trade-engine</t>
  </si>
  <si>
    <t>1G4gw4N7DFtVZKF7</t>
  </si>
  <si>
    <t>20-node scanner. Cron: market hours Mon-Fri</t>
  </si>
  <si>
    <t>GDA.api.trade-control</t>
  </si>
  <si>
    <t>NQmaj5nu4TBQxBgD</t>
  </si>
  <si>
    <t>Scan route fixed S-075. Start/stop/dashboard.</t>
  </si>
  <si>
    <t>Trade journal CRUD</t>
  </si>
  <si>
    <t>GDA.api.trade-scans</t>
  </si>
  <si>
    <t>RIS6TTn5W4Ytl2Up</t>
  </si>
  <si>
    <t>11 nodes, 3 routes (latest/list/signals)</t>
  </si>
  <si>
    <t>PeLGDqgLAsEh5Gsd</t>
  </si>
  <si>
    <t>/webhook/gda-opp-refresh + daily 05:00 UTC</t>
  </si>
  <si>
    <t>16 nodes, dual trigger, EIS scoring engine, PG upsert</t>
  </si>
  <si>
    <t>f8d8aba</t>
  </si>
  <si>
    <t>OODA-002 fix webhook path gda-ooda-loop to gda-ooda</t>
  </si>
  <si>
    <t>3.57s</t>
  </si>
  <si>
    <t>971709f</t>
  </si>
  <si>
    <t>TC-003 email + sidebar (NAV partial)</t>
  </si>
  <si>
    <t>3.19s</t>
  </si>
  <si>
    <t>SUCCESS but NAV mismatch</t>
  </si>
  <si>
    <t>05feb4a</t>
  </si>
  <si>
    <t>EMERGENCY restore from f8d8aba (0-byte crash)</t>
  </si>
  <si>
    <t>4.67s</t>
  </si>
  <si>
    <t>RESTORE</t>
  </si>
  <si>
    <t>6a455d9</t>
  </si>
  <si>
    <t>TC-003 email wire + sidebar PM_EXEC rename</t>
  </si>
  <si>
    <t>4.13s</t>
  </si>
  <si>
    <t>021613f</t>
  </si>
  <si>
    <t>Sidebar PM/BD visual split - group headers for Program Management, Business Development, Admin</t>
  </si>
  <si>
    <t>3.59s</t>
  </si>
  <si>
    <t>c6c5d14</t>
  </si>
  <si>
    <t>CI-002-006 CompIntel 10-tab COMP Analysis (overview, orgchart, leadership, 5yr spend, vendors, contracts, NAICS, geographic, set-asides, AI chat)</t>
  </si>
  <si>
    <t>5.72s</t>
  </si>
  <si>
    <t>a3477f4</t>
  </si>
  <si>
    <t>OODA-003 OpsDashboard+TargetAgencies gold standard upgrade (4 tabs, AI panel, structured tables)</t>
  </si>
  <si>
    <t>4.81s</t>
  </si>
  <si>
    <t>OODA-003 OpsDash+TargetAgencies gold standard (4 tabs, AI panel)</t>
  </si>
  <si>
    <t>4d2bd0e</t>
  </si>
  <si>
    <t>SAM.gov link fix v1 (index=opp search)</t>
  </si>
  <si>
    <t>4.68s</t>
  </si>
  <si>
    <t>afef1f8</t>
  </si>
  <si>
    <t>SAM.gov link fix v2 (SPA search format)</t>
  </si>
  <si>
    <t>4.70s</t>
  </si>
  <si>
    <t>ee49f72</t>
  </si>
  <si>
    <t>SAM.gov link fix v3 (clean search page + title hint)</t>
  </si>
  <si>
    <t>4.31s</t>
  </si>
  <si>
    <t>65540a6</t>
  </si>
  <si>
    <t>Wire Launchpad to live opp-tracker API + sam_url deep links</t>
  </si>
  <si>
    <t>4.02s</t>
  </si>
  <si>
    <t>3e1c54e</t>
  </si>
  <si>
    <t>Opp link cascade: sam_url→noticeId→solicitation→fallback</t>
  </si>
  <si>
    <t>4.78s</t>
  </si>
  <si>
    <t>677ffbc</t>
  </si>
  <si>
    <t>S.nav() style fix (OpsDash/CompIntel/TargetAgencies crash) + OODA format</t>
  </si>
  <si>
    <t>4.14s</t>
  </si>
  <si>
    <t>Action Items title display fix attempt (regex miss)</t>
  </si>
  <si>
    <t>NO-OP</t>
  </si>
  <si>
    <t>Action Items title display fix v2 (regex miss)</t>
  </si>
  <si>
    <t>e1948b9</t>
  </si>
  <si>
    <t>Fix AI title bug, remove SAM.gov, IDIQ on-ramp, AI charts</t>
  </si>
  <si>
    <t>3.16s</t>
  </si>
  <si>
    <t>b42642b</t>
  </si>
  <si>
    <t>IDIQ nav entry + sidebar action btn (misplaced)</t>
  </si>
  <si>
    <t>3.40s</t>
  </si>
  <si>
    <t>SUCCESS (btn misplaced)</t>
  </si>
  <si>
    <t>47b6602</t>
  </si>
  <si>
    <t>IDIQ nav + sidebar action btn fix placement</t>
  </si>
  <si>
    <t>── S-070 CONTINUATION (Session 2) ──</t>
  </si>
  <si>
    <t>ec4a619</t>
  </si>
  <si>
    <t>Sidebar Action Items btn fix (wider, slimmer)</t>
  </si>
  <si>
    <t>4.62s</t>
  </si>
  <si>
    <t>2f2666a</t>
  </si>
  <si>
    <t>CI-002-006 CompIntel 10-tab with USASOC brief data (+108/-19)</t>
  </si>
  <si>
    <t>5.08s</t>
  </si>
  <si>
    <t>308d480</t>
  </si>
  <si>
    <t>CI fix: USASOC separated from SOCOM, ternary fix</t>
  </si>
  <si>
    <t>4.60s</t>
  </si>
  <si>
    <t>7a24fdc</t>
  </si>
  <si>
    <t>CI conditionals (BUILD FAIL - unclosed ternary)</t>
  </si>
  <si>
    <t>a28dc26</t>
  </si>
  <si>
    <t>CI REBUILT: free-text research, no dropdown, no hardcoded data</t>
  </si>
  <si>
    <t>5.31s</t>
  </si>
  <si>
    <t>c5d2e9c</t>
  </si>
  <si>
    <t>Sidebar btn symmetrical padding 8px all sides</t>
  </si>
  <si>
    <t>4.83s</t>
  </si>
  <si>
    <t>4b800f1</t>
  </si>
  <si>
    <t>Sidebar btn centered L/R (calc 100%-20px, margin auto)</t>
  </si>
  <si>
    <t>4.66s</t>
  </si>
  <si>
    <t>41e569b</t>
  </si>
  <si>
    <t>Sidebar btn -&gt; quick-add card (not navigation) +SidebarQuickAdd component</t>
  </si>
  <si>
    <t>4.45s</t>
  </si>
  <si>
    <t>72f079d</t>
  </si>
  <si>
    <t>Launchpad: KPI center, DoW, news links, SRC remove, acq tip, View Analysis nav (8 changes)</t>
  </si>
  <si>
    <t>4.75s</t>
  </si>
  <si>
    <t>55fa3b1</t>
  </si>
  <si>
    <t>Fix _gdaNavigate wiring (was _gdaNav)</t>
  </si>
  <si>
    <t>4.41s</t>
  </si>
  <si>
    <t>6d22d1a</t>
  </si>
  <si>
    <t>Top Opps clickable to SAM.gov (sam_url/noticeId)</t>
  </si>
  <si>
    <t>3.73s</t>
  </si>
  <si>
    <t>1a68641</t>
  </si>
  <si>
    <t>Chart+KPI drill modals: real programs, click-to-navigate, sources</t>
  </si>
  <si>
    <t>3.52s</t>
  </si>
  <si>
    <t>d7e6287</t>
  </si>
  <si>
    <t>OppTracker API fix: POST gda-opp-tracker (was GET gda-opp-tracker-v2)</t>
  </si>
  <si>
    <t>4.53s</t>
  </si>
  <si>
    <t>f20978d</t>
  </si>
  <si>
    <t>3 webhook 404s fixed (comp-intel-&gt;competitive, pptx-gen-&gt;pptx, comp-intel-&gt;competitive) + comp news nav</t>
  </si>
  <si>
    <t>4.05s</t>
  </si>
  <si>
    <t>e644d65</t>
  </si>
  <si>
    <t>OppTracker program detail: score breakdown, so_what, EIS/PD/Riverstone fit, capture action, SAM link</t>
  </si>
  <si>
    <t>6.95s</t>
  </si>
  <si>
    <t>e096f9b</t>
  </si>
  <si>
    <t>Launchpad: charts+KPIs wired to live opp data (not hardcoded)</t>
  </si>
  <si>
    <t>7.77s</t>
  </si>
  <si>
    <t>f276077</t>
  </si>
  <si>
    <t>Action Items KPI on Launchpad wired to live Postgres count</t>
  </si>
  <si>
    <t>3.79s</t>
  </si>
  <si>
    <t>a0ea2af</t>
  </si>
  <si>
    <t>ScoreBadge hover: full Need/40+Financial/30+OODA/30 breakdown</t>
  </si>
  <si>
    <t>3.55s</t>
  </si>
  <si>
    <t>6fa06b3</t>
  </si>
  <si>
    <t>Program detail: COMPOSITE SCORE with Need/Fin/OODA breakdown line</t>
  </si>
  <si>
    <t>3.61s</t>
  </si>
  <si>
    <t>a9af829</t>
  </si>
  <si>
    <t>Top Opps: new headers (Score, Urgency, Fit, Capture Action), bar chart styling, View All link</t>
  </si>
  <si>
    <t>3.14s</t>
  </si>
  <si>
    <t>f0f13f9</t>
  </si>
  <si>
    <t>Top Opps tbody: Score color-coded, Urgency badge, Primary Fit, Capture Action</t>
  </si>
  <si>
    <t>3.47s</t>
  </si>
  <si>
    <t>6c7fc91</t>
  </si>
  <si>
    <t>Top Opps rows clickable to OppTracker, so_what tooltip on hover</t>
  </si>
  <si>
    <t>3.37s</t>
  </si>
  <si>
    <t>84baa95</t>
  </si>
  <si>
    <t>Restore + DoW fix in acquisition topic (after build fail on so_what subtitle)</t>
  </si>
  <si>
    <t>3.35s</t>
  </si>
  <si>
    <t>d2d376f</t>
  </si>
  <si>
    <t>Final clean restore to stable state</t>
  </si>
  <si>
    <t>ee97c2f</t>
  </si>
  <si>
    <t>LP-002/004/006/008 Launchpad drill-downs + chart clicks</t>
  </si>
  <si>
    <t>3.05s</t>
  </si>
  <si>
    <t>e987b3a</t>
  </si>
  <si>
    <t>RT-001-005 Red Team doc upload + chat + 9 doc types</t>
  </si>
  <si>
    <t>3.13s</t>
  </si>
  <si>
    <t>78a29d3</t>
  </si>
  <si>
    <t>AI-001-006 AI Agent doc upload save delete refresh</t>
  </si>
  <si>
    <t>4.46s</t>
  </si>
  <si>
    <t>d32758f</t>
  </si>
  <si>
    <t>PR-001-003 + RAG-001 Presentations + DocRAG doc upload</t>
  </si>
  <si>
    <t>f77e64a</t>
  </si>
  <si>
    <t>OPS-001-003 + TC-001/004 Ops dashboard + Trading charts</t>
  </si>
  <si>
    <t>d1a6296</t>
  </si>
  <si>
    <t>CI-007/008/009 14 competitors + size filter + AI chat</t>
  </si>
  <si>
    <t>3.49s</t>
  </si>
  <si>
    <t>6e26583</t>
  </si>
  <si>
    <t>TC-002/003 Trading AI chat + email toggle</t>
  </si>
  <si>
    <t>3.50s</t>
  </si>
  <si>
    <t>RISK REGISTER — 8 RISKS SEEDED (S-077, SQL ready for MCP)</t>
  </si>
  <si>
    <t>Title</t>
  </si>
  <si>
    <t>Due</t>
  </si>
  <si>
    <t>R-1</t>
  </si>
  <si>
    <t>IEWS SETA Recompete — Must Win</t>
  </si>
  <si>
    <t>Business Dev</t>
  </si>
  <si>
    <t>2026-04-30</t>
  </si>
  <si>
    <t>R-2</t>
  </si>
  <si>
    <t>$100M Revenue Target Gap</t>
  </si>
  <si>
    <t>Financial</t>
  </si>
  <si>
    <t>2026-06-30</t>
  </si>
  <si>
    <t>R-3</t>
  </si>
  <si>
    <t>Key Personnel SPOF</t>
  </si>
  <si>
    <t>Operational</t>
  </si>
  <si>
    <t>2026-05-15</t>
  </si>
  <si>
    <t>R-4</t>
  </si>
  <si>
    <t>SOCOM Competitive Pressure</t>
  </si>
  <si>
    <t>Competitive</t>
  </si>
  <si>
    <t>2026-04-15</t>
  </si>
  <si>
    <t>R-5</t>
  </si>
  <si>
    <t>Iran Budget Reallocation</t>
  </si>
  <si>
    <t>External</t>
  </si>
  <si>
    <t>R-6</t>
  </si>
  <si>
    <t>API Access Blocked</t>
  </si>
  <si>
    <t>Technical</t>
  </si>
  <si>
    <t>2026-03-20</t>
  </si>
  <si>
    <t>R-7</t>
  </si>
  <si>
    <t>Recompete Resource Strain</t>
  </si>
  <si>
    <t>R-8</t>
  </si>
  <si>
    <t>Credential Exposure</t>
  </si>
  <si>
    <t>Claude/Shawn</t>
  </si>
  <si>
    <t>2026-03-18</t>
  </si>
  <si>
    <t>MONDAY PRE-MARKET SCAN — March 16, 2026 (SQL ready for MCP)</t>
  </si>
  <si>
    <t>Market Risk Level: HIGH | S&amp;P 6,632 (2026 low) | VIX 27 | WTI $98.71 | Iran Week 3 | FOMC Wed</t>
  </si>
  <si>
    <t>Signal</t>
  </si>
  <si>
    <t>Symbol</t>
  </si>
  <si>
    <t>Direction</t>
  </si>
  <si>
    <t>Entry</t>
  </si>
  <si>
    <t>Stop</t>
  </si>
  <si>
    <t>Target</t>
  </si>
  <si>
    <t>Confidence</t>
  </si>
  <si>
    <t>R:R</t>
  </si>
  <si>
    <t>SIG-001</t>
  </si>
  <si>
    <t>XAR</t>
  </si>
  <si>
    <t>LONG</t>
  </si>
  <si>
    <t>$175.50</t>
  </si>
  <si>
    <t>$170.25</t>
  </si>
  <si>
    <t>$186.00</t>
  </si>
  <si>
    <t>78%</t>
  </si>
  <si>
    <t>1:2.0</t>
  </si>
  <si>
    <t>SIG-002</t>
  </si>
  <si>
    <t>SHLD</t>
  </si>
  <si>
    <t>$75.50</t>
  </si>
  <si>
    <t>$73.25</t>
  </si>
  <si>
    <t>$80.00</t>
  </si>
  <si>
    <t>75%</t>
  </si>
  <si>
    <t>THESIS</t>
  </si>
  <si>
    <t>Defense +53% trailing 12mo. Iran sustains demand. Trump $1.5T FY27 budget. Global defense spending +8.1% YoY. XAR equal-weighted mid-cap. Risk: ceasefire reversal.</t>
  </si>
  <si>
    <t>S-077 E2E TEST RESULTS — 13 Endpoints (March 15, 2026)</t>
  </si>
  <si>
    <t>8 PASS | 2 TIMEOUT (AI-heavy, work on schedule) | 3 WEBHOOK REGISTRATION FAILURE</t>
  </si>
  <si>
    <t>Action Needed</t>
  </si>
  <si>
    <t>Returns opportunities array</t>
  </si>
  <si>
    <t>gda-daily-brief</t>
  </si>
  <si>
    <t>Returns briefing object</t>
  </si>
  <si>
    <t>AI-heavy, works on schedule trigger</t>
  </si>
  <si>
    <t>None — expected behavior</t>
  </si>
  <si>
    <t>gda-trade-scans</t>
  </si>
  <si>
    <t>Returns scan + signals, 200 OK</t>
  </si>
  <si>
    <t>Returns actions array</t>
  </si>
  <si>
    <t>gda-risk-register</t>
  </si>
  <si>
    <t>Returns risks array</t>
  </si>
  <si>
    <t>Returns SITREP data</t>
  </si>
  <si>
    <t>gda-comp-intel</t>
  </si>
  <si>
    <t>Returns OODA state</t>
  </si>
  <si>
    <t>Returns RAG results</t>
  </si>
  <si>
    <t>Webhook 404 — registration bug</t>
  </si>
  <si>
    <t>Manual toggle OFF/ON in n8n UI</t>
  </si>
  <si>
    <t>gda-opp-refresh</t>
  </si>
  <si>
    <t>DB HEALTH</t>
  </si>
  <si>
    <t>17 GDA tables, 81 total. Site returning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</si>
</sst>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mm:ss"/>
    <numFmt numFmtId="166" formatCode="yyyy\-mm\-dd\ hh:mm"/>
    <numFmt numFmtId="167" formatCode="\$#,##0.00"/>
    <numFmt numFmtId="168" formatCode="mm/dd/yy"/>
    <numFmt numFmtId="169" formatCode="yyyy\-mm\-dd"/>
  </numFmts>
  <fonts count="210">
    <font>
      <sz val="11"/>
      <color theme="1"/>
      <name val="Aptos Narrow"/>
      <family val="2"/>
      <charset val="1"/>
    </font>
    <font>
      <b/>
      <sz val="14"/>
      <name val="Inter"/>
      <charset val="1"/>
    </font>
    <font>
      <sz val="10"/>
      <name val="Inter"/>
      <charset val="1"/>
    </font>
    <font>
      <b/>
      <sz val="11"/>
      <color rgb="FFFFFFFF"/>
      <name val="Inter"/>
      <charset val="1"/>
    </font>
    <font>
      <b/>
      <sz val="10"/>
      <color rgb="FFFFFFFF"/>
      <name val="Inter"/>
      <charset val="1"/>
    </font>
    <font>
      <b/>
      <sz val="10"/>
      <name val="Inter"/>
      <charset val="1"/>
    </font>
    <font>
      <b/>
      <sz val="11"/>
      <color rgb="FFFFFFFF"/>
      <name val="Arial"/>
      <charset val="1"/>
    </font>
    <font>
      <sz val="10"/>
      <color rgb="FF333333"/>
      <name val="Arial"/>
      <charset val="1"/>
    </font>
    <font>
      <sz val="10"/>
      <name val="Consolas"/>
      <charset val="1"/>
    </font>
    <font>
      <b/>
      <sz val="10"/>
      <color rgb="FF1A7A3A"/>
      <name val="Arial"/>
      <charset val="1"/>
    </font>
    <font>
      <b/>
      <sz val="10"/>
      <color rgb="FFC0392B"/>
      <name val="Arial"/>
      <charset val="1"/>
    </font>
    <font>
      <b/>
      <sz val="11"/>
      <color rgb="FF0D1B3E"/>
      <name val="Arial"/>
      <charset val="1"/>
    </font>
    <font>
      <b/>
      <sz val="10"/>
      <color rgb="FF0D1B3E"/>
      <name val="Arial"/>
      <charset val="1"/>
    </font>
    <font>
      <sz val="9"/>
      <name val="Consolas"/>
      <charset val="1"/>
    </font>
    <font>
      <b/>
      <sz val="14"/>
      <color rgb="FFFFFFFF"/>
      <name val="Arial"/>
      <family val="2"/>
      <charset val="1"/>
    </font>
    <font>
      <i/>
      <sz val="9"/>
      <name val="Arial"/>
      <family val="2"/>
      <charset val="1"/>
    </font>
    <font>
      <sz val="9"/>
      <name val="Arial"/>
      <family val="2"/>
      <charset val="1"/>
    </font>
    <font>
      <b/>
      <sz val="11"/>
      <color rgb="FFFFFFFF"/>
      <name val="Arial"/>
      <family val="2"/>
      <charset val="1"/>
    </font>
    <font>
      <b/>
      <sz val="10"/>
      <name val="Arial"/>
      <family val="2"/>
      <charset val="1"/>
    </font>
    <font>
      <sz val="10"/>
      <name val="Arial"/>
      <family val="2"/>
      <charset val="1"/>
    </font>
    <font>
      <sz val="11"/>
      <color rgb="FF006644"/>
      <name val="Aptos Narrow"/>
      <family val="2"/>
      <charset val="1"/>
    </font>
    <font>
      <b/>
      <sz val="11"/>
      <color rgb="FF006400"/>
      <name val="Aptos Narrow"/>
      <family val="2"/>
      <charset val="1"/>
    </font>
    <font>
      <b/>
      <sz val="12"/>
      <color rgb="FFFFFFFF"/>
      <name val="Calibri"/>
      <family val="2"/>
      <charset val="1"/>
    </font>
    <font>
      <sz val="10"/>
      <color rgb="FF000000"/>
      <name val="Calibri"/>
      <family val="2"/>
      <charset val="1"/>
    </font>
    <font>
      <b/>
      <sz val="11"/>
      <color rgb="FFFFFFFF"/>
      <name val="Calibri"/>
      <family val="2"/>
      <charset val="1"/>
    </font>
    <font>
      <b/>
      <sz val="10"/>
      <color rgb="FF000000"/>
      <name val="Calibri"/>
      <family val="2"/>
      <charset val="1"/>
    </font>
    <font>
      <b/>
      <sz val="10"/>
      <color rgb="FFC62828"/>
      <name val="Inter"/>
      <charset val="1"/>
    </font>
    <font>
      <b/>
      <sz val="14"/>
      <color rgb="FF1B2A4A"/>
      <name val="Arial"/>
      <family val="2"/>
      <charset val="1"/>
    </font>
    <font>
      <sz val="10"/>
      <color theme="1"/>
      <name val="Aptos Narrow"/>
      <family val="2"/>
      <charset val="1"/>
    </font>
    <font>
      <b/>
      <sz val="12"/>
      <color rgb="FF1B2A4A"/>
      <name val="Inter"/>
      <charset val="1"/>
    </font>
    <font>
      <sz val="10"/>
      <color rgb="FF1A2744"/>
      <name val="Inter"/>
      <charset val="1"/>
    </font>
    <font>
      <sz val="10"/>
      <color rgb="FF2E7D32"/>
      <name val="Inter"/>
      <charset val="1"/>
    </font>
    <font>
      <b/>
      <sz val="10"/>
      <color rgb="FF2E7D32"/>
      <name val="Inter"/>
      <charset val="1"/>
    </font>
    <font>
      <b/>
      <sz val="10"/>
      <color rgb="FFD4722C"/>
      <name val="Inter"/>
      <charset val="1"/>
    </font>
    <font>
      <b/>
      <sz val="10"/>
      <color rgb="FF1A2744"/>
      <name val="Inter"/>
      <charset val="1"/>
    </font>
    <font>
      <b/>
      <sz val="10"/>
      <color rgb="FFC6901E"/>
      <name val="Inter"/>
      <charset val="1"/>
    </font>
    <font>
      <b/>
      <sz val="10"/>
      <color rgb="FFFFFFFF"/>
      <name val="Aptos Narrow"/>
      <family val="2"/>
      <charset val="1"/>
    </font>
    <font>
      <sz val="10"/>
      <color rgb="FF444444"/>
      <name val="Inter"/>
      <charset val="1"/>
    </font>
    <font>
      <b/>
      <sz val="10"/>
      <color rgb="FFF57F17"/>
      <name val="Inter"/>
      <charset val="1"/>
    </font>
    <font>
      <b/>
      <sz val="10"/>
      <color rgb="FF53565A"/>
      <name val="Inter"/>
      <charset val="1"/>
    </font>
    <font>
      <b/>
      <sz val="12"/>
      <color rgb="FF1B2A4A"/>
      <name val="Aptos Narrow"/>
      <family val="2"/>
      <charset val="1"/>
    </font>
    <font>
      <sz val="10"/>
      <name val="Arial"/>
      <charset val="1"/>
    </font>
    <font>
      <i/>
      <sz val="10"/>
      <color rgb="FF888888"/>
      <name val="Inter"/>
      <charset val="1"/>
    </font>
    <font>
      <b/>
      <sz val="10"/>
      <color rgb="FF1B2A4A"/>
      <name val="Aptos Narrow"/>
      <family val="2"/>
      <charset val="1"/>
    </font>
    <font>
      <i/>
      <sz val="10"/>
      <color rgb="FF53565A"/>
      <name val="Inter"/>
      <charset val="1"/>
    </font>
    <font>
      <b/>
      <sz val="10"/>
      <color theme="1"/>
      <name val="Aptos Narrow"/>
      <family val="2"/>
      <charset val="1"/>
    </font>
    <font>
      <b/>
      <sz val="10"/>
      <color rgb="FFFF0000"/>
      <name val="Aptos Narrow"/>
      <family val="2"/>
      <charset val="1"/>
    </font>
    <font>
      <sz val="10"/>
      <color rgb="FFFF0000"/>
      <name val="Aptos Narrow"/>
      <family val="2"/>
      <charset val="1"/>
    </font>
    <font>
      <b/>
      <sz val="10"/>
      <color rgb="FF008000"/>
      <name val="Aptos Narrow"/>
      <family val="2"/>
      <charset val="1"/>
    </font>
    <font>
      <b/>
      <sz val="10"/>
      <color rgb="FFFFFFFF"/>
      <name val="Arial"/>
      <family val="2"/>
      <charset val="1"/>
    </font>
    <font>
      <b/>
      <sz val="10"/>
      <color rgb="FF1A2744"/>
      <name val="Arial"/>
      <family val="2"/>
      <charset val="1"/>
    </font>
    <font>
      <sz val="10"/>
      <color rgb="FF1A2744"/>
      <name val="Arial"/>
      <family val="2"/>
      <charset val="1"/>
    </font>
    <font>
      <sz val="10"/>
      <color rgb="FF2E7D32"/>
      <name val="Arial"/>
      <family val="2"/>
      <charset val="1"/>
    </font>
    <font>
      <b/>
      <sz val="10"/>
      <color rgb="FFCC5500"/>
      <name val="Arial"/>
      <family val="2"/>
      <charset val="1"/>
    </font>
    <font>
      <b/>
      <sz val="11"/>
      <color rgb="FFC65D21"/>
      <name val="Arial"/>
      <family val="2"/>
      <charset val="1"/>
    </font>
    <font>
      <sz val="11"/>
      <color rgb="FF000000"/>
      <name val="Arial"/>
      <family val="2"/>
      <charset val="1"/>
    </font>
    <font>
      <b/>
      <sz val="10"/>
      <color rgb="FFC65D21"/>
      <name val="Arial"/>
      <charset val="1"/>
    </font>
    <font>
      <sz val="10"/>
      <color rgb="FFFF0000"/>
      <name val="Arial"/>
      <charset val="1"/>
    </font>
    <font>
      <b/>
      <sz val="10"/>
      <color rgb="FF006400"/>
      <name val="Arial"/>
      <charset val="1"/>
    </font>
    <font>
      <b/>
      <sz val="10"/>
      <color rgb="FF008000"/>
      <name val="Inter"/>
      <charset val="1"/>
    </font>
    <font>
      <b/>
      <sz val="10"/>
      <color rgb="FFC65D21"/>
      <name val="Inter"/>
      <charset val="1"/>
    </font>
    <font>
      <b/>
      <i/>
      <sz val="10"/>
      <color rgb="FFFF0000"/>
      <name val="Inter"/>
      <charset val="1"/>
    </font>
    <font>
      <sz val="10"/>
      <color rgb="FF1A2744"/>
      <name val="Aptos Narrow"/>
      <family val="2"/>
      <charset val="1"/>
    </font>
    <font>
      <b/>
      <sz val="10"/>
      <color rgb="FFFF0000"/>
      <name val="Inter"/>
      <charset val="1"/>
    </font>
    <font>
      <b/>
      <sz val="10"/>
      <color rgb="FFC65D21"/>
      <name val="Arial"/>
      <family val="2"/>
      <charset val="1"/>
    </font>
    <font>
      <b/>
      <sz val="10"/>
      <color rgb="FF2E7D32"/>
      <name val="Arial"/>
      <family val="2"/>
      <charset val="1"/>
    </font>
    <font>
      <b/>
      <sz val="11"/>
      <color theme="1"/>
      <name val="Aptos Narrow"/>
      <family val="2"/>
      <charset val="1"/>
    </font>
    <font>
      <sz val="10"/>
      <color theme="1"/>
      <name val="Arial"/>
      <family val="2"/>
      <charset val="1"/>
    </font>
    <font>
      <sz val="9"/>
      <color rgb="FF555555"/>
      <name val="Arial"/>
      <charset val="1"/>
    </font>
    <font>
      <b/>
      <sz val="11"/>
      <color rgb="FF2D6A2D"/>
      <name val="Arial"/>
      <family val="2"/>
      <charset val="1"/>
    </font>
    <font>
      <b/>
      <sz val="10"/>
      <name val="Arial"/>
      <charset val="1"/>
    </font>
    <font>
      <sz val="9"/>
      <name val="Arial"/>
      <charset val="1"/>
    </font>
    <font>
      <b/>
      <sz val="10"/>
      <color rgb="FF444444"/>
      <name val="Inter"/>
      <charset val="1"/>
    </font>
    <font>
      <b/>
      <sz val="10"/>
      <color rgb="FFFFFFFF"/>
      <name val="Aptos"/>
      <family val="2"/>
      <charset val="1"/>
    </font>
    <font>
      <i/>
      <sz val="10"/>
      <color rgb="FFFFFFFF"/>
      <name val="Aptos"/>
      <family val="2"/>
      <charset val="1"/>
    </font>
    <font>
      <sz val="10"/>
      <color rgb="FFFFFFFF"/>
      <name val="Aptos"/>
      <family val="2"/>
      <charset val="1"/>
    </font>
    <font>
      <i/>
      <sz val="10"/>
      <color rgb="FF666666"/>
      <name val="Aptos"/>
      <family val="2"/>
      <charset val="1"/>
    </font>
    <font>
      <b/>
      <sz val="10"/>
      <color rgb="FF1A2744"/>
      <name val="Aptos"/>
      <family val="2"/>
      <charset val="1"/>
    </font>
    <font>
      <sz val="10"/>
      <color theme="1"/>
      <name val="Aptos"/>
      <family val="2"/>
      <charset val="1"/>
    </font>
    <font>
      <sz val="10"/>
      <color rgb="FF1A2744"/>
      <name val="Aptos"/>
      <family val="2"/>
      <charset val="1"/>
    </font>
    <font>
      <b/>
      <sz val="10"/>
      <color rgb="FF2E7D32"/>
      <name val="Aptos"/>
      <family val="2"/>
      <charset val="1"/>
    </font>
    <font>
      <b/>
      <sz val="10"/>
      <color rgb="FFC65D21"/>
      <name val="Aptos"/>
      <family val="2"/>
      <charset val="1"/>
    </font>
    <font>
      <b/>
      <sz val="10"/>
      <color rgb="FF888888"/>
      <name val="Aptos"/>
      <family val="2"/>
      <charset val="1"/>
    </font>
    <font>
      <b/>
      <sz val="10"/>
      <color rgb="FFB71C1C"/>
      <name val="Aptos"/>
      <family val="2"/>
      <charset val="1"/>
    </font>
    <font>
      <sz val="10"/>
      <color rgb="FF888888"/>
      <name val="Aptos"/>
      <family val="2"/>
      <charset val="1"/>
    </font>
    <font>
      <i/>
      <sz val="10"/>
      <color rgb="FF666666"/>
      <name val="Inter"/>
      <charset val="1"/>
    </font>
    <font>
      <b/>
      <sz val="10"/>
      <color theme="1"/>
      <name val="Inter"/>
      <charset val="1"/>
    </font>
    <font>
      <b/>
      <sz val="11"/>
      <color theme="1"/>
      <name val="Inter"/>
      <charset val="1"/>
    </font>
    <font>
      <sz val="11"/>
      <color rgb="FF999999"/>
      <name val="Aptos Narrow"/>
      <family val="2"/>
      <charset val="1"/>
    </font>
    <font>
      <sz val="11"/>
      <color rgb="FFFF0000"/>
      <name val="Aptos Narrow"/>
      <family val="2"/>
      <charset val="1"/>
    </font>
    <font>
      <b/>
      <sz val="10"/>
      <color rgb="FF999999"/>
      <name val="Inter"/>
      <charset val="1"/>
    </font>
    <font>
      <b/>
      <sz val="11"/>
      <name val="Aptos Narrow"/>
      <family val="2"/>
      <charset val="1"/>
    </font>
    <font>
      <sz val="10"/>
      <color rgb="FF006644"/>
      <name val="Arial"/>
      <family val="2"/>
      <charset val="1"/>
    </font>
    <font>
      <sz val="10"/>
      <color rgb="FFBF2600"/>
      <name val="Arial"/>
      <family val="2"/>
      <charset val="1"/>
    </font>
    <font>
      <sz val="10"/>
      <name val="Arial"/>
    </font>
    <font>
      <b/>
      <sz val="11"/>
      <color rgb="FFFFFFFF"/>
      <name val="Arial"/>
    </font>
    <font>
      <b/>
      <sz val="11"/>
      <color rgb="FFD4722C"/>
      <name val="Arial"/>
    </font>
    <font>
      <b/>
      <sz val="12"/>
      <color rgb="FFFFFFFF"/>
      <name val="Arial"/>
    </font>
    <font>
      <b/>
      <sz val="11"/>
      <color rgb="FF1B2A4A"/>
      <name val="Arial"/>
    </font>
    <font>
      <b/>
      <sz val="10"/>
      <color rgb="FF2ECC71"/>
      <name val="Arial"/>
    </font>
    <font>
      <b/>
      <sz val="10"/>
      <color rgb="FFE74C3C"/>
      <name val="Arial"/>
    </font>
    <font>
      <b/>
      <sz val="10"/>
      <color rgb="FFF1C40F"/>
      <name val="Arial"/>
    </font>
    <font>
      <b/>
      <sz val="10"/>
      <color rgb="FFFFFFFF"/>
      <name val="Arial"/>
    </font>
    <font>
      <b/>
      <sz val="10"/>
      <color rgb="FF1B2A4A"/>
      <name val="Arial"/>
    </font>
    <font>
      <b/>
      <sz val="10"/>
      <color rgb="FFD4722C"/>
      <name val="Arial"/>
    </font>
    <font>
      <i/>
      <sz val="10"/>
      <color rgb="FF8492A6"/>
      <name val="Arial"/>
    </font>
    <font>
      <b/>
      <sz val="11"/>
      <color rgb="FFE74C3C"/>
      <name val="Arial"/>
    </font>
    <font>
      <b/>
      <sz val="11"/>
      <color rgb="FFF1C40F"/>
      <name val="Arial"/>
    </font>
    <font>
      <b/>
      <sz val="12"/>
      <color rgb="FFD4722C"/>
      <name val="Arial"/>
    </font>
    <font>
      <b/>
      <sz val="11"/>
      <color rgb="FF1B2A4A"/>
      <name val="Arial"/>
    </font>
    <font>
      <sz val="11"/>
      <color rgb="FF1B2A4A"/>
      <name val="Arial"/>
    </font>
    <font>
      <b/>
      <sz val="11"/>
      <color rgb="FFFFFFFF"/>
      <name val="Arial"/>
    </font>
    <font>
      <b/>
      <sz val="11"/>
      <color rgb="FF2ECC71"/>
      <name val="Arial"/>
    </font>
    <font>
      <b/>
      <sz val="11"/>
      <color rgb="FF4A90D9"/>
      <name val="Arial"/>
    </font>
    <font>
      <b/>
      <sz val="11"/>
      <color rgb="FFE74C3C"/>
      <name val="Arial"/>
    </font>
    <font>
      <b/>
      <sz val="11"/>
      <color rgb="FFD4722C"/>
      <name val="Arial"/>
    </font>
    <font>
      <b/>
      <sz val="11"/>
      <color rgb="FF8492A6"/>
      <name val="Arial"/>
    </font>
    <font>
      <b/>
      <sz val="14"/>
      <color rgb="FF1B2A4A"/>
      <name val="Arial"/>
    </font>
    <font>
      <b/>
      <sz val="10"/>
      <color rgb="FF1B2A4A"/>
      <name val="Arial"/>
    </font>
    <font>
      <sz val="10"/>
      <color rgb="FF333333"/>
      <name val="Arial"/>
    </font>
    <font>
      <b/>
      <sz val="11"/>
      <color rgb="FFFFFFFF"/>
      <name val="Arial"/>
    </font>
    <font>
      <b/>
      <sz val="12"/>
      <color rgb="FF1B2A4A"/>
      <name val="Arial"/>
    </font>
    <font>
      <sz val="10"/>
      <color rgb="FF1A7A3A"/>
      <name val="Arial"/>
    </font>
    <font>
      <b/>
      <sz val="12"/>
      <color rgb="FFBF2600"/>
      <name val="Arial"/>
    </font>
    <font>
      <sz val="10"/>
      <color rgb="FFBF2600"/>
      <name val="Arial"/>
    </font>
    <font>
      <sz val="10"/>
      <color rgb="FFD4722C"/>
      <name val="Arial"/>
    </font>
    <font>
      <b/>
      <sz val="12"/>
      <color rgb="FFFFFFFF"/>
      <name val="Arial"/>
    </font>
    <font>
      <sz val="10"/>
      <color rgb="FF1B2A4A"/>
      <name val="Arial"/>
    </font>
    <font>
      <b/>
      <sz val="14"/>
      <color rgb="FF1B2A4A"/>
      <name val="Arial"/>
    </font>
    <font>
      <b/>
      <sz val="11"/>
      <color rgb="FFD4722C"/>
      <name val="Arial"/>
    </font>
    <font>
      <b/>
      <sz val="11"/>
      <color rgb="FFFFFFFF"/>
      <name val="Arial"/>
    </font>
    <font>
      <b/>
      <sz val="10"/>
      <color rgb="FF065F46"/>
      <name val="Arial"/>
    </font>
    <font>
      <b/>
      <sz val="14"/>
      <color rgb="FF1B2A4A"/>
      <name val="Arial"/>
    </font>
    <font>
      <b/>
      <sz val="11"/>
      <color rgb="FF1B2A4A"/>
      <name val="Arial"/>
    </font>
    <font>
      <sz val="10"/>
      <color rgb="FF1B2A4A"/>
      <name val="Arial"/>
    </font>
    <font>
      <b/>
      <sz val="10"/>
      <color rgb="FFFFFFFF"/>
      <name val="Arial"/>
    </font>
    <font>
      <b/>
      <sz val="12"/>
      <color rgb="FFD4722C"/>
      <name val="Arial"/>
    </font>
    <font>
      <sz val="11"/>
      <color rgb="FF1B2A4A"/>
      <name val="Arial"/>
    </font>
    <font>
      <b/>
      <sz val="14"/>
      <color rgb="FF1B2A4A"/>
      <name val="Arial"/>
    </font>
    <font>
      <b/>
      <sz val="11"/>
      <color rgb="FF1B2A4A"/>
      <name val="Arial"/>
    </font>
    <font>
      <b/>
      <sz val="11"/>
      <color rgb="FFD4722C"/>
      <name val="Arial"/>
    </font>
    <font>
      <b/>
      <sz val="11"/>
      <color rgb="FFDC2626"/>
      <name val="Arial"/>
    </font>
    <font>
      <b/>
      <sz val="11"/>
      <color rgb="FF059669"/>
      <name val="Arial"/>
    </font>
    <font>
      <b/>
      <sz val="14"/>
      <color rgb="FFFFFFFF"/>
      <name val="Arial"/>
    </font>
    <font>
      <b/>
      <sz val="12"/>
      <color rgb="FF1B3A5C"/>
      <name val="Arial"/>
    </font>
    <font>
      <b/>
      <sz val="10"/>
      <name val="Arial"/>
    </font>
    <font>
      <b/>
      <sz val="10"/>
      <color rgb="FFCC0000"/>
      <name val="Arial"/>
    </font>
    <font>
      <sz val="10"/>
      <color rgb="FF006600"/>
      <name val="Arial"/>
    </font>
    <font>
      <sz val="10"/>
      <color rgb="FFCC0000"/>
      <name val="Arial"/>
    </font>
    <font>
      <sz val="10"/>
      <color rgb="FFCC6600"/>
      <name val="Arial"/>
    </font>
    <font>
      <b/>
      <sz val="10"/>
      <color rgb="FFCC6600"/>
      <name val="Arial"/>
    </font>
    <font>
      <sz val="9"/>
      <name val="Consolas"/>
    </font>
    <font>
      <sz val="10"/>
      <name val="Consolas"/>
    </font>
    <font>
      <b/>
      <sz val="14"/>
      <color rgb="FFFFFFFF"/>
      <name val="Aptos Narrow"/>
    </font>
    <font>
      <b/>
      <sz val="11"/>
      <color rgb="FF1B2A4A"/>
      <name val="Aptos Narrow"/>
    </font>
    <font>
      <sz val="10"/>
      <name val="Aptos Narrow"/>
    </font>
    <font>
      <b/>
      <sz val="10"/>
      <color rgb="FF16A34A"/>
      <name val="Aptos Narrow"/>
    </font>
    <font>
      <b/>
      <sz val="10"/>
      <color rgb="FFDC2626"/>
      <name val="Aptos Narrow"/>
    </font>
    <font>
      <b/>
      <sz val="14"/>
      <color rgb="FFFFFFFF"/>
      <name val="Arial"/>
    </font>
    <font>
      <b/>
      <sz val="11"/>
      <color rgb="FF1B2A4A"/>
      <name val="Arial"/>
    </font>
    <font>
      <sz val="10"/>
      <color rgb="FF059669"/>
      <name val="Arial"/>
    </font>
    <font>
      <sz val="10"/>
      <color rgb="FFDC2626"/>
      <name val="Arial"/>
    </font>
    <font>
      <sz val="10"/>
      <color rgb="FFD97706"/>
      <name val="Arial"/>
    </font>
    <font>
      <b/>
      <sz val="12"/>
      <color rgb="FFFFFFFF"/>
      <name val="Aptos Narrow"/>
    </font>
    <font>
      <b/>
      <sz val="9"/>
      <name val="Aptos Narrow"/>
    </font>
    <font>
      <sz val="9"/>
      <name val="Aptos Narrow"/>
    </font>
    <font>
      <b/>
      <sz val="10"/>
      <color rgb="FF1B2A4A"/>
      <name val="Aptos Narrow"/>
    </font>
    <font>
      <b/>
      <sz val="9"/>
      <color rgb="FFFFFFFF"/>
      <name val="Aptos Narrow"/>
    </font>
    <font>
      <i/>
      <sz val="9"/>
      <name val="Aptos Narrow"/>
    </font>
    <font>
      <b/>
      <sz val="9"/>
      <color rgb="FF1B2A4A"/>
      <name val="Aptos Narrow"/>
    </font>
    <font>
      <sz val="9"/>
      <color rgb="FF0070C0"/>
      <name val="Aptos Narrow"/>
    </font>
    <font>
      <b/>
      <sz val="11"/>
      <color rgb="FFFFFFFF"/>
      <name val="Aptos Narrow"/>
    </font>
    <font>
      <b/>
      <sz val="14"/>
      <color rgb="FF1B2A4A"/>
      <name val="Aptos Narrow"/>
    </font>
    <font>
      <b/>
      <sz val="10"/>
      <name val="Aptos Narrow"/>
    </font>
    <font>
      <sz val="10"/>
      <color rgb="FF1B2A4A"/>
      <name val="Aptos Narrow"/>
    </font>
    <font>
      <b/>
      <sz val="11"/>
      <color rgb="FFD4722C"/>
      <name val="Aptos Narrow"/>
    </font>
    <font>
      <sz val="10"/>
      <color rgb="FF059669"/>
      <name val="Aptos Narrow"/>
    </font>
    <font>
      <sz val="10"/>
      <color rgb="FFDC2626"/>
      <name val="Aptos Narrow"/>
    </font>
    <font>
      <sz val="10"/>
      <color rgb="FFD97706"/>
      <name val="Aptos Narrow"/>
    </font>
    <font>
      <b/>
      <sz val="11"/>
      <color rgb="FFFFFFFF"/>
      <name val="Aptos Narrow"/>
    </font>
    <font>
      <b/>
      <sz val="10"/>
      <color rgb="FFFFFFFF"/>
      <name val="Arial"/>
    </font>
    <font>
      <sz val="9"/>
      <color rgb="FF2C2C2A"/>
      <name val="Arial"/>
    </font>
    <font>
      <b/>
      <sz val="10"/>
      <color rgb="FF1B2A4A"/>
      <name val="Arial"/>
    </font>
    <font>
      <b/>
      <sz val="14"/>
      <color rgb="FFD14A2A"/>
      <name val="Aptos Narrow"/>
    </font>
    <font>
      <b/>
      <sz val="11"/>
      <color rgb="FFD14A2A"/>
      <name val="Aptos Narrow"/>
    </font>
    <font>
      <b/>
      <sz val="11"/>
      <color rgb="FF008000"/>
      <name val="Aptos Narrow"/>
    </font>
    <font>
      <b/>
      <sz val="14"/>
      <color rgb="FFFFFFFF"/>
      <name val="Arial"/>
    </font>
    <font>
      <b/>
      <sz val="10"/>
      <color rgb="FF555555"/>
      <name val="Arial"/>
    </font>
    <font>
      <sz val="10"/>
      <color rgb="FF1A2744"/>
      <name val="Arial"/>
    </font>
    <font>
      <b/>
      <sz val="11"/>
      <color rgb="FFD14A2A"/>
      <name val="Arial"/>
    </font>
    <font>
      <sz val="10"/>
      <color rgb="FF006644"/>
      <name val="Consolas"/>
    </font>
    <font>
      <b/>
      <sz val="10"/>
      <color rgb="FF006644"/>
      <name val="Arial"/>
    </font>
    <font>
      <b/>
      <sz val="10"/>
      <color rgb="FF974F0C"/>
      <name val="Arial"/>
    </font>
    <font>
      <b/>
      <sz val="10"/>
      <color rgb="FF1A2744"/>
      <name val="Arial"/>
    </font>
    <font>
      <b/>
      <sz val="14"/>
      <color rgb="FF1F3864"/>
      <name val="Arial"/>
    </font>
    <font>
      <b/>
      <sz val="12"/>
      <color rgb="FF1F3864"/>
      <name val="Arial"/>
    </font>
    <font>
      <b/>
      <sz val="11"/>
      <color rgb="FFFFFFFF"/>
      <name val="Arial"/>
    </font>
    <font>
      <b/>
      <sz val="10"/>
      <color rgb="FF1F3864"/>
      <name val="Arial"/>
    </font>
    <font>
      <b/>
      <sz val="12"/>
      <color rgb="FFD14A2A"/>
      <name val="Arial"/>
    </font>
    <font>
      <b/>
      <sz val="10"/>
      <color rgb="FFD14A2A"/>
      <name val="Arial"/>
    </font>
    <font>
      <b/>
      <sz val="14"/>
      <color rgb="FFFFFFFF"/>
      <name val="Aptos Narrow"/>
    </font>
    <font>
      <b/>
      <sz val="11"/>
      <color rgb="FF5091A7"/>
      <name val="Aptos Narrow"/>
    </font>
    <font>
      <b/>
      <sz val="10"/>
      <name val="Aptos Narrow"/>
    </font>
    <font>
      <sz val="10"/>
      <name val="Aptos Narrow"/>
    </font>
    <font>
      <sz val="10"/>
      <color rgb="FF2F5C1F"/>
      <name val="Aptos Narrow"/>
    </font>
    <font>
      <b/>
      <sz val="10"/>
      <color rgb="FFD14A2A"/>
      <name val="Aptos Narrow"/>
    </font>
    <font>
      <sz val="10"/>
      <color rgb="FFD14A2A"/>
      <name val="Aptos Narrow"/>
    </font>
    <font>
      <b/>
      <sz val="14"/>
      <name val="Aptos Narrow"/>
    </font>
    <font>
      <b/>
      <sz val="11"/>
      <name val="Aptos Narrow"/>
    </font>
    <font>
      <b/>
      <sz val="11"/>
      <name val="Aptos Narrow"/>
    </font>
  </fonts>
  <fills count="90">
    <fill>
      <patternFill patternType="none"/>
    </fill>
    <fill>
      <patternFill patternType="gray125"/>
    </fill>
    <fill>
      <patternFill patternType="solid">
        <fgColor rgb="FFF0F2F5"/>
        <bgColor rgb="FFF0F0F0"/>
      </patternFill>
    </fill>
    <fill>
      <patternFill patternType="solid">
        <fgColor rgb="FFFFFFFF"/>
        <bgColor rgb="FFF9FAFB"/>
      </patternFill>
    </fill>
    <fill>
      <patternFill patternType="solid">
        <fgColor rgb="FF1A3C6E"/>
        <bgColor rgb="FF2D3E5F"/>
      </patternFill>
    </fill>
    <fill>
      <patternFill patternType="solid">
        <fgColor rgb="FF1B2A4A"/>
        <bgColor rgb="FF1A2744"/>
      </patternFill>
    </fill>
    <fill>
      <patternFill patternType="solid">
        <fgColor rgb="FFF9F9F6"/>
        <bgColor rgb="FFF9FAFB"/>
      </patternFill>
    </fill>
    <fill>
      <patternFill patternType="solid">
        <fgColor rgb="FFFFEBEE"/>
        <bgColor rgb="FFFBE9E7"/>
      </patternFill>
    </fill>
    <fill>
      <patternFill patternType="solid">
        <fgColor rgb="FFE8F5E9"/>
        <bgColor rgb="FFF0F0F0"/>
      </patternFill>
    </fill>
    <fill>
      <patternFill patternType="solid">
        <fgColor rgb="FFFFF8E1"/>
        <bgColor rgb="FFFDF3EC"/>
      </patternFill>
    </fill>
    <fill>
      <patternFill patternType="solid">
        <fgColor rgb="FF0D1B3E"/>
        <bgColor rgb="FF0A1628"/>
      </patternFill>
    </fill>
    <fill>
      <patternFill patternType="solid">
        <fgColor rgb="FF1A2744"/>
        <bgColor rgb="FF1B2A4A"/>
      </patternFill>
    </fill>
    <fill>
      <patternFill patternType="solid">
        <fgColor rgb="FFC65D21"/>
        <bgColor rgb="FFCC5500"/>
      </patternFill>
    </fill>
    <fill>
      <patternFill patternType="solid">
        <fgColor rgb="FFD9E2F3"/>
        <bgColor rgb="FFE0E0E0"/>
      </patternFill>
    </fill>
    <fill>
      <patternFill patternType="solid">
        <fgColor rgb="FFD5F5E3"/>
        <bgColor rgb="FFE3FCEF"/>
      </patternFill>
    </fill>
    <fill>
      <patternFill patternType="solid">
        <fgColor rgb="FFC6EFCE"/>
        <bgColor rgb="FFD9EAD3"/>
      </patternFill>
    </fill>
    <fill>
      <patternFill patternType="solid">
        <fgColor rgb="FFFFF2CC"/>
        <bgColor rgb="FFF5ECD7"/>
      </patternFill>
    </fill>
    <fill>
      <patternFill patternType="solid">
        <fgColor rgb="FFE8EBF0"/>
        <bgColor rgb="FFE5E7EB"/>
      </patternFill>
    </fill>
    <fill>
      <patternFill patternType="solid">
        <fgColor rgb="FFE8EDE4"/>
        <bgColor rgb="FFE8EBF0"/>
      </patternFill>
    </fill>
    <fill>
      <patternFill patternType="solid">
        <fgColor rgb="FFF5ECD7"/>
        <bgColor rgb="FFF5F0E6"/>
      </patternFill>
    </fill>
    <fill>
      <patternFill patternType="solid">
        <fgColor rgb="FFC62828"/>
        <bgColor rgb="FFB71C1C"/>
      </patternFill>
    </fill>
    <fill>
      <patternFill patternType="solid">
        <fgColor rgb="FF0A1628"/>
        <bgColor rgb="FF0D1B3E"/>
      </patternFill>
    </fill>
    <fill>
      <patternFill patternType="darkGray">
        <fgColor rgb="FF1B2B3D"/>
        <bgColor rgb="FF1A2744"/>
      </patternFill>
    </fill>
    <fill>
      <patternFill patternType="solid">
        <fgColor rgb="FFF9FAFB"/>
        <bgColor rgb="FFF9F9F6"/>
      </patternFill>
    </fill>
    <fill>
      <patternFill patternType="solid">
        <fgColor rgb="FFF9F4F0"/>
        <bgColor rgb="FFFDF3EC"/>
      </patternFill>
    </fill>
    <fill>
      <patternFill patternType="solid">
        <fgColor rgb="FFD9EAD3"/>
        <bgColor rgb="FFE0E0E0"/>
      </patternFill>
    </fill>
    <fill>
      <patternFill patternType="solid">
        <fgColor rgb="FF2D3E5F"/>
        <bgColor rgb="FF1A3C6E"/>
      </patternFill>
    </fill>
    <fill>
      <patternFill patternType="solid">
        <fgColor rgb="FFE8E0D0"/>
        <bgColor rgb="FFE0E0E0"/>
      </patternFill>
    </fill>
    <fill>
      <patternFill patternType="solid">
        <fgColor rgb="FFF5F0E6"/>
        <bgColor rgb="FFF0F0F0"/>
      </patternFill>
    </fill>
    <fill>
      <patternFill patternType="solid">
        <fgColor rgb="FFFBE9E7"/>
        <bgColor rgb="FFFFEBEE"/>
      </patternFill>
    </fill>
    <fill>
      <patternFill patternType="solid">
        <fgColor rgb="FFFDF3EC"/>
        <bgColor rgb="FFF9F4F0"/>
      </patternFill>
    </fill>
    <fill>
      <patternFill patternType="solid">
        <fgColor rgb="FFF0F0F0"/>
        <bgColor rgb="FFF0F2F5"/>
      </patternFill>
    </fill>
    <fill>
      <patternFill patternType="solid">
        <fgColor rgb="FF8B0000"/>
        <bgColor rgb="FFB71C1C"/>
      </patternFill>
    </fill>
    <fill>
      <patternFill patternType="solid">
        <fgColor rgb="FFFFFF00"/>
        <bgColor rgb="FFFFF2CC"/>
      </patternFill>
    </fill>
    <fill>
      <patternFill patternType="solid">
        <fgColor rgb="FFE3FCEF"/>
        <bgColor rgb="FFE8F5E9"/>
      </patternFill>
    </fill>
    <fill>
      <patternFill patternType="solid">
        <fgColor rgb="FF1B2A4A"/>
      </patternFill>
    </fill>
    <fill>
      <patternFill patternType="solid">
        <fgColor rgb="FFE74C3C"/>
      </patternFill>
    </fill>
    <fill>
      <patternFill patternType="solid">
        <fgColor rgb="FFD4722C"/>
      </patternFill>
    </fill>
    <fill>
      <patternFill patternType="solid">
        <fgColor rgb="FFF1C40F"/>
      </patternFill>
    </fill>
    <fill>
      <patternFill patternType="solid">
        <fgColor rgb="FFE8F5E9"/>
      </patternFill>
    </fill>
    <fill>
      <patternFill patternType="solid">
        <fgColor rgb="FFFFF3E0"/>
      </patternFill>
    </fill>
    <fill>
      <patternFill patternType="solid">
        <fgColor rgb="FFFFEBEE"/>
      </patternFill>
    </fill>
    <fill>
      <patternFill patternType="solid">
        <fgColor rgb="FF1B2A4A"/>
      </patternFill>
    </fill>
    <fill>
      <patternFill patternType="solid">
        <fgColor rgb="FF1B2A4A"/>
      </patternFill>
    </fill>
    <fill>
      <patternFill patternType="solid">
        <fgColor rgb="FFE6F4EA"/>
      </patternFill>
    </fill>
    <fill>
      <patternFill patternType="solid">
        <fgColor rgb="FFCC0000"/>
      </patternFill>
    </fill>
    <fill>
      <patternFill patternType="solid">
        <fgColor rgb="FFD4722C"/>
      </patternFill>
    </fill>
    <fill>
      <patternFill patternType="solid">
        <fgColor rgb="FF5B9BD5"/>
      </patternFill>
    </fill>
    <fill>
      <patternFill patternType="solid">
        <fgColor rgb="FF1B2A4A"/>
      </patternFill>
    </fill>
    <fill>
      <patternFill patternType="solid">
        <fgColor rgb="FFD1FAE5"/>
      </patternFill>
    </fill>
    <fill>
      <patternFill patternType="solid">
        <fgColor rgb="FF1B2A4A"/>
      </patternFill>
    </fill>
    <fill>
      <patternFill patternType="solid">
        <fgColor rgb="FFD5F5E3"/>
      </patternFill>
    </fill>
    <fill>
      <patternFill patternType="solid">
        <fgColor rgb="FFFFFFFF"/>
      </patternFill>
    </fill>
    <fill>
      <patternFill patternType="solid">
        <fgColor rgb="FFF8F9FB"/>
      </patternFill>
    </fill>
    <fill>
      <patternFill patternType="solid">
        <fgColor rgb="FFECFDF5"/>
      </patternFill>
    </fill>
    <fill>
      <patternFill patternType="solid">
        <fgColor rgb="FFFEF2F2"/>
      </patternFill>
    </fill>
    <fill>
      <patternFill patternType="solid">
        <fgColor rgb="FF1B3A5C"/>
      </patternFill>
    </fill>
    <fill>
      <patternFill patternType="solid">
        <fgColor rgb="FFE8F0FE"/>
      </patternFill>
    </fill>
    <fill>
      <patternFill patternType="solid">
        <fgColor rgb="FFFDE0D0"/>
      </patternFill>
    </fill>
    <fill>
      <patternFill patternType="solid">
        <fgColor rgb="FFFFF3CD"/>
      </patternFill>
    </fill>
    <fill>
      <patternFill patternType="solid">
        <fgColor rgb="FF1B2A4A"/>
      </patternFill>
    </fill>
    <fill>
      <patternFill patternType="solid">
        <fgColor rgb="FF16A34A"/>
      </patternFill>
    </fill>
    <fill>
      <patternFill patternType="solid">
        <fgColor rgb="FFD4722C"/>
      </patternFill>
    </fill>
    <fill>
      <patternFill patternType="solid">
        <fgColor rgb="FFF0F4F8"/>
      </patternFill>
    </fill>
    <fill>
      <patternFill patternType="solid">
        <fgColor rgb="FF1B2A4A"/>
      </patternFill>
    </fill>
    <fill>
      <patternFill patternType="solid">
        <fgColor rgb="FFE8ECF1"/>
      </patternFill>
    </fill>
    <fill>
      <patternFill patternType="solid">
        <fgColor rgb="FF1B2A4A"/>
      </patternFill>
    </fill>
    <fill>
      <patternFill patternType="solid">
        <fgColor rgb="FFD5E8F0"/>
      </patternFill>
    </fill>
    <fill>
      <patternFill patternType="solid">
        <fgColor rgb="FF00B050"/>
      </patternFill>
    </fill>
    <fill>
      <patternFill patternType="solid">
        <fgColor rgb="FF0070C0"/>
      </patternFill>
    </fill>
    <fill>
      <patternFill patternType="solid">
        <fgColor rgb="FFFF8C00"/>
      </patternFill>
    </fill>
    <fill>
      <patternFill patternType="solid">
        <fgColor rgb="FF92D050"/>
      </patternFill>
    </fill>
    <fill>
      <patternFill patternType="solid">
        <fgColor rgb="FFFF0000"/>
      </patternFill>
    </fill>
    <fill>
      <patternFill patternType="solid">
        <fgColor rgb="FF1B2A4A"/>
      </patternFill>
    </fill>
    <fill>
      <patternFill patternType="solid">
        <fgColor rgb="FFECFDF5"/>
      </patternFill>
    </fill>
    <fill>
      <patternFill patternType="solid">
        <fgColor rgb="FF1B2A4A"/>
      </patternFill>
    </fill>
    <fill>
      <patternFill patternType="solid">
        <fgColor rgb="FFEAF3DE"/>
      </patternFill>
    </fill>
    <fill>
      <patternFill patternType="solid">
        <fgColor rgb="FFFAEEDA"/>
      </patternFill>
    </fill>
    <fill>
      <patternFill patternType="solid">
        <fgColor rgb="FFFCEBEB"/>
      </patternFill>
    </fill>
    <fill>
      <patternFill patternType="solid">
        <fgColor rgb="FFF1EFE8"/>
      </patternFill>
    </fill>
    <fill>
      <patternFill patternType="solid">
        <fgColor rgb="FFE6F1FB"/>
      </patternFill>
    </fill>
    <fill>
      <patternFill patternType="solid">
        <fgColor rgb="FF1A2744"/>
      </patternFill>
    </fill>
    <fill>
      <patternFill patternType="solid">
        <fgColor rgb="FFE3FCEF"/>
      </patternFill>
    </fill>
    <fill>
      <patternFill patternType="solid">
        <fgColor rgb="FFFFF3E0"/>
      </patternFill>
    </fill>
    <fill>
      <patternFill patternType="solid">
        <fgColor rgb="FF1F3864"/>
        <bgColor rgb="FF1F3864"/>
      </patternFill>
    </fill>
    <fill>
      <patternFill patternType="solid">
        <fgColor rgb="FFF3F4F6"/>
        <bgColor rgb="FFF3F4F6"/>
      </patternFill>
    </fill>
    <fill>
      <patternFill patternType="solid">
        <fgColor rgb="FFFEF2F2"/>
        <bgColor rgb="FFFEF2F2"/>
      </patternFill>
    </fill>
    <fill>
      <patternFill patternType="solid">
        <fgColor rgb="FF0B1120"/>
      </patternFill>
    </fill>
    <fill>
      <patternFill patternType="solid">
        <fgColor rgb="FFC6EFCE"/>
      </patternFill>
    </fill>
    <fill>
      <patternFill patternType="solid">
        <fgColor rgb="FFFFF2CC"/>
      </patternFill>
    </fill>
  </fills>
  <borders count="37">
    <border>
      <left/>
      <right/>
      <top/>
      <bottom/>
      <diagonal/>
    </border>
    <border>
      <left style="thin">
        <color rgb="FFD0D0D0"/>
      </left>
      <right style="thin">
        <color rgb="FFD0D0D0"/>
      </right>
      <top style="thin">
        <color rgb="FFD0D0D0"/>
      </top>
      <bottom style="thin">
        <color rgb="FFD0D0D0"/>
      </bottom>
      <diagonal/>
    </border>
    <border>
      <left style="thin">
        <color rgb="FFCCCCCC"/>
      </left>
      <right style="thin">
        <color rgb="FFCCCCCC"/>
      </right>
      <top style="thin">
        <color rgb="FFCCCCCC"/>
      </top>
      <bottom style="thin">
        <color rgb="FFCCCCCC"/>
      </bottom>
      <diagonal/>
    </border>
    <border>
      <left/>
      <right/>
      <top/>
      <bottom style="thin">
        <color rgb="FFDDDDD8"/>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DDDD8"/>
      </bottom>
      <diagonal/>
    </border>
    <border>
      <left style="thin">
        <color auto="1"/>
      </left>
      <right style="thin">
        <color auto="1"/>
      </right>
      <top/>
      <bottom style="thin">
        <color rgb="FFDDDDD8"/>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1D5DB"/>
      </left>
      <right style="thin">
        <color rgb="FFD1D5DB"/>
      </right>
      <top style="thin">
        <color rgb="FFD1D5DB"/>
      </top>
      <bottom style="thin">
        <color rgb="FFD1D5DB"/>
      </bottom>
      <diagonal/>
    </border>
    <border>
      <left style="thin">
        <color rgb="FFD1D9E6"/>
      </left>
      <right style="thin">
        <color rgb="FFD1D9E6"/>
      </right>
      <top style="thin">
        <color rgb="FFD1D9E6"/>
      </top>
      <bottom style="thin">
        <color rgb="FFD1D9E6"/>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right/>
      <top/>
      <bottom style="thin">
        <color rgb="FFE8ECF1"/>
      </bottom>
      <diagonal/>
    </border>
    <border>
      <left style="thin">
        <color rgb="FFE8ECF1"/>
      </left>
      <right style="thin">
        <color rgb="FFE8ECF1"/>
      </right>
      <top style="thin">
        <color rgb="FFE8ECF1"/>
      </top>
      <bottom style="thin">
        <color rgb="FFE8ECF1"/>
      </bottom>
      <diagonal/>
    </border>
    <border>
      <left style="thin">
        <color auto="1"/>
      </left>
      <right style="thin">
        <color auto="1"/>
      </right>
      <top style="thin">
        <color auto="1"/>
      </top>
      <bottom style="thin">
        <color auto="1"/>
      </bottom>
      <diagonal/>
    </border>
    <border>
      <left style="thin">
        <color rgb="FFD3D1C7"/>
      </left>
      <right style="thin">
        <color rgb="FFD3D1C7"/>
      </right>
      <top style="thin">
        <color rgb="FFD3D1C7"/>
      </top>
      <bottom style="thin">
        <color rgb="FFD3D1C7"/>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41">
    <xf numFmtId="0" fontId="0" fillId="0" borderId="0" xfId="0"/>
    <xf numFmtId="0" fontId="4" fillId="5" borderId="0" xfId="0" applyFont="1" applyFill="1" applyAlignment="1">
      <alignment horizontal="center" wrapText="1"/>
    </xf>
    <xf numFmtId="0" fontId="1"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4" borderId="1" xfId="0" applyFill="1" applyBorder="1"/>
    <xf numFmtId="0" fontId="4" fillId="5"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10" borderId="2" xfId="0" applyFont="1" applyFill="1" applyBorder="1" applyAlignment="1">
      <alignment horizontal="center" vertical="top" wrapText="1"/>
    </xf>
    <xf numFmtId="0" fontId="7" fillId="0" borderId="2" xfId="0" applyFont="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0" fillId="0" borderId="0" xfId="0"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13" fillId="0" borderId="0" xfId="0" applyFont="1" applyAlignment="1">
      <alignment horizontal="left" vertical="top" wrapText="1"/>
    </xf>
    <xf numFmtId="0" fontId="18" fillId="13" borderId="2" xfId="0" applyFont="1" applyFill="1" applyBorder="1" applyAlignment="1">
      <alignment horizontal="center" vertical="top" wrapText="1"/>
    </xf>
    <xf numFmtId="0" fontId="18" fillId="14" borderId="2" xfId="0" applyFont="1" applyFill="1" applyBorder="1" applyAlignment="1">
      <alignment horizontal="left" vertical="top" wrapText="1"/>
    </xf>
    <xf numFmtId="0" fontId="19" fillId="14" borderId="2" xfId="0" applyFont="1" applyFill="1" applyBorder="1" applyAlignment="1">
      <alignment horizontal="left" vertical="top" wrapText="1"/>
    </xf>
    <xf numFmtId="0" fontId="20" fillId="14" borderId="2" xfId="0" applyFont="1" applyFill="1" applyBorder="1" applyAlignment="1">
      <alignment horizontal="left" vertical="top" wrapText="1"/>
    </xf>
    <xf numFmtId="0" fontId="19" fillId="14" borderId="2" xfId="0" applyFont="1" applyFill="1" applyBorder="1" applyAlignment="1">
      <alignment vertical="top" wrapText="1"/>
    </xf>
    <xf numFmtId="0" fontId="18" fillId="0" borderId="2" xfId="0" applyFont="1" applyBorder="1" applyAlignment="1">
      <alignment horizontal="left" vertical="top" wrapText="1"/>
    </xf>
    <xf numFmtId="0" fontId="19" fillId="0" borderId="2" xfId="0" applyFont="1" applyBorder="1" applyAlignment="1">
      <alignment horizontal="left" vertical="top" wrapText="1"/>
    </xf>
    <xf numFmtId="0" fontId="19" fillId="15" borderId="2" xfId="0" applyFont="1" applyFill="1" applyBorder="1" applyAlignment="1">
      <alignment horizontal="left" vertical="top" wrapText="1"/>
    </xf>
    <xf numFmtId="0" fontId="19" fillId="0" borderId="2" xfId="0" applyFont="1" applyBorder="1" applyAlignment="1">
      <alignment vertical="top" wrapText="1"/>
    </xf>
    <xf numFmtId="0" fontId="21" fillId="14" borderId="2" xfId="0" applyFont="1" applyFill="1" applyBorder="1" applyAlignment="1">
      <alignment horizontal="left" vertical="top" wrapText="1"/>
    </xf>
    <xf numFmtId="0" fontId="0" fillId="0" borderId="0" xfId="0" applyAlignment="1">
      <alignment horizontal="center" wrapText="1"/>
    </xf>
    <xf numFmtId="0" fontId="25" fillId="13" borderId="0" xfId="0" applyFont="1" applyFill="1" applyAlignment="1">
      <alignment horizontal="left" vertical="center" wrapText="1"/>
    </xf>
    <xf numFmtId="0" fontId="23" fillId="3" borderId="0" xfId="0" applyFont="1" applyFill="1" applyAlignment="1">
      <alignment horizontal="left" vertical="center" wrapText="1"/>
    </xf>
    <xf numFmtId="0" fontId="25" fillId="14" borderId="0" xfId="0" applyFont="1" applyFill="1" applyAlignment="1">
      <alignment horizontal="left" vertical="center" wrapText="1"/>
    </xf>
    <xf numFmtId="0" fontId="23" fillId="14" borderId="0" xfId="0" applyFont="1" applyFill="1" applyAlignment="1">
      <alignment horizontal="left" vertical="center" wrapText="1"/>
    </xf>
    <xf numFmtId="0" fontId="25" fillId="16" borderId="0" xfId="0" applyFont="1" applyFill="1" applyAlignment="1">
      <alignment horizontal="left" vertical="center" wrapText="1"/>
    </xf>
    <xf numFmtId="0" fontId="23" fillId="16" borderId="0" xfId="0" applyFont="1" applyFill="1" applyAlignment="1">
      <alignment horizontal="left" vertical="center" wrapText="1"/>
    </xf>
    <xf numFmtId="0" fontId="26" fillId="7" borderId="1" xfId="0" applyFont="1" applyFill="1" applyBorder="1" applyAlignment="1">
      <alignment horizontal="left" vertical="top" wrapText="1"/>
    </xf>
    <xf numFmtId="0" fontId="0" fillId="0" borderId="0" xfId="0" applyAlignment="1">
      <alignment wrapText="1"/>
    </xf>
    <xf numFmtId="0" fontId="28" fillId="3" borderId="0" xfId="0" applyFont="1" applyFill="1" applyAlignment="1">
      <alignment wrapText="1"/>
    </xf>
    <xf numFmtId="0" fontId="4" fillId="5" borderId="3" xfId="0" applyFont="1" applyFill="1" applyBorder="1" applyAlignment="1">
      <alignment horizontal="center" wrapText="1"/>
    </xf>
    <xf numFmtId="0" fontId="30" fillId="3" borderId="0" xfId="0" applyFont="1" applyFill="1" applyAlignment="1">
      <alignment wrapText="1"/>
    </xf>
    <xf numFmtId="0" fontId="30" fillId="3" borderId="0" xfId="0" applyFont="1" applyFill="1" applyAlignment="1">
      <alignment horizontal="center" wrapText="1"/>
    </xf>
    <xf numFmtId="0" fontId="31" fillId="3" borderId="0" xfId="0" applyFont="1" applyFill="1" applyAlignment="1">
      <alignment horizontal="center" wrapText="1"/>
    </xf>
    <xf numFmtId="164" fontId="30" fillId="3" borderId="0" xfId="0" applyNumberFormat="1" applyFont="1" applyFill="1" applyAlignment="1">
      <alignment horizontal="center" wrapText="1"/>
    </xf>
    <xf numFmtId="0" fontId="32" fillId="3" borderId="0" xfId="0" applyFont="1" applyFill="1" applyAlignment="1">
      <alignment horizontal="center" wrapText="1"/>
    </xf>
    <xf numFmtId="0" fontId="30" fillId="6" borderId="0" xfId="0" applyFont="1" applyFill="1" applyAlignment="1">
      <alignment wrapText="1"/>
    </xf>
    <xf numFmtId="0" fontId="30" fillId="6" borderId="0" xfId="0" applyFont="1" applyFill="1" applyAlignment="1">
      <alignment horizontal="center" wrapText="1"/>
    </xf>
    <xf numFmtId="0" fontId="31" fillId="6" borderId="0" xfId="0" applyFont="1" applyFill="1" applyAlignment="1">
      <alignment horizontal="center" wrapText="1"/>
    </xf>
    <xf numFmtId="164" fontId="30" fillId="6" borderId="0" xfId="0" applyNumberFormat="1" applyFont="1" applyFill="1" applyAlignment="1">
      <alignment horizontal="center" wrapText="1"/>
    </xf>
    <xf numFmtId="0" fontId="32" fillId="6" borderId="0" xfId="0" applyFont="1" applyFill="1" applyAlignment="1">
      <alignment horizontal="center" wrapText="1"/>
    </xf>
    <xf numFmtId="0" fontId="33" fillId="3" borderId="0" xfId="0" applyFont="1" applyFill="1" applyAlignment="1">
      <alignment horizontal="center" wrapText="1"/>
    </xf>
    <xf numFmtId="0" fontId="34" fillId="18" borderId="0" xfId="0" applyFont="1" applyFill="1" applyAlignment="1">
      <alignment wrapText="1"/>
    </xf>
    <xf numFmtId="0" fontId="34" fillId="18" borderId="0" xfId="0" applyFont="1" applyFill="1" applyAlignment="1">
      <alignment horizontal="center" wrapText="1"/>
    </xf>
    <xf numFmtId="0" fontId="32" fillId="18" borderId="0" xfId="0" applyFont="1" applyFill="1" applyAlignment="1">
      <alignment horizontal="center" wrapText="1"/>
    </xf>
    <xf numFmtId="164" fontId="34" fillId="18" borderId="0" xfId="0" applyNumberFormat="1" applyFont="1" applyFill="1" applyAlignment="1">
      <alignment horizontal="center" wrapText="1"/>
    </xf>
    <xf numFmtId="0" fontId="35" fillId="6" borderId="0" xfId="0" applyFont="1" applyFill="1" applyAlignment="1">
      <alignment horizontal="center" wrapText="1"/>
    </xf>
    <xf numFmtId="0" fontId="36" fillId="5" borderId="0" xfId="0" applyFont="1" applyFill="1" applyAlignment="1">
      <alignment horizontal="center" wrapText="1"/>
    </xf>
    <xf numFmtId="0" fontId="32" fillId="3" borderId="0" xfId="0" applyFont="1" applyFill="1" applyAlignment="1">
      <alignment wrapText="1"/>
    </xf>
    <xf numFmtId="164" fontId="37" fillId="3" borderId="0" xfId="0" applyNumberFormat="1" applyFont="1" applyFill="1" applyAlignment="1">
      <alignment horizontal="center" wrapText="1"/>
    </xf>
    <xf numFmtId="0" fontId="28" fillId="0" borderId="0" xfId="0" applyFont="1" applyAlignment="1">
      <alignment wrapText="1"/>
    </xf>
    <xf numFmtId="0" fontId="26" fillId="6" borderId="0" xfId="0" applyFont="1" applyFill="1" applyAlignment="1">
      <alignment wrapText="1"/>
    </xf>
    <xf numFmtId="0" fontId="26" fillId="6" borderId="0" xfId="0" applyFont="1" applyFill="1" applyAlignment="1">
      <alignment horizontal="center" wrapText="1"/>
    </xf>
    <xf numFmtId="164" fontId="37" fillId="6" borderId="0" xfId="0" applyNumberFormat="1" applyFont="1" applyFill="1" applyAlignment="1">
      <alignment horizontal="center" wrapText="1"/>
    </xf>
    <xf numFmtId="0" fontId="38" fillId="3" borderId="0" xfId="0" applyFont="1" applyFill="1" applyAlignment="1">
      <alignment wrapText="1"/>
    </xf>
    <xf numFmtId="0" fontId="38" fillId="3" borderId="0" xfId="0" applyFont="1" applyFill="1" applyAlignment="1">
      <alignment horizontal="center" wrapText="1"/>
    </xf>
    <xf numFmtId="0" fontId="35" fillId="6" borderId="0" xfId="0" applyFont="1" applyFill="1" applyAlignment="1">
      <alignment wrapText="1"/>
    </xf>
    <xf numFmtId="0" fontId="39" fillId="3" borderId="0" xfId="0" applyFont="1" applyFill="1" applyAlignment="1">
      <alignment wrapText="1"/>
    </xf>
    <xf numFmtId="0" fontId="39" fillId="3" borderId="0" xfId="0" applyFont="1" applyFill="1" applyAlignment="1">
      <alignment horizontal="center" wrapText="1"/>
    </xf>
    <xf numFmtId="0" fontId="40" fillId="17" borderId="0" xfId="0" applyFont="1" applyFill="1" applyAlignment="1">
      <alignment wrapText="1"/>
    </xf>
    <xf numFmtId="0" fontId="34" fillId="19" borderId="3" xfId="0" applyFont="1" applyFill="1" applyBorder="1" applyAlignment="1">
      <alignment horizontal="center" wrapText="1"/>
    </xf>
    <xf numFmtId="0" fontId="29" fillId="17" borderId="3" xfId="0" applyFont="1" applyFill="1" applyBorder="1" applyAlignment="1">
      <alignment horizontal="center" wrapText="1"/>
    </xf>
    <xf numFmtId="165" fontId="41" fillId="3" borderId="0" xfId="0" applyNumberFormat="1" applyFont="1" applyFill="1" applyAlignment="1">
      <alignment wrapText="1"/>
    </xf>
    <xf numFmtId="0" fontId="42" fillId="3" borderId="0" xfId="0" applyFont="1" applyFill="1" applyAlignment="1">
      <alignment wrapText="1"/>
    </xf>
    <xf numFmtId="166" fontId="42" fillId="3" borderId="0" xfId="0" applyNumberFormat="1" applyFont="1" applyFill="1" applyAlignment="1">
      <alignment wrapText="1"/>
    </xf>
    <xf numFmtId="0" fontId="43" fillId="17" borderId="0" xfId="0" applyFont="1" applyFill="1" applyAlignment="1">
      <alignment wrapText="1"/>
    </xf>
    <xf numFmtId="0" fontId="32" fillId="6" borderId="0" xfId="0" applyFont="1" applyFill="1" applyAlignment="1">
      <alignment wrapText="1"/>
    </xf>
    <xf numFmtId="0" fontId="44" fillId="0" borderId="0" xfId="0" applyFont="1" applyAlignment="1">
      <alignment wrapText="1"/>
    </xf>
    <xf numFmtId="166" fontId="44" fillId="0" borderId="0" xfId="0" applyNumberFormat="1" applyFont="1" applyAlignment="1">
      <alignment wrapText="1"/>
    </xf>
    <xf numFmtId="0" fontId="36" fillId="4" borderId="0" xfId="0" applyFont="1" applyFill="1" applyAlignment="1">
      <alignment wrapText="1"/>
    </xf>
    <xf numFmtId="0" fontId="28" fillId="4" borderId="0" xfId="0" applyFont="1" applyFill="1" applyAlignment="1">
      <alignment wrapText="1"/>
    </xf>
    <xf numFmtId="0" fontId="45" fillId="0" borderId="0" xfId="0" applyFont="1" applyAlignment="1">
      <alignment wrapText="1"/>
    </xf>
    <xf numFmtId="14" fontId="28" fillId="0" borderId="0" xfId="0" applyNumberFormat="1"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5" borderId="0" xfId="0" applyFont="1" applyFill="1" applyAlignment="1">
      <alignment horizontal="left" vertical="top" wrapText="1"/>
    </xf>
    <xf numFmtId="0" fontId="36" fillId="5" borderId="0" xfId="0" applyFont="1" applyFill="1" applyAlignment="1">
      <alignment wrapText="1"/>
    </xf>
    <xf numFmtId="0" fontId="50" fillId="3" borderId="0" xfId="0" applyFont="1" applyFill="1" applyAlignment="1">
      <alignment horizontal="left" vertical="top" wrapText="1"/>
    </xf>
    <xf numFmtId="15" fontId="51" fillId="3" borderId="0" xfId="0" applyNumberFormat="1" applyFont="1" applyFill="1" applyAlignment="1">
      <alignment horizontal="left" vertical="top" wrapText="1"/>
    </xf>
    <xf numFmtId="0" fontId="50" fillId="6" borderId="0" xfId="0" applyFont="1" applyFill="1" applyAlignment="1">
      <alignment horizontal="left" vertical="top" wrapText="1"/>
    </xf>
    <xf numFmtId="0" fontId="51" fillId="6" borderId="0" xfId="0" applyFont="1" applyFill="1" applyAlignment="1">
      <alignment horizontal="left" vertical="top" wrapText="1"/>
    </xf>
    <xf numFmtId="0" fontId="51" fillId="3" borderId="0" xfId="0" applyFont="1" applyFill="1" applyAlignment="1">
      <alignment horizontal="left" vertical="top" wrapText="1"/>
    </xf>
    <xf numFmtId="0" fontId="52" fillId="6" borderId="0" xfId="0" applyFont="1" applyFill="1" applyAlignment="1">
      <alignment horizontal="left" vertical="top" wrapText="1"/>
    </xf>
    <xf numFmtId="0" fontId="52" fillId="3" borderId="0" xfId="0" applyFont="1" applyFill="1" applyAlignment="1">
      <alignment horizontal="left" vertical="top" wrapText="1"/>
    </xf>
    <xf numFmtId="0" fontId="53" fillId="3" borderId="0" xfId="0" applyFont="1" applyFill="1" applyAlignment="1">
      <alignment horizontal="left" vertical="top" wrapText="1"/>
    </xf>
    <xf numFmtId="0" fontId="54" fillId="0" borderId="1" xfId="0" applyFont="1" applyBorder="1" applyAlignment="1">
      <alignment vertical="top" wrapText="1"/>
    </xf>
    <xf numFmtId="0" fontId="55" fillId="0" borderId="1" xfId="0" applyFont="1" applyBorder="1" applyAlignment="1">
      <alignment vertical="top" wrapText="1"/>
    </xf>
    <xf numFmtId="0" fontId="56" fillId="0" borderId="0" xfId="0" applyFont="1" applyAlignment="1">
      <alignment horizontal="left" vertical="top" wrapText="1"/>
    </xf>
    <xf numFmtId="0" fontId="41" fillId="0" borderId="0" xfId="0" applyFont="1" applyAlignment="1">
      <alignment horizontal="left" vertical="top" wrapText="1"/>
    </xf>
    <xf numFmtId="0" fontId="57" fillId="0" borderId="0" xfId="0" applyFont="1" applyAlignment="1">
      <alignment horizontal="left" vertical="top" wrapText="1"/>
    </xf>
    <xf numFmtId="0" fontId="4" fillId="20" borderId="1" xfId="0" applyFont="1" applyFill="1" applyBorder="1" applyAlignment="1">
      <alignment horizontal="left" vertical="top" wrapText="1"/>
    </xf>
    <xf numFmtId="0" fontId="14" fillId="5" borderId="0" xfId="0" applyFont="1" applyFill="1" applyAlignment="1">
      <alignment horizontal="left" wrapText="1"/>
    </xf>
    <xf numFmtId="0" fontId="28" fillId="21" borderId="0" xfId="0" applyFont="1" applyFill="1" applyAlignment="1">
      <alignment wrapText="1"/>
    </xf>
    <xf numFmtId="0" fontId="28" fillId="21" borderId="0" xfId="0" applyFont="1" applyFill="1" applyAlignment="1">
      <alignment horizontal="left" vertical="top" wrapText="1"/>
    </xf>
    <xf numFmtId="0" fontId="50" fillId="22" borderId="4" xfId="0" applyFont="1" applyFill="1" applyBorder="1" applyAlignment="1">
      <alignment horizontal="left" vertical="top" wrapText="1"/>
    </xf>
    <xf numFmtId="0" fontId="51" fillId="22" borderId="4" xfId="0" applyFont="1" applyFill="1" applyBorder="1" applyAlignment="1">
      <alignment horizontal="left" vertical="top" wrapText="1"/>
    </xf>
    <xf numFmtId="0" fontId="28" fillId="0" borderId="0" xfId="0" applyFont="1" applyAlignment="1">
      <alignment horizontal="left" vertical="top" wrapText="1"/>
    </xf>
    <xf numFmtId="0" fontId="50" fillId="0" borderId="5" xfId="0" applyFont="1" applyBorder="1" applyAlignment="1">
      <alignment horizontal="left" vertical="top" wrapText="1"/>
    </xf>
    <xf numFmtId="167" fontId="51" fillId="0" borderId="5" xfId="0" applyNumberFormat="1" applyFont="1" applyBorder="1" applyAlignment="1">
      <alignment horizontal="left" vertical="top" wrapText="1"/>
    </xf>
    <xf numFmtId="0" fontId="51" fillId="0" borderId="5" xfId="0" applyFont="1" applyBorder="1" applyAlignment="1">
      <alignment horizontal="left" vertical="top" wrapText="1"/>
    </xf>
    <xf numFmtId="0" fontId="50" fillId="0" borderId="6" xfId="0" applyFont="1" applyBorder="1" applyAlignment="1">
      <alignment horizontal="left" vertical="top" wrapText="1"/>
    </xf>
    <xf numFmtId="0" fontId="51" fillId="0" borderId="6" xfId="0" applyFont="1" applyBorder="1" applyAlignment="1">
      <alignment horizontal="left" vertical="top" wrapText="1"/>
    </xf>
    <xf numFmtId="0" fontId="56" fillId="0" borderId="0" xfId="0" applyFont="1" applyAlignment="1">
      <alignment wrapText="1"/>
    </xf>
    <xf numFmtId="0" fontId="58" fillId="17" borderId="0" xfId="0" applyFont="1" applyFill="1" applyAlignment="1">
      <alignment horizontal="left" vertical="top" wrapText="1"/>
    </xf>
    <xf numFmtId="0" fontId="58" fillId="22" borderId="0" xfId="0" applyFont="1" applyFill="1" applyAlignment="1">
      <alignment horizontal="left" vertical="top" wrapText="1"/>
    </xf>
    <xf numFmtId="0" fontId="51" fillId="22" borderId="0" xfId="0" applyFont="1" applyFill="1" applyAlignment="1">
      <alignment horizontal="left" vertical="top" wrapText="1"/>
    </xf>
    <xf numFmtId="0" fontId="58" fillId="0" borderId="0" xfId="0" applyFont="1" applyAlignment="1">
      <alignment horizontal="left" vertical="top" wrapText="1"/>
    </xf>
    <xf numFmtId="0" fontId="51" fillId="0" borderId="0" xfId="0" applyFont="1" applyAlignment="1">
      <alignment horizontal="left" vertical="top" wrapText="1"/>
    </xf>
    <xf numFmtId="0" fontId="50" fillId="0" borderId="0" xfId="0" applyFont="1" applyAlignment="1">
      <alignment horizontal="left" vertical="top" wrapText="1"/>
    </xf>
    <xf numFmtId="0" fontId="50" fillId="17" borderId="0" xfId="0" applyFont="1" applyFill="1" applyAlignment="1">
      <alignment horizontal="left" vertical="top" wrapText="1"/>
    </xf>
    <xf numFmtId="0" fontId="2" fillId="0" borderId="1" xfId="0" applyFont="1" applyBorder="1" applyAlignment="1">
      <alignment horizontal="left" vertical="top" wrapText="1"/>
    </xf>
    <xf numFmtId="0" fontId="2" fillId="17" borderId="1" xfId="0" applyFont="1" applyFill="1" applyBorder="1" applyAlignment="1">
      <alignment horizontal="left" vertical="top" wrapText="1"/>
    </xf>
    <xf numFmtId="0" fontId="2" fillId="21" borderId="1" xfId="0" applyFont="1" applyFill="1" applyBorder="1" applyAlignment="1">
      <alignment horizontal="left" vertical="top" wrapText="1"/>
    </xf>
    <xf numFmtId="0" fontId="50" fillId="0" borderId="4" xfId="0" applyFont="1" applyBorder="1" applyAlignment="1">
      <alignment horizontal="left" vertical="top" wrapText="1"/>
    </xf>
    <xf numFmtId="0" fontId="51" fillId="0" borderId="4" xfId="0" applyFont="1" applyBorder="1" applyAlignment="1">
      <alignment horizontal="left" vertical="top" wrapText="1"/>
    </xf>
    <xf numFmtId="0" fontId="2" fillId="4" borderId="1" xfId="0" applyFont="1" applyFill="1" applyBorder="1" applyAlignment="1">
      <alignment horizontal="left" vertical="top" wrapText="1"/>
    </xf>
    <xf numFmtId="0" fontId="49" fillId="5" borderId="0" xfId="0" applyFont="1" applyFill="1" applyAlignment="1">
      <alignment wrapText="1"/>
    </xf>
    <xf numFmtId="0" fontId="36" fillId="5" borderId="0" xfId="0" applyFont="1" applyFill="1"/>
    <xf numFmtId="0" fontId="59" fillId="0" borderId="0" xfId="0" applyFont="1" applyAlignment="1">
      <alignment wrapText="1"/>
    </xf>
    <xf numFmtId="0" fontId="34"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64" fillId="6" borderId="10" xfId="0" applyFont="1" applyFill="1" applyBorder="1" applyAlignment="1">
      <alignment horizontal="center" vertical="top" wrapText="1"/>
    </xf>
    <xf numFmtId="0" fontId="51" fillId="6" borderId="11" xfId="0" applyFont="1" applyFill="1" applyBorder="1" applyAlignment="1">
      <alignment horizontal="left" vertical="top" wrapText="1"/>
    </xf>
    <xf numFmtId="0" fontId="65" fillId="6" borderId="11" xfId="0" applyFont="1" applyFill="1" applyBorder="1" applyAlignment="1">
      <alignment horizontal="center" vertical="top" wrapText="1"/>
    </xf>
    <xf numFmtId="49" fontId="51" fillId="6" borderId="11" xfId="0" applyNumberFormat="1" applyFont="1" applyFill="1" applyBorder="1" applyAlignment="1">
      <alignment horizontal="left" vertical="top" wrapText="1"/>
    </xf>
    <xf numFmtId="0" fontId="51" fillId="6" borderId="12" xfId="0" applyFont="1" applyFill="1" applyBorder="1" applyAlignment="1">
      <alignment horizontal="left" vertical="top" wrapText="1"/>
    </xf>
    <xf numFmtId="0" fontId="64" fillId="3" borderId="10" xfId="0" applyFont="1" applyFill="1" applyBorder="1" applyAlignment="1">
      <alignment horizontal="center" vertical="top" wrapText="1"/>
    </xf>
    <xf numFmtId="0" fontId="51" fillId="3" borderId="11" xfId="0" applyFont="1" applyFill="1" applyBorder="1" applyAlignment="1">
      <alignment horizontal="left" vertical="top" wrapText="1"/>
    </xf>
    <xf numFmtId="0" fontId="65" fillId="3" borderId="11" xfId="0" applyFont="1" applyFill="1" applyBorder="1" applyAlignment="1">
      <alignment horizontal="center" vertical="top" wrapText="1"/>
    </xf>
    <xf numFmtId="49" fontId="51" fillId="3" borderId="11" xfId="0" applyNumberFormat="1" applyFont="1" applyFill="1" applyBorder="1" applyAlignment="1">
      <alignment horizontal="left" vertical="top" wrapText="1"/>
    </xf>
    <xf numFmtId="0" fontId="51" fillId="3" borderId="12" xfId="0" applyFont="1" applyFill="1" applyBorder="1" applyAlignment="1">
      <alignment horizontal="left" vertical="top" wrapText="1"/>
    </xf>
    <xf numFmtId="0" fontId="64" fillId="6" borderId="13" xfId="0" applyFont="1" applyFill="1" applyBorder="1" applyAlignment="1">
      <alignment horizontal="center" vertical="top" wrapText="1"/>
    </xf>
    <xf numFmtId="0" fontId="51" fillId="6" borderId="14" xfId="0" applyFont="1" applyFill="1" applyBorder="1" applyAlignment="1">
      <alignment horizontal="left" vertical="top" wrapText="1"/>
    </xf>
    <xf numFmtId="0" fontId="65" fillId="6" borderId="14" xfId="0" applyFont="1" applyFill="1" applyBorder="1" applyAlignment="1">
      <alignment horizontal="center" vertical="top" wrapText="1"/>
    </xf>
    <xf numFmtId="49" fontId="51" fillId="6" borderId="14" xfId="0" applyNumberFormat="1" applyFont="1" applyFill="1" applyBorder="1" applyAlignment="1">
      <alignment horizontal="left" vertical="top" wrapText="1"/>
    </xf>
    <xf numFmtId="0" fontId="51" fillId="6" borderId="15" xfId="0" applyFont="1" applyFill="1" applyBorder="1" applyAlignment="1">
      <alignment horizontal="left" vertical="top" wrapText="1"/>
    </xf>
    <xf numFmtId="0" fontId="64" fillId="6" borderId="0" xfId="0" applyFont="1" applyFill="1" applyAlignment="1">
      <alignment horizontal="center" vertical="top" wrapText="1"/>
    </xf>
    <xf numFmtId="0" fontId="65" fillId="6" borderId="0" xfId="0" applyFont="1" applyFill="1" applyAlignment="1">
      <alignment horizontal="center" vertical="top" wrapText="1"/>
    </xf>
    <xf numFmtId="49" fontId="51" fillId="6" borderId="0" xfId="0" applyNumberFormat="1" applyFont="1" applyFill="1" applyAlignment="1">
      <alignment horizontal="left" vertical="top" wrapText="1"/>
    </xf>
    <xf numFmtId="0" fontId="66" fillId="0" borderId="0" xfId="0" applyFont="1" applyAlignment="1">
      <alignment horizontal="center" wrapText="1"/>
    </xf>
    <xf numFmtId="0" fontId="49" fillId="5" borderId="3" xfId="0" applyFont="1" applyFill="1" applyBorder="1" applyAlignment="1">
      <alignment horizontal="center" wrapText="1"/>
    </xf>
    <xf numFmtId="0" fontId="51" fillId="6" borderId="0" xfId="0" applyFont="1" applyFill="1" applyAlignment="1">
      <alignment horizontal="center" vertical="top" wrapText="1"/>
    </xf>
    <xf numFmtId="0" fontId="64" fillId="3" borderId="0" xfId="0" applyFont="1" applyFill="1" applyAlignment="1">
      <alignment horizontal="center" vertical="top" wrapText="1"/>
    </xf>
    <xf numFmtId="0" fontId="51" fillId="3" borderId="0" xfId="0" applyFont="1" applyFill="1" applyAlignment="1">
      <alignment horizontal="center" vertical="top" wrapText="1"/>
    </xf>
    <xf numFmtId="0" fontId="65" fillId="3" borderId="0" xfId="0" applyFont="1" applyFill="1" applyAlignment="1">
      <alignment horizontal="center" vertical="top" wrapText="1"/>
    </xf>
    <xf numFmtId="0" fontId="67" fillId="0" borderId="0" xfId="0" applyFont="1" applyAlignment="1">
      <alignment vertical="center" wrapText="1"/>
    </xf>
    <xf numFmtId="0" fontId="67" fillId="0" borderId="0" xfId="0" applyFont="1" applyAlignment="1">
      <alignment wrapText="1"/>
    </xf>
    <xf numFmtId="0" fontId="49" fillId="5" borderId="7" xfId="0" applyFont="1" applyFill="1" applyBorder="1" applyAlignment="1">
      <alignment horizontal="center" vertical="top" wrapText="1"/>
    </xf>
    <xf numFmtId="0" fontId="49" fillId="5" borderId="8" xfId="0" applyFont="1" applyFill="1" applyBorder="1" applyAlignment="1">
      <alignment horizontal="center" vertical="top" wrapText="1"/>
    </xf>
    <xf numFmtId="0" fontId="49" fillId="5" borderId="9" xfId="0" applyFont="1" applyFill="1" applyBorder="1" applyAlignment="1">
      <alignment horizontal="center" vertical="top" wrapText="1"/>
    </xf>
    <xf numFmtId="0" fontId="49" fillId="5" borderId="3" xfId="0" applyFont="1" applyFill="1" applyBorder="1" applyAlignment="1">
      <alignment horizontal="center" vertical="top" wrapText="1"/>
    </xf>
    <xf numFmtId="0" fontId="51" fillId="6" borderId="11" xfId="0" applyFont="1" applyFill="1" applyBorder="1" applyAlignment="1">
      <alignment horizontal="center" vertical="top" wrapText="1"/>
    </xf>
    <xf numFmtId="15" fontId="51" fillId="3" borderId="11" xfId="0" applyNumberFormat="1" applyFont="1" applyFill="1" applyBorder="1" applyAlignment="1">
      <alignment horizontal="left" vertical="top" wrapText="1"/>
    </xf>
    <xf numFmtId="0" fontId="51" fillId="3" borderId="11" xfId="0" applyFont="1" applyFill="1" applyBorder="1" applyAlignment="1">
      <alignment horizontal="center" vertical="top" wrapText="1"/>
    </xf>
    <xf numFmtId="15" fontId="51" fillId="6" borderId="11" xfId="0" applyNumberFormat="1" applyFont="1" applyFill="1" applyBorder="1" applyAlignment="1">
      <alignment horizontal="left" vertical="top" wrapText="1"/>
    </xf>
    <xf numFmtId="14" fontId="51" fillId="6" borderId="11" xfId="0" applyNumberFormat="1" applyFont="1" applyFill="1" applyBorder="1" applyAlignment="1">
      <alignment horizontal="left" vertical="top" wrapText="1"/>
    </xf>
    <xf numFmtId="14" fontId="51" fillId="3" borderId="11" xfId="0" applyNumberFormat="1" applyFont="1" applyFill="1" applyBorder="1" applyAlignment="1">
      <alignment horizontal="left" vertical="top" wrapText="1"/>
    </xf>
    <xf numFmtId="0" fontId="12" fillId="6" borderId="10" xfId="0" applyFont="1" applyFill="1" applyBorder="1" applyAlignment="1">
      <alignment horizontal="center" wrapText="1"/>
    </xf>
    <xf numFmtId="165" fontId="7" fillId="6" borderId="11" xfId="0" applyNumberFormat="1" applyFont="1" applyFill="1" applyBorder="1" applyAlignment="1">
      <alignment horizontal="center" wrapText="1"/>
    </xf>
    <xf numFmtId="0" fontId="9" fillId="6" borderId="11" xfId="0" applyFont="1" applyFill="1" applyBorder="1" applyAlignment="1">
      <alignment horizontal="center" wrapText="1"/>
    </xf>
    <xf numFmtId="0" fontId="68" fillId="6" borderId="11" xfId="0" applyFont="1" applyFill="1" applyBorder="1" applyAlignment="1">
      <alignment wrapText="1"/>
    </xf>
    <xf numFmtId="0" fontId="68" fillId="6" borderId="12" xfId="0" applyFont="1" applyFill="1" applyBorder="1" applyAlignment="1">
      <alignment wrapText="1"/>
    </xf>
    <xf numFmtId="0" fontId="13" fillId="6" borderId="0" xfId="0" applyFont="1" applyFill="1" applyAlignment="1">
      <alignment wrapText="1"/>
    </xf>
    <xf numFmtId="168" fontId="51" fillId="6" borderId="11" xfId="0" applyNumberFormat="1" applyFont="1" applyFill="1" applyBorder="1" applyAlignment="1">
      <alignment horizontal="left" vertical="top" wrapText="1"/>
    </xf>
    <xf numFmtId="0" fontId="53" fillId="3" borderId="11" xfId="0" applyFont="1" applyFill="1" applyBorder="1" applyAlignment="1">
      <alignment horizontal="center" vertical="top" wrapText="1"/>
    </xf>
    <xf numFmtId="0" fontId="53" fillId="6" borderId="11" xfId="0" applyFont="1" applyFill="1" applyBorder="1" applyAlignment="1">
      <alignment horizontal="center" vertical="top" wrapText="1"/>
    </xf>
    <xf numFmtId="0" fontId="5" fillId="0" borderId="1" xfId="0" applyFont="1" applyBorder="1" applyAlignment="1">
      <alignment vertical="top" wrapText="1"/>
    </xf>
    <xf numFmtId="165" fontId="2" fillId="0" borderId="1" xfId="0" applyNumberFormat="1" applyFont="1" applyBorder="1" applyAlignment="1">
      <alignment vertical="top" wrapText="1"/>
    </xf>
    <xf numFmtId="165" fontId="2" fillId="3" borderId="1" xfId="0" applyNumberFormat="1" applyFont="1" applyFill="1" applyBorder="1" applyAlignment="1">
      <alignment horizontal="left" vertical="top" wrapText="1"/>
    </xf>
    <xf numFmtId="0" fontId="2" fillId="23" borderId="1" xfId="0" applyFont="1" applyFill="1" applyBorder="1" applyAlignment="1">
      <alignment horizontal="left" vertical="top" wrapText="1"/>
    </xf>
    <xf numFmtId="0" fontId="28" fillId="0" borderId="10" xfId="0" applyFont="1" applyBorder="1" applyAlignment="1">
      <alignment horizontal="center" wrapText="1"/>
    </xf>
    <xf numFmtId="0" fontId="28" fillId="0" borderId="11" xfId="0" applyFont="1" applyBorder="1" applyAlignment="1">
      <alignment horizontal="center" wrapText="1"/>
    </xf>
    <xf numFmtId="0" fontId="28" fillId="0" borderId="11" xfId="0" applyFont="1" applyBorder="1" applyAlignment="1">
      <alignment wrapText="1"/>
    </xf>
    <xf numFmtId="0" fontId="28" fillId="0" borderId="12" xfId="0" applyFont="1" applyBorder="1" applyAlignment="1">
      <alignment wrapText="1"/>
    </xf>
    <xf numFmtId="14" fontId="51" fillId="6" borderId="14" xfId="0" applyNumberFormat="1" applyFont="1" applyFill="1" applyBorder="1" applyAlignment="1">
      <alignment horizontal="left" vertical="top" wrapText="1"/>
    </xf>
    <xf numFmtId="14" fontId="51" fillId="3" borderId="0" xfId="0" applyNumberFormat="1" applyFont="1" applyFill="1" applyAlignment="1">
      <alignment horizontal="left" vertical="top" wrapText="1"/>
    </xf>
    <xf numFmtId="14" fontId="51" fillId="6" borderId="0" xfId="0" applyNumberFormat="1" applyFont="1" applyFill="1" applyAlignment="1">
      <alignment horizontal="left" vertical="top" wrapText="1"/>
    </xf>
    <xf numFmtId="0" fontId="53" fillId="6" borderId="0" xfId="0" applyFont="1" applyFill="1" applyAlignment="1">
      <alignment horizontal="center" vertical="top" wrapText="1"/>
    </xf>
    <xf numFmtId="0" fontId="54" fillId="24" borderId="1" xfId="0" applyFont="1" applyFill="1" applyBorder="1" applyAlignment="1">
      <alignment vertical="top" wrapText="1"/>
    </xf>
    <xf numFmtId="0" fontId="55" fillId="24" borderId="1" xfId="0" applyFont="1" applyFill="1" applyBorder="1" applyAlignment="1">
      <alignment vertical="top" wrapText="1"/>
    </xf>
    <xf numFmtId="0" fontId="69" fillId="25" borderId="1" xfId="0" applyFont="1" applyFill="1" applyBorder="1" applyAlignment="1">
      <alignment vertical="top" wrapText="1"/>
    </xf>
    <xf numFmtId="14" fontId="0" fillId="0" borderId="0" xfId="0" applyNumberFormat="1" applyAlignment="1">
      <alignment wrapText="1"/>
    </xf>
    <xf numFmtId="165" fontId="0" fillId="0" borderId="0" xfId="0" applyNumberFormat="1" applyAlignment="1">
      <alignment horizontal="left" vertical="top" wrapText="1"/>
    </xf>
    <xf numFmtId="0" fontId="19" fillId="0" borderId="16" xfId="0" applyFont="1" applyBorder="1" applyAlignment="1">
      <alignment vertical="top" wrapText="1"/>
    </xf>
    <xf numFmtId="165" fontId="19" fillId="0" borderId="16" xfId="0" applyNumberFormat="1" applyFont="1" applyBorder="1" applyAlignment="1">
      <alignment vertical="top" wrapText="1"/>
    </xf>
    <xf numFmtId="0" fontId="70" fillId="0" borderId="0" xfId="0" applyFont="1" applyAlignment="1">
      <alignment horizontal="left" vertical="top" wrapText="1"/>
    </xf>
    <xf numFmtId="169" fontId="41" fillId="0" borderId="0" xfId="0" applyNumberFormat="1" applyFont="1" applyAlignment="1">
      <alignment horizontal="left" vertical="top" wrapText="1"/>
    </xf>
    <xf numFmtId="0" fontId="71" fillId="0" borderId="0" xfId="0" applyFont="1" applyAlignment="1">
      <alignment wrapText="1"/>
    </xf>
    <xf numFmtId="0" fontId="60" fillId="3" borderId="0" xfId="0" applyFont="1" applyFill="1" applyAlignment="1">
      <alignment wrapText="1"/>
    </xf>
    <xf numFmtId="0" fontId="37" fillId="3" borderId="0" xfId="0" applyFont="1" applyFill="1" applyAlignment="1">
      <alignment wrapText="1"/>
    </xf>
    <xf numFmtId="14" fontId="30" fillId="3" borderId="0" xfId="0" applyNumberFormat="1" applyFont="1" applyFill="1" applyAlignment="1">
      <alignment wrapText="1"/>
    </xf>
    <xf numFmtId="0" fontId="44" fillId="3" borderId="0" xfId="0" applyFont="1" applyFill="1" applyAlignment="1">
      <alignment wrapText="1"/>
    </xf>
    <xf numFmtId="0" fontId="60" fillId="6" borderId="0" xfId="0" applyFont="1" applyFill="1" applyAlignment="1">
      <alignment wrapText="1"/>
    </xf>
    <xf numFmtId="0" fontId="38" fillId="6" borderId="0" xfId="0" applyFont="1" applyFill="1" applyAlignment="1">
      <alignment horizontal="center" wrapText="1"/>
    </xf>
    <xf numFmtId="0" fontId="37" fillId="6" borderId="0" xfId="0" applyFont="1" applyFill="1" applyAlignment="1">
      <alignment wrapText="1"/>
    </xf>
    <xf numFmtId="14" fontId="30" fillId="6" borderId="0" xfId="0" applyNumberFormat="1" applyFont="1" applyFill="1" applyAlignment="1">
      <alignment wrapText="1"/>
    </xf>
    <xf numFmtId="0" fontId="44" fillId="6" borderId="0" xfId="0" applyFont="1" applyFill="1" applyAlignment="1">
      <alignment wrapText="1"/>
    </xf>
    <xf numFmtId="0" fontId="35" fillId="3" borderId="0" xfId="0" applyFont="1" applyFill="1" applyAlignment="1">
      <alignment horizontal="center" wrapText="1"/>
    </xf>
    <xf numFmtId="0" fontId="39" fillId="6" borderId="0" xfId="0" applyFont="1" applyFill="1" applyAlignment="1">
      <alignment horizontal="center" wrapText="1"/>
    </xf>
    <xf numFmtId="0" fontId="34" fillId="3" borderId="0" xfId="0" applyFont="1" applyFill="1" applyAlignment="1">
      <alignment wrapText="1"/>
    </xf>
    <xf numFmtId="0" fontId="72" fillId="3" borderId="0" xfId="0" applyFont="1" applyFill="1" applyAlignment="1">
      <alignment wrapText="1"/>
    </xf>
    <xf numFmtId="0" fontId="72" fillId="6" borderId="0" xfId="0" applyFont="1" applyFill="1" applyAlignment="1">
      <alignment wrapText="1"/>
    </xf>
    <xf numFmtId="0" fontId="34" fillId="6" borderId="0" xfId="0" applyFont="1" applyFill="1" applyAlignment="1">
      <alignment wrapText="1"/>
    </xf>
    <xf numFmtId="0" fontId="26" fillId="3" borderId="0" xfId="0" applyFont="1" applyFill="1" applyAlignment="1">
      <alignment horizontal="center" wrapText="1"/>
    </xf>
    <xf numFmtId="10" fontId="30" fillId="3" borderId="0" xfId="0" applyNumberFormat="1" applyFont="1" applyFill="1" applyAlignment="1">
      <alignment wrapText="1"/>
    </xf>
    <xf numFmtId="10" fontId="30" fillId="6" borderId="0" xfId="0" applyNumberFormat="1" applyFont="1" applyFill="1" applyAlignment="1">
      <alignment wrapText="1"/>
    </xf>
    <xf numFmtId="0" fontId="34" fillId="6" borderId="0" xfId="0" applyFont="1" applyFill="1" applyAlignment="1">
      <alignment horizontal="center" wrapText="1"/>
    </xf>
    <xf numFmtId="9" fontId="34" fillId="3" borderId="0" xfId="0" applyNumberFormat="1" applyFont="1" applyFill="1" applyAlignment="1">
      <alignment horizontal="center" wrapText="1"/>
    </xf>
    <xf numFmtId="9" fontId="30" fillId="3" borderId="0" xfId="0" applyNumberFormat="1" applyFont="1" applyFill="1" applyAlignment="1">
      <alignment horizontal="center" wrapText="1"/>
    </xf>
    <xf numFmtId="10" fontId="28" fillId="0" borderId="0" xfId="0" applyNumberFormat="1" applyFont="1" applyAlignment="1">
      <alignment wrapText="1"/>
    </xf>
    <xf numFmtId="9" fontId="28" fillId="0" borderId="0" xfId="0" applyNumberFormat="1" applyFont="1" applyAlignment="1">
      <alignment wrapText="1"/>
    </xf>
    <xf numFmtId="11" fontId="28" fillId="0" borderId="0" xfId="0" applyNumberFormat="1" applyFont="1" applyAlignment="1">
      <alignment wrapText="1"/>
    </xf>
    <xf numFmtId="0" fontId="0" fillId="0" borderId="17" xfId="0" applyBorder="1" applyAlignment="1">
      <alignment horizontal="center" wrapText="1"/>
    </xf>
    <xf numFmtId="0" fontId="0" fillId="0" borderId="17" xfId="0" applyBorder="1" applyAlignment="1">
      <alignment wrapText="1"/>
    </xf>
    <xf numFmtId="0" fontId="4" fillId="5" borderId="0" xfId="0" applyFont="1" applyFill="1" applyAlignment="1">
      <alignment wrapText="1"/>
    </xf>
    <xf numFmtId="0" fontId="60" fillId="3" borderId="0" xfId="0" applyFont="1" applyFill="1" applyAlignment="1">
      <alignment horizontal="center" wrapText="1"/>
    </xf>
    <xf numFmtId="0" fontId="60" fillId="6" borderId="0" xfId="0" applyFont="1" applyFill="1" applyAlignment="1">
      <alignment horizontal="center" wrapText="1"/>
    </xf>
    <xf numFmtId="0" fontId="32" fillId="18" borderId="0" xfId="0" applyFont="1" applyFill="1" applyAlignment="1">
      <alignment wrapText="1"/>
    </xf>
    <xf numFmtId="0" fontId="34" fillId="19" borderId="18" xfId="0" applyFont="1" applyFill="1" applyBorder="1" applyAlignment="1">
      <alignment horizontal="center" wrapText="1"/>
    </xf>
    <xf numFmtId="0" fontId="34" fillId="19" borderId="19" xfId="0" applyFont="1" applyFill="1" applyBorder="1" applyAlignment="1">
      <alignment horizontal="center" wrapText="1"/>
    </xf>
    <xf numFmtId="0" fontId="60" fillId="3" borderId="20" xfId="0" applyFont="1" applyFill="1" applyBorder="1" applyAlignment="1">
      <alignment horizontal="center" wrapText="1"/>
    </xf>
    <xf numFmtId="0" fontId="30" fillId="3" borderId="20" xfId="0" applyFont="1" applyFill="1" applyBorder="1" applyAlignment="1">
      <alignment wrapText="1"/>
    </xf>
    <xf numFmtId="0" fontId="60" fillId="6" borderId="17" xfId="0" applyFont="1" applyFill="1" applyBorder="1" applyAlignment="1">
      <alignment horizontal="center" wrapText="1"/>
    </xf>
    <xf numFmtId="0" fontId="30" fillId="6" borderId="17" xfId="0" applyFont="1" applyFill="1" applyBorder="1" applyAlignment="1">
      <alignment wrapText="1"/>
    </xf>
    <xf numFmtId="0" fontId="30" fillId="6" borderId="0" xfId="0" applyFont="1" applyFill="1" applyAlignment="1">
      <alignment vertical="top" wrapText="1"/>
    </xf>
    <xf numFmtId="0" fontId="60" fillId="3" borderId="17" xfId="0" applyFont="1" applyFill="1" applyBorder="1" applyAlignment="1">
      <alignment horizontal="center" wrapText="1"/>
    </xf>
    <xf numFmtId="0" fontId="30" fillId="3" borderId="17" xfId="0" applyFont="1" applyFill="1" applyBorder="1" applyAlignment="1">
      <alignment wrapText="1"/>
    </xf>
    <xf numFmtId="0" fontId="34" fillId="3" borderId="21" xfId="0" applyFont="1" applyFill="1" applyBorder="1" applyAlignment="1">
      <alignment wrapText="1"/>
    </xf>
    <xf numFmtId="0" fontId="34" fillId="3" borderId="17" xfId="0" applyFont="1" applyFill="1" applyBorder="1" applyAlignment="1">
      <alignment wrapText="1"/>
    </xf>
    <xf numFmtId="0" fontId="34" fillId="6" borderId="17" xfId="0" applyFont="1" applyFill="1" applyBorder="1" applyAlignment="1">
      <alignment horizontal="center" wrapText="1"/>
    </xf>
    <xf numFmtId="15" fontId="30" fillId="3" borderId="17" xfId="0" applyNumberFormat="1" applyFont="1" applyFill="1" applyBorder="1" applyAlignment="1">
      <alignment horizontal="left" wrapText="1"/>
    </xf>
    <xf numFmtId="0" fontId="30" fillId="6" borderId="17" xfId="0" applyFont="1" applyFill="1" applyBorder="1" applyAlignment="1">
      <alignment horizontal="left" wrapText="1"/>
    </xf>
    <xf numFmtId="0" fontId="34" fillId="6" borderId="17" xfId="0" applyFont="1" applyFill="1" applyBorder="1" applyAlignment="1">
      <alignment wrapText="1"/>
    </xf>
    <xf numFmtId="0" fontId="34" fillId="3" borderId="17" xfId="0" applyFont="1" applyFill="1" applyBorder="1" applyAlignment="1">
      <alignment horizontal="center" wrapText="1"/>
    </xf>
    <xf numFmtId="0" fontId="49" fillId="5" borderId="0" xfId="0" applyFont="1" applyFill="1" applyAlignment="1">
      <alignment horizontal="left" wrapText="1"/>
    </xf>
    <xf numFmtId="0" fontId="73" fillId="5" borderId="0" xfId="0" applyFont="1" applyFill="1" applyAlignment="1">
      <alignment wrapText="1"/>
    </xf>
    <xf numFmtId="0" fontId="74" fillId="26" borderId="0" xfId="0" applyFont="1" applyFill="1" applyAlignment="1">
      <alignment wrapText="1"/>
    </xf>
    <xf numFmtId="0" fontId="75" fillId="26" borderId="0" xfId="0" applyFont="1" applyFill="1" applyAlignment="1">
      <alignment wrapText="1"/>
    </xf>
    <xf numFmtId="0" fontId="76" fillId="0" borderId="0" xfId="0" applyFont="1" applyAlignment="1">
      <alignment wrapText="1"/>
    </xf>
    <xf numFmtId="0" fontId="77" fillId="27" borderId="0" xfId="0" applyFont="1" applyFill="1" applyAlignment="1">
      <alignment wrapText="1"/>
    </xf>
    <xf numFmtId="0" fontId="78" fillId="27" borderId="0" xfId="0" applyFont="1" applyFill="1" applyAlignment="1">
      <alignment wrapText="1"/>
    </xf>
    <xf numFmtId="0" fontId="77" fillId="28" borderId="22" xfId="0" applyFont="1" applyFill="1" applyBorder="1" applyAlignment="1">
      <alignment wrapText="1"/>
    </xf>
    <xf numFmtId="0" fontId="77" fillId="28" borderId="22" xfId="0" applyFont="1" applyFill="1" applyBorder="1" applyAlignment="1">
      <alignment horizontal="center" wrapText="1"/>
    </xf>
    <xf numFmtId="0" fontId="79" fillId="0" borderId="23" xfId="0" applyFont="1" applyBorder="1" applyAlignment="1">
      <alignment wrapText="1"/>
    </xf>
    <xf numFmtId="0" fontId="80" fillId="0" borderId="23" xfId="0" applyFont="1" applyBorder="1" applyAlignment="1">
      <alignment horizontal="center" wrapText="1"/>
    </xf>
    <xf numFmtId="0" fontId="55" fillId="24" borderId="1" xfId="0" applyFont="1" applyFill="1" applyBorder="1" applyAlignment="1">
      <alignment horizontal="left" vertical="top" wrapText="1"/>
    </xf>
    <xf numFmtId="0" fontId="81" fillId="0" borderId="23" xfId="0" applyFont="1" applyBorder="1" applyAlignment="1">
      <alignment horizontal="center" wrapText="1"/>
    </xf>
    <xf numFmtId="0" fontId="82" fillId="0" borderId="23" xfId="0" applyFont="1" applyBorder="1" applyAlignment="1">
      <alignment horizontal="center" wrapText="1"/>
    </xf>
    <xf numFmtId="0" fontId="79" fillId="0" borderId="24" xfId="0" applyFont="1" applyBorder="1" applyAlignment="1">
      <alignment wrapText="1"/>
    </xf>
    <xf numFmtId="0" fontId="82" fillId="0" borderId="24" xfId="0" applyFont="1" applyBorder="1" applyAlignment="1">
      <alignment horizontal="center" wrapText="1"/>
    </xf>
    <xf numFmtId="0" fontId="79" fillId="0" borderId="23" xfId="0" applyFont="1" applyBorder="1" applyAlignment="1">
      <alignment horizontal="center" wrapText="1"/>
    </xf>
    <xf numFmtId="0" fontId="80" fillId="0" borderId="24" xfId="0" applyFont="1" applyBorder="1" applyAlignment="1">
      <alignment horizontal="center" wrapText="1"/>
    </xf>
    <xf numFmtId="0" fontId="79" fillId="0" borderId="24" xfId="0" applyFont="1" applyBorder="1" applyAlignment="1">
      <alignment horizontal="center" wrapText="1"/>
    </xf>
    <xf numFmtId="0" fontId="79" fillId="0" borderId="0" xfId="0" applyFont="1" applyAlignment="1">
      <alignment wrapText="1"/>
    </xf>
    <xf numFmtId="0" fontId="80" fillId="0" borderId="0" xfId="0" applyFont="1" applyAlignment="1">
      <alignment horizontal="center" wrapText="1"/>
    </xf>
    <xf numFmtId="0" fontId="79" fillId="0" borderId="0" xfId="0" applyFont="1" applyAlignment="1">
      <alignment horizontal="center" wrapText="1"/>
    </xf>
    <xf numFmtId="0" fontId="83" fillId="29" borderId="22" xfId="0" applyFont="1" applyFill="1" applyBorder="1" applyAlignment="1">
      <alignment wrapText="1"/>
    </xf>
    <xf numFmtId="0" fontId="28" fillId="29" borderId="22" xfId="0" applyFont="1" applyFill="1" applyBorder="1" applyAlignment="1">
      <alignment wrapText="1"/>
    </xf>
    <xf numFmtId="0" fontId="84" fillId="0" borderId="23" xfId="0" applyFont="1" applyBorder="1" applyAlignment="1">
      <alignment wrapText="1"/>
    </xf>
    <xf numFmtId="0" fontId="83" fillId="0" borderId="23" xfId="0" applyFont="1" applyBorder="1" applyAlignment="1">
      <alignment horizontal="center" wrapText="1"/>
    </xf>
    <xf numFmtId="0" fontId="84" fillId="0" borderId="23" xfId="0" applyFont="1" applyBorder="1" applyAlignment="1">
      <alignment horizontal="center" wrapText="1"/>
    </xf>
    <xf numFmtId="0" fontId="84" fillId="0" borderId="24" xfId="0" applyFont="1" applyBorder="1" applyAlignment="1">
      <alignment wrapText="1"/>
    </xf>
    <xf numFmtId="0" fontId="83" fillId="0" borderId="24" xfId="0" applyFont="1" applyBorder="1" applyAlignment="1">
      <alignment horizontal="center" wrapText="1"/>
    </xf>
    <xf numFmtId="0" fontId="84" fillId="0" borderId="24" xfId="0" applyFont="1" applyBorder="1" applyAlignment="1">
      <alignment horizontal="center" wrapText="1"/>
    </xf>
    <xf numFmtId="16" fontId="79" fillId="0" borderId="23" xfId="0" applyNumberFormat="1" applyFont="1" applyBorder="1" applyAlignment="1">
      <alignment horizontal="center" wrapText="1"/>
    </xf>
    <xf numFmtId="0" fontId="77" fillId="0" borderId="0" xfId="0" applyFont="1" applyAlignment="1">
      <alignment wrapText="1"/>
    </xf>
    <xf numFmtId="0" fontId="77" fillId="0" borderId="23" xfId="0" applyFont="1" applyBorder="1" applyAlignment="1">
      <alignment wrapText="1"/>
    </xf>
    <xf numFmtId="0" fontId="77" fillId="0" borderId="24" xfId="0" applyFont="1" applyBorder="1" applyAlignment="1">
      <alignment wrapText="1"/>
    </xf>
    <xf numFmtId="0" fontId="55" fillId="3" borderId="1" xfId="0" applyFont="1" applyFill="1" applyBorder="1" applyAlignment="1">
      <alignment horizontal="left" vertical="top" wrapText="1"/>
    </xf>
    <xf numFmtId="0" fontId="77" fillId="0" borderId="23" xfId="0" applyFont="1" applyBorder="1" applyAlignment="1">
      <alignment horizontal="center" wrapText="1"/>
    </xf>
    <xf numFmtId="0" fontId="77" fillId="0" borderId="24" xfId="0" applyFont="1" applyBorder="1" applyAlignment="1">
      <alignment horizontal="center" wrapText="1"/>
    </xf>
    <xf numFmtId="0" fontId="54" fillId="0" borderId="0" xfId="0" applyFont="1" applyAlignment="1">
      <alignment horizontal="left" vertical="top" wrapText="1"/>
    </xf>
    <xf numFmtId="0" fontId="19" fillId="0" borderId="0" xfId="0" applyFont="1" applyAlignment="1">
      <alignment horizontal="left" vertical="top" wrapText="1"/>
    </xf>
    <xf numFmtId="0" fontId="41" fillId="0" borderId="0" xfId="0" applyFont="1" applyAlignment="1">
      <alignment wrapText="1"/>
    </xf>
    <xf numFmtId="0" fontId="41" fillId="0" borderId="0" xfId="0" applyFont="1" applyAlignment="1">
      <alignment vertical="top" wrapText="1"/>
    </xf>
    <xf numFmtId="0" fontId="60" fillId="30" borderId="0" xfId="0" applyFont="1" applyFill="1" applyAlignment="1">
      <alignment wrapText="1"/>
    </xf>
    <xf numFmtId="0" fontId="30" fillId="30" borderId="0" xfId="0" applyFont="1" applyFill="1" applyAlignment="1">
      <alignment wrapText="1"/>
    </xf>
    <xf numFmtId="0" fontId="37" fillId="30" borderId="0" xfId="0" applyFont="1" applyFill="1" applyAlignment="1">
      <alignment wrapText="1"/>
    </xf>
    <xf numFmtId="0" fontId="14" fillId="11" borderId="0" xfId="0" applyFont="1" applyFill="1" applyAlignment="1">
      <alignment horizontal="left" vertical="top" wrapText="1"/>
    </xf>
    <xf numFmtId="0" fontId="0" fillId="11" borderId="0" xfId="0" applyFill="1" applyAlignment="1">
      <alignment horizontal="left" vertical="top" wrapText="1"/>
    </xf>
    <xf numFmtId="0" fontId="85" fillId="0" borderId="0" xfId="0" applyFont="1" applyAlignment="1">
      <alignment horizontal="left" vertical="top" wrapText="1"/>
    </xf>
    <xf numFmtId="0" fontId="3" fillId="12" borderId="0" xfId="0" applyFont="1" applyFill="1" applyAlignment="1">
      <alignment horizontal="left" vertical="top" wrapText="1"/>
    </xf>
    <xf numFmtId="0" fontId="0" fillId="12" borderId="0" xfId="0" applyFill="1" applyAlignment="1">
      <alignment horizontal="left" vertical="top" wrapText="1"/>
    </xf>
    <xf numFmtId="0" fontId="86" fillId="31" borderId="0" xfId="0" applyFont="1" applyFill="1" applyAlignment="1">
      <alignment horizontal="left" vertical="top" wrapText="1"/>
    </xf>
    <xf numFmtId="0" fontId="3" fillId="11" borderId="0" xfId="0" applyFont="1" applyFill="1" applyAlignment="1">
      <alignment horizontal="left" vertical="top" wrapText="1"/>
    </xf>
    <xf numFmtId="0" fontId="86" fillId="0" borderId="0" xfId="0" applyFont="1" applyAlignment="1">
      <alignment horizontal="left" vertical="top" wrapText="1"/>
    </xf>
    <xf numFmtId="0" fontId="5" fillId="4" borderId="1" xfId="0" applyFont="1" applyFill="1" applyBorder="1" applyAlignment="1">
      <alignment horizontal="left" vertical="top" wrapText="1"/>
    </xf>
    <xf numFmtId="0" fontId="87" fillId="0" borderId="0" xfId="0" applyFont="1" applyAlignment="1">
      <alignment horizontal="left" vertical="top" wrapText="1"/>
    </xf>
    <xf numFmtId="16" fontId="0" fillId="0" borderId="0" xfId="0" applyNumberFormat="1" applyAlignment="1">
      <alignment horizontal="left" vertical="top" wrapText="1"/>
    </xf>
    <xf numFmtId="0" fontId="3" fillId="32" borderId="0" xfId="0" applyFont="1" applyFill="1" applyAlignment="1">
      <alignment horizontal="left" vertical="top" wrapText="1"/>
    </xf>
    <xf numFmtId="0" fontId="0" fillId="32" borderId="0" xfId="0" applyFill="1" applyAlignment="1">
      <alignment horizontal="left" vertical="top" wrapText="1"/>
    </xf>
    <xf numFmtId="0" fontId="88" fillId="0" borderId="0" xfId="0" applyFont="1" applyAlignment="1">
      <alignment horizontal="left" vertical="top" wrapText="1"/>
    </xf>
    <xf numFmtId="0" fontId="89" fillId="0" borderId="0" xfId="0" applyFont="1" applyAlignment="1">
      <alignment horizontal="left" vertical="top" wrapText="1"/>
    </xf>
    <xf numFmtId="0" fontId="90" fillId="31" borderId="0" xfId="0" applyFont="1" applyFill="1" applyAlignment="1">
      <alignment horizontal="left" vertical="top" wrapText="1"/>
    </xf>
    <xf numFmtId="0" fontId="63" fillId="31" borderId="0" xfId="0" applyFont="1" applyFill="1" applyAlignment="1">
      <alignment horizontal="left" vertical="top" wrapText="1"/>
    </xf>
    <xf numFmtId="0" fontId="66" fillId="33" borderId="0" xfId="0" applyFont="1" applyFill="1" applyAlignment="1">
      <alignment horizontal="left" vertical="top" wrapText="1"/>
    </xf>
    <xf numFmtId="0" fontId="91" fillId="0" borderId="0" xfId="0" applyFont="1" applyAlignment="1">
      <alignment horizontal="left" vertical="top" wrapText="1"/>
    </xf>
    <xf numFmtId="0" fontId="64" fillId="0" borderId="0" xfId="0" applyFont="1" applyAlignment="1">
      <alignment horizontal="left" vertical="top" wrapText="1"/>
    </xf>
    <xf numFmtId="0" fontId="19" fillId="0" borderId="16" xfId="0" applyFont="1" applyBorder="1" applyAlignment="1">
      <alignment horizontal="left" vertical="top" wrapText="1"/>
    </xf>
    <xf numFmtId="0" fontId="92" fillId="34" borderId="16" xfId="0" applyFont="1" applyFill="1" applyBorder="1" applyAlignment="1">
      <alignment horizontal="left" vertical="top" wrapText="1"/>
    </xf>
    <xf numFmtId="0" fontId="93" fillId="0" borderId="16" xfId="0" applyFont="1" applyBorder="1" applyAlignment="1">
      <alignment horizontal="left" vertical="top" wrapText="1"/>
    </xf>
    <xf numFmtId="0" fontId="99" fillId="7" borderId="1" xfId="0" applyFont="1" applyFill="1" applyBorder="1" applyAlignment="1">
      <alignment horizontal="left" vertical="top" wrapText="1"/>
    </xf>
    <xf numFmtId="0" fontId="99" fillId="3" borderId="1" xfId="0" applyFont="1" applyFill="1" applyBorder="1" applyAlignment="1">
      <alignment horizontal="left" vertical="top" wrapText="1"/>
    </xf>
    <xf numFmtId="0" fontId="99" fillId="6" borderId="1" xfId="0" applyFont="1" applyFill="1" applyBorder="1" applyAlignment="1">
      <alignment horizontal="left" vertical="top" wrapText="1"/>
    </xf>
    <xf numFmtId="0" fontId="101" fillId="6" borderId="1" xfId="0" applyFont="1" applyFill="1" applyBorder="1" applyAlignment="1">
      <alignment horizontal="left" vertical="top" wrapText="1"/>
    </xf>
    <xf numFmtId="0" fontId="98" fillId="0" borderId="0" xfId="0" applyFont="1"/>
    <xf numFmtId="0" fontId="95" fillId="35" borderId="27" xfId="0" applyFont="1" applyFill="1" applyBorder="1" applyAlignment="1">
      <alignment horizontal="center"/>
    </xf>
    <xf numFmtId="0" fontId="94" fillId="0" borderId="27" xfId="0" applyFont="1" applyBorder="1"/>
    <xf numFmtId="0" fontId="96" fillId="0" borderId="27" xfId="0" applyFont="1" applyBorder="1"/>
    <xf numFmtId="0" fontId="99" fillId="0" borderId="27" xfId="0" applyFont="1" applyBorder="1"/>
    <xf numFmtId="0" fontId="100" fillId="0" borderId="27" xfId="0" applyFont="1" applyBorder="1"/>
    <xf numFmtId="0" fontId="94" fillId="0" borderId="27" xfId="0" applyFont="1" applyBorder="1" applyAlignment="1">
      <alignment horizontal="left" vertical="top" wrapText="1"/>
    </xf>
    <xf numFmtId="0" fontId="102" fillId="36" borderId="27" xfId="0" applyFont="1" applyFill="1" applyBorder="1"/>
    <xf numFmtId="0" fontId="103" fillId="37" borderId="27" xfId="0" applyFont="1" applyFill="1" applyBorder="1"/>
    <xf numFmtId="0" fontId="103" fillId="38" borderId="27" xfId="0" applyFont="1" applyFill="1" applyBorder="1"/>
    <xf numFmtId="0" fontId="100" fillId="0" borderId="0" xfId="0" applyFont="1"/>
    <xf numFmtId="0" fontId="94" fillId="0" borderId="0" xfId="0" applyFont="1"/>
    <xf numFmtId="0" fontId="106" fillId="0" borderId="0" xfId="0" applyFont="1"/>
    <xf numFmtId="0" fontId="96" fillId="0" borderId="0" xfId="0" applyFont="1"/>
    <xf numFmtId="0" fontId="104" fillId="0" borderId="27" xfId="0" applyFont="1" applyBorder="1"/>
    <xf numFmtId="0" fontId="107" fillId="0" borderId="0" xfId="0" applyFont="1"/>
    <xf numFmtId="0" fontId="104" fillId="7" borderId="1" xfId="0" applyFont="1" applyFill="1" applyBorder="1" applyAlignment="1">
      <alignment horizontal="left" vertical="top" wrapText="1"/>
    </xf>
    <xf numFmtId="0" fontId="105" fillId="3" borderId="1" xfId="0" applyFont="1" applyFill="1" applyBorder="1" applyAlignment="1">
      <alignment horizontal="left" vertical="top" wrapText="1"/>
    </xf>
    <xf numFmtId="0" fontId="105" fillId="6" borderId="1" xfId="0" applyFont="1" applyFill="1" applyBorder="1" applyAlignment="1">
      <alignment horizontal="left" vertical="top" wrapText="1"/>
    </xf>
    <xf numFmtId="0" fontId="94" fillId="0" borderId="27" xfId="0" applyFont="1" applyBorder="1" applyAlignment="1">
      <alignment vertical="top" wrapText="1"/>
    </xf>
    <xf numFmtId="0" fontId="104" fillId="0" borderId="0" xfId="0" applyFont="1"/>
    <xf numFmtId="0" fontId="99" fillId="39" borderId="27" xfId="0" applyFont="1" applyFill="1" applyBorder="1"/>
    <xf numFmtId="0" fontId="104" fillId="40" borderId="27" xfId="0" applyFont="1" applyFill="1" applyBorder="1"/>
    <xf numFmtId="0" fontId="100" fillId="41" borderId="27" xfId="0" applyFont="1" applyFill="1" applyBorder="1"/>
    <xf numFmtId="0" fontId="108" fillId="0" borderId="0" xfId="0" applyFont="1"/>
    <xf numFmtId="0" fontId="109" fillId="0" borderId="0" xfId="0" applyFont="1"/>
    <xf numFmtId="0" fontId="110" fillId="0" borderId="0" xfId="0" applyFont="1"/>
    <xf numFmtId="0" fontId="111" fillId="42" borderId="28" xfId="0" applyFont="1" applyFill="1" applyBorder="1" applyAlignment="1">
      <alignment horizontal="center"/>
    </xf>
    <xf numFmtId="0" fontId="110" fillId="0" borderId="28" xfId="0" applyFont="1" applyBorder="1" applyAlignment="1">
      <alignment horizontal="left" vertical="top" wrapText="1"/>
    </xf>
    <xf numFmtId="0" fontId="112" fillId="0" borderId="28" xfId="0" applyFont="1" applyBorder="1" applyAlignment="1">
      <alignment horizontal="left" vertical="top" wrapText="1"/>
    </xf>
    <xf numFmtId="0" fontId="113" fillId="0" borderId="28" xfId="0" applyFont="1" applyBorder="1" applyAlignment="1">
      <alignment horizontal="left" vertical="top" wrapText="1"/>
    </xf>
    <xf numFmtId="0" fontId="114" fillId="0" borderId="0" xfId="0" applyFont="1"/>
    <xf numFmtId="0" fontId="115" fillId="0" borderId="0" xfId="0" applyFont="1"/>
    <xf numFmtId="0" fontId="116" fillId="0" borderId="0" xfId="0" applyFont="1"/>
    <xf numFmtId="0" fontId="112" fillId="0" borderId="0" xfId="0" applyFont="1"/>
    <xf numFmtId="0" fontId="115" fillId="0" borderId="28" xfId="0" applyFont="1" applyBorder="1" applyAlignment="1">
      <alignment horizontal="left" vertical="top" wrapText="1"/>
    </xf>
    <xf numFmtId="0" fontId="114" fillId="0" borderId="28" xfId="0" applyFont="1" applyBorder="1" applyAlignment="1">
      <alignment horizontal="left" vertical="top" wrapText="1"/>
    </xf>
    <xf numFmtId="0" fontId="111" fillId="42" borderId="28" xfId="0" applyFont="1" applyFill="1" applyBorder="1"/>
    <xf numFmtId="0" fontId="110" fillId="0" borderId="28" xfId="0" applyFont="1" applyBorder="1" applyAlignment="1">
      <alignment vertical="top" wrapText="1"/>
    </xf>
    <xf numFmtId="0" fontId="108" fillId="0" borderId="28" xfId="0" applyFont="1" applyBorder="1" applyAlignment="1">
      <alignment horizontal="left" vertical="top" wrapText="1"/>
    </xf>
    <xf numFmtId="0" fontId="109" fillId="13" borderId="0" xfId="0" applyFont="1" applyFill="1" applyAlignment="1">
      <alignment horizontal="left" vertical="center" wrapText="1"/>
    </xf>
    <xf numFmtId="0" fontId="110" fillId="3" borderId="0" xfId="0" applyFont="1" applyFill="1" applyAlignment="1">
      <alignment horizontal="left" vertical="center" wrapText="1"/>
    </xf>
    <xf numFmtId="0" fontId="118" fillId="0" borderId="0" xfId="0" applyFont="1"/>
    <xf numFmtId="0" fontId="119" fillId="0" borderId="0" xfId="0" applyFont="1"/>
    <xf numFmtId="0" fontId="120" fillId="43" borderId="29" xfId="0" applyFont="1" applyFill="1" applyBorder="1" applyAlignment="1">
      <alignment horizontal="center" vertical="center"/>
    </xf>
    <xf numFmtId="0" fontId="119" fillId="44" borderId="29" xfId="0" applyFont="1" applyFill="1" applyBorder="1" applyAlignment="1">
      <alignment vertical="top" wrapText="1"/>
    </xf>
    <xf numFmtId="0" fontId="122" fillId="44" borderId="29" xfId="0" applyFont="1" applyFill="1" applyBorder="1" applyAlignment="1">
      <alignment vertical="top" wrapText="1"/>
    </xf>
    <xf numFmtId="0" fontId="124" fillId="0" borderId="29" xfId="0" applyFont="1" applyBorder="1" applyAlignment="1">
      <alignment vertical="top" wrapText="1"/>
    </xf>
    <xf numFmtId="0" fontId="125" fillId="0" borderId="29" xfId="0" applyFont="1" applyBorder="1" applyAlignment="1">
      <alignment vertical="top" wrapText="1"/>
    </xf>
    <xf numFmtId="0" fontId="126" fillId="45" borderId="0" xfId="0" applyFont="1" applyFill="1"/>
    <xf numFmtId="0" fontId="119" fillId="0" borderId="29" xfId="0" applyFont="1" applyBorder="1" applyAlignment="1">
      <alignment vertical="top" wrapText="1"/>
    </xf>
    <xf numFmtId="0" fontId="126" fillId="46" borderId="0" xfId="0" applyFont="1" applyFill="1"/>
    <xf numFmtId="0" fontId="126" fillId="47" borderId="0" xfId="0" applyFont="1" applyFill="1"/>
    <xf numFmtId="0" fontId="128" fillId="0" borderId="30" xfId="0" applyFont="1" applyBorder="1" applyAlignment="1">
      <alignment vertical="top" wrapText="1"/>
    </xf>
    <xf numFmtId="0" fontId="127" fillId="0" borderId="30" xfId="0" applyFont="1" applyBorder="1" applyAlignment="1">
      <alignment vertical="top" wrapText="1"/>
    </xf>
    <xf numFmtId="0" fontId="129" fillId="0" borderId="30" xfId="0" applyFont="1" applyBorder="1" applyAlignment="1">
      <alignment vertical="top" wrapText="1"/>
    </xf>
    <xf numFmtId="0" fontId="130" fillId="48" borderId="30" xfId="0" applyFont="1" applyFill="1" applyBorder="1" applyAlignment="1">
      <alignment vertical="top" wrapText="1"/>
    </xf>
    <xf numFmtId="0" fontId="131" fillId="49" borderId="30" xfId="0" applyFont="1" applyFill="1" applyBorder="1" applyAlignment="1">
      <alignment vertical="top" wrapText="1"/>
    </xf>
    <xf numFmtId="0" fontId="129" fillId="0" borderId="0" xfId="0" applyFont="1"/>
    <xf numFmtId="0" fontId="132" fillId="0" borderId="31" xfId="0" applyFont="1" applyBorder="1"/>
    <xf numFmtId="0" fontId="133" fillId="0" borderId="31" xfId="0" applyFont="1" applyBorder="1"/>
    <xf numFmtId="0" fontId="134" fillId="0" borderId="31" xfId="0" applyFont="1" applyBorder="1"/>
    <xf numFmtId="0" fontId="135" fillId="50" borderId="31" xfId="0" applyFont="1" applyFill="1" applyBorder="1"/>
    <xf numFmtId="0" fontId="134" fillId="51" borderId="31" xfId="0" applyFont="1" applyFill="1" applyBorder="1"/>
    <xf numFmtId="0" fontId="136" fillId="0" borderId="31" xfId="0" applyFont="1" applyBorder="1"/>
    <xf numFmtId="0" fontId="134" fillId="0" borderId="0" xfId="0" applyFont="1" applyAlignment="1">
      <alignment horizontal="left" vertical="top" wrapText="1"/>
    </xf>
    <xf numFmtId="0" fontId="134" fillId="6" borderId="0" xfId="0" applyFont="1" applyFill="1" applyAlignment="1">
      <alignment horizontal="center" vertical="top" wrapText="1"/>
    </xf>
    <xf numFmtId="0" fontId="134" fillId="6" borderId="0" xfId="0" applyFont="1" applyFill="1" applyAlignment="1">
      <alignment horizontal="left" vertical="top" wrapText="1"/>
    </xf>
    <xf numFmtId="0" fontId="138" fillId="52" borderId="0" xfId="0" applyFont="1" applyFill="1"/>
    <xf numFmtId="0" fontId="137" fillId="52" borderId="0" xfId="0" applyFont="1" applyFill="1"/>
    <xf numFmtId="0" fontId="139" fillId="53" borderId="0" xfId="0" applyFont="1" applyFill="1"/>
    <xf numFmtId="0" fontId="139" fillId="52" borderId="32" xfId="0" applyFont="1" applyFill="1" applyBorder="1"/>
    <xf numFmtId="0" fontId="140" fillId="52" borderId="0" xfId="0" applyFont="1" applyFill="1"/>
    <xf numFmtId="0" fontId="141" fillId="52" borderId="0" xfId="0" applyFont="1" applyFill="1"/>
    <xf numFmtId="0" fontId="142" fillId="54" borderId="0" xfId="0" applyFont="1" applyFill="1"/>
    <xf numFmtId="0" fontId="141" fillId="55" borderId="0" xfId="0" applyFont="1" applyFill="1"/>
    <xf numFmtId="0" fontId="142" fillId="52" borderId="0" xfId="0" applyFont="1" applyFill="1"/>
    <xf numFmtId="0" fontId="145" fillId="0" borderId="0" xfId="0" applyFont="1"/>
    <xf numFmtId="0" fontId="146" fillId="0" borderId="0" xfId="0" applyFont="1" applyAlignment="1">
      <alignment wrapText="1"/>
    </xf>
    <xf numFmtId="0" fontId="94" fillId="0" borderId="0" xfId="0" applyFont="1" applyAlignment="1">
      <alignment wrapText="1"/>
    </xf>
    <xf numFmtId="0" fontId="147" fillId="51" borderId="0" xfId="0" applyFont="1" applyFill="1"/>
    <xf numFmtId="0" fontId="146" fillId="58" borderId="0" xfId="0" applyFont="1" applyFill="1"/>
    <xf numFmtId="0" fontId="149" fillId="59" borderId="0" xfId="0" applyFont="1" applyFill="1"/>
    <xf numFmtId="0" fontId="147" fillId="0" borderId="0" xfId="0" applyFont="1" applyAlignment="1">
      <alignment wrapText="1"/>
    </xf>
    <xf numFmtId="0" fontId="148" fillId="0" borderId="0" xfId="0" applyFont="1"/>
    <xf numFmtId="0" fontId="147" fillId="0" borderId="0" xfId="0" applyFont="1"/>
    <xf numFmtId="0" fontId="146" fillId="0" borderId="0" xfId="0" applyFont="1"/>
    <xf numFmtId="0" fontId="151" fillId="0" borderId="0" xfId="0" applyFont="1"/>
    <xf numFmtId="0" fontId="152" fillId="0" borderId="0" xfId="0" applyFont="1"/>
    <xf numFmtId="0" fontId="154" fillId="0" borderId="0" xfId="0" applyFont="1"/>
    <xf numFmtId="0" fontId="155" fillId="0" borderId="0" xfId="0" applyFont="1"/>
    <xf numFmtId="0" fontId="156" fillId="0" borderId="0" xfId="0" applyFont="1"/>
    <xf numFmtId="0" fontId="157" fillId="0" borderId="0" xfId="0" applyFont="1"/>
    <xf numFmtId="0" fontId="155" fillId="63" borderId="0" xfId="0" applyFont="1" applyFill="1"/>
    <xf numFmtId="0" fontId="158" fillId="64" borderId="33" xfId="0" applyFont="1" applyFill="1" applyBorder="1" applyAlignment="1">
      <alignment vertical="top" wrapText="1"/>
    </xf>
    <xf numFmtId="0" fontId="145" fillId="0" borderId="33" xfId="0" applyFont="1" applyBorder="1" applyAlignment="1">
      <alignment vertical="top" wrapText="1"/>
    </xf>
    <xf numFmtId="0" fontId="94" fillId="0" borderId="33" xfId="0" applyFont="1" applyBorder="1" applyAlignment="1">
      <alignment vertical="top" wrapText="1"/>
    </xf>
    <xf numFmtId="0" fontId="159" fillId="65" borderId="33" xfId="0" applyFont="1" applyFill="1" applyBorder="1" applyAlignment="1">
      <alignment vertical="top" wrapText="1"/>
    </xf>
    <xf numFmtId="0" fontId="160" fillId="0" borderId="33" xfId="0" applyFont="1" applyBorder="1" applyAlignment="1">
      <alignment vertical="top" wrapText="1"/>
    </xf>
    <xf numFmtId="0" fontId="161" fillId="0" borderId="33" xfId="0" applyFont="1" applyBorder="1" applyAlignment="1">
      <alignment vertical="top" wrapText="1"/>
    </xf>
    <xf numFmtId="0" fontId="162" fillId="0" borderId="33" xfId="0" applyFont="1" applyBorder="1" applyAlignment="1">
      <alignment vertical="top" wrapText="1"/>
    </xf>
    <xf numFmtId="0" fontId="164" fillId="0" borderId="0" xfId="0" applyFont="1"/>
    <xf numFmtId="0" fontId="165" fillId="0" borderId="0" xfId="0" applyFont="1"/>
    <xf numFmtId="0" fontId="164" fillId="0" borderId="0" xfId="0" applyFont="1" applyAlignment="1">
      <alignment vertical="top" wrapText="1"/>
    </xf>
    <xf numFmtId="0" fontId="165" fillId="0" borderId="0" xfId="0" applyFont="1" applyAlignment="1">
      <alignment vertical="top" wrapText="1"/>
    </xf>
    <xf numFmtId="0" fontId="167" fillId="68" borderId="0" xfId="0" applyFont="1" applyFill="1" applyAlignment="1">
      <alignment horizontal="center"/>
    </xf>
    <xf numFmtId="0" fontId="167" fillId="69" borderId="0" xfId="0" applyFont="1" applyFill="1" applyAlignment="1">
      <alignment horizontal="center"/>
    </xf>
    <xf numFmtId="0" fontId="167" fillId="70" borderId="0" xfId="0" applyFont="1" applyFill="1" applyAlignment="1">
      <alignment horizontal="center"/>
    </xf>
    <xf numFmtId="0" fontId="169" fillId="67" borderId="0" xfId="0" applyFont="1" applyFill="1"/>
    <xf numFmtId="0" fontId="170" fillId="0" borderId="0" xfId="0" applyFont="1" applyAlignment="1">
      <alignment vertical="top" wrapText="1"/>
    </xf>
    <xf numFmtId="0" fontId="167" fillId="71" borderId="0" xfId="0" applyFont="1" applyFill="1" applyAlignment="1">
      <alignment horizontal="center"/>
    </xf>
    <xf numFmtId="0" fontId="167" fillId="72" borderId="0" xfId="0" applyFont="1" applyFill="1" applyAlignment="1">
      <alignment horizontal="center"/>
    </xf>
    <xf numFmtId="0" fontId="172" fillId="0" borderId="0" xfId="0" applyFont="1"/>
    <xf numFmtId="0" fontId="173" fillId="0" borderId="0" xfId="0" applyFont="1"/>
    <xf numFmtId="0" fontId="174" fillId="0" borderId="0" xfId="0" applyFont="1"/>
    <xf numFmtId="0" fontId="175" fillId="0" borderId="0" xfId="0" applyFont="1"/>
    <xf numFmtId="0" fontId="176" fillId="0" borderId="0" xfId="0" applyFont="1"/>
    <xf numFmtId="0" fontId="177" fillId="0" borderId="0" xfId="0" applyFont="1"/>
    <xf numFmtId="0" fontId="178" fillId="0" borderId="0" xfId="0" applyFont="1"/>
    <xf numFmtId="165" fontId="0" fillId="0" borderId="0" xfId="0" applyNumberFormat="1"/>
    <xf numFmtId="0" fontId="179" fillId="73" borderId="34" xfId="0" applyFont="1" applyFill="1" applyBorder="1" applyAlignment="1">
      <alignment horizontal="center"/>
    </xf>
    <xf numFmtId="0" fontId="0" fillId="0" borderId="34" xfId="0" applyBorder="1" applyAlignment="1">
      <alignment vertical="top" wrapText="1"/>
    </xf>
    <xf numFmtId="0" fontId="0" fillId="74" borderId="34" xfId="0" applyFill="1" applyBorder="1" applyAlignment="1">
      <alignment vertical="top" wrapText="1"/>
    </xf>
    <xf numFmtId="0" fontId="180" fillId="75" borderId="35" xfId="0" applyFont="1" applyFill="1" applyBorder="1" applyAlignment="1">
      <alignment horizontal="center" wrapText="1"/>
    </xf>
    <xf numFmtId="0" fontId="181" fillId="0" borderId="35" xfId="0" applyFont="1" applyBorder="1" applyAlignment="1">
      <alignment vertical="top" wrapText="1"/>
    </xf>
    <xf numFmtId="0" fontId="181" fillId="76" borderId="35" xfId="0" applyFont="1" applyFill="1" applyBorder="1" applyAlignment="1">
      <alignment vertical="top" wrapText="1"/>
    </xf>
    <xf numFmtId="0" fontId="181" fillId="77" borderId="35" xfId="0" applyFont="1" applyFill="1" applyBorder="1" applyAlignment="1">
      <alignment vertical="top" wrapText="1"/>
    </xf>
    <xf numFmtId="0" fontId="181" fillId="78" borderId="35" xfId="0" applyFont="1" applyFill="1" applyBorder="1" applyAlignment="1">
      <alignment vertical="top" wrapText="1"/>
    </xf>
    <xf numFmtId="0" fontId="181" fillId="79" borderId="35" xfId="0" applyFont="1" applyFill="1" applyBorder="1" applyAlignment="1">
      <alignment vertical="top" wrapText="1"/>
    </xf>
    <xf numFmtId="0" fontId="182" fillId="0" borderId="0" xfId="0" applyFont="1"/>
    <xf numFmtId="0" fontId="181" fillId="80" borderId="35" xfId="0" applyFont="1" applyFill="1" applyBorder="1" applyAlignment="1">
      <alignment vertical="top" wrapText="1"/>
    </xf>
    <xf numFmtId="0" fontId="184" fillId="0" borderId="0" xfId="0" applyFont="1"/>
    <xf numFmtId="0" fontId="185" fillId="0" borderId="0" xfId="0" applyFont="1"/>
    <xf numFmtId="0" fontId="187" fillId="0" borderId="0" xfId="0" applyFont="1"/>
    <xf numFmtId="0" fontId="188" fillId="0" borderId="0" xfId="0" applyFont="1"/>
    <xf numFmtId="0" fontId="190" fillId="82" borderId="0" xfId="0" applyFont="1" applyFill="1"/>
    <xf numFmtId="0" fontId="191" fillId="82" borderId="0" xfId="0" applyFont="1" applyFill="1"/>
    <xf numFmtId="0" fontId="192" fillId="83" borderId="0" xfId="0" applyFont="1" applyFill="1"/>
    <xf numFmtId="0" fontId="193" fillId="0" borderId="0" xfId="0" applyFont="1"/>
    <xf numFmtId="0" fontId="194" fillId="0" borderId="0" xfId="0" applyFont="1"/>
    <xf numFmtId="0" fontId="195" fillId="0" borderId="0" xfId="0" applyFont="1"/>
    <xf numFmtId="0" fontId="196" fillId="84" borderId="36" xfId="0" applyFont="1" applyFill="1" applyBorder="1" applyAlignment="1">
      <alignment horizontal="left" vertical="center" wrapText="1"/>
    </xf>
    <xf numFmtId="0" fontId="94" fillId="0" borderId="36" xfId="0" applyFont="1" applyBorder="1" applyAlignment="1">
      <alignment horizontal="left" vertical="top" wrapText="1"/>
    </xf>
    <xf numFmtId="0" fontId="94" fillId="85" borderId="36" xfId="0" applyFont="1" applyFill="1" applyBorder="1" applyAlignment="1">
      <alignment horizontal="left" vertical="top" wrapText="1"/>
    </xf>
    <xf numFmtId="0" fontId="197" fillId="0" borderId="36" xfId="0" applyFont="1" applyBorder="1" applyAlignment="1">
      <alignment horizontal="left" vertical="top" wrapText="1"/>
    </xf>
    <xf numFmtId="0" fontId="197" fillId="85" borderId="36" xfId="0" applyFont="1" applyFill="1" applyBorder="1" applyAlignment="1">
      <alignment horizontal="left" vertical="top" wrapText="1"/>
    </xf>
    <xf numFmtId="0" fontId="198" fillId="0" borderId="0" xfId="0" applyFont="1"/>
    <xf numFmtId="0" fontId="94" fillId="86" borderId="36" xfId="0" applyFont="1" applyFill="1" applyBorder="1" applyAlignment="1">
      <alignment horizontal="left" vertical="top" wrapText="1"/>
    </xf>
    <xf numFmtId="0" fontId="199" fillId="86" borderId="36" xfId="0" applyFont="1" applyFill="1" applyBorder="1" applyAlignment="1">
      <alignment horizontal="left" vertical="top" wrapText="1"/>
    </xf>
    <xf numFmtId="0" fontId="145" fillId="0" borderId="36" xfId="0" applyFont="1" applyBorder="1"/>
    <xf numFmtId="0" fontId="94" fillId="0" borderId="36" xfId="0" applyFont="1" applyBorder="1"/>
    <xf numFmtId="0" fontId="201" fillId="0" borderId="0" xfId="0" applyFont="1"/>
    <xf numFmtId="0" fontId="202" fillId="0" borderId="0" xfId="0" applyFont="1"/>
    <xf numFmtId="0" fontId="203" fillId="0" borderId="0" xfId="0" applyFont="1"/>
    <xf numFmtId="0" fontId="204" fillId="0" borderId="0" xfId="0" applyFont="1"/>
    <xf numFmtId="0" fontId="205" fillId="0" borderId="0" xfId="0" applyFont="1"/>
    <xf numFmtId="0" fontId="206" fillId="0" borderId="0" xfId="0" applyFont="1"/>
    <xf numFmtId="0" fontId="208" fillId="0" borderId="0" xfId="0" applyFont="1"/>
    <xf numFmtId="0" fontId="209" fillId="0" borderId="0" xfId="0" applyFont="1"/>
    <xf numFmtId="0" fontId="0" fillId="0" borderId="0" xfId="0" applyAlignment="1">
      <alignment vertical="top" wrapText="1"/>
    </xf>
    <xf numFmtId="0" fontId="0" fillId="88" borderId="0" xfId="0" applyFill="1"/>
    <xf numFmtId="0" fontId="0" fillId="89" borderId="0" xfId="0" applyFill="1"/>
    <xf numFmtId="0" fontId="207" fillId="0" borderId="0" xfId="0" applyFont="1"/>
    <xf numFmtId="0" fontId="0" fillId="0" borderId="0" xfId="0"/>
    <xf numFmtId="0" fontId="200" fillId="87" borderId="0" xfId="0" applyFont="1" applyFill="1"/>
    <xf numFmtId="0" fontId="186" fillId="81" borderId="0" xfId="0" applyFont="1" applyFill="1"/>
    <xf numFmtId="0" fontId="189" fillId="0" borderId="0" xfId="0" applyFont="1"/>
    <xf numFmtId="0" fontId="183" fillId="0" borderId="0" xfId="0" applyFont="1"/>
    <xf numFmtId="0" fontId="166" fillId="67" borderId="0" xfId="0" applyFont="1" applyFill="1"/>
    <xf numFmtId="0" fontId="163" fillId="66" borderId="0" xfId="0" applyFont="1" applyFill="1" applyAlignment="1">
      <alignment horizontal="left" vertical="center"/>
    </xf>
    <xf numFmtId="0" fontId="171" fillId="66" borderId="0" xfId="0" applyFont="1" applyFill="1"/>
    <xf numFmtId="0" fontId="165" fillId="0" borderId="0" xfId="0" applyFont="1" applyAlignment="1">
      <alignment wrapText="1"/>
    </xf>
    <xf numFmtId="0" fontId="163" fillId="66" borderId="0" xfId="0" applyFont="1" applyFill="1" applyAlignment="1">
      <alignment horizontal="left"/>
    </xf>
    <xf numFmtId="0" fontId="168" fillId="0" borderId="0" xfId="0" applyFont="1"/>
    <xf numFmtId="0" fontId="153" fillId="60" borderId="0" xfId="0" applyFont="1" applyFill="1" applyAlignment="1">
      <alignment horizontal="center"/>
    </xf>
    <xf numFmtId="0" fontId="153" fillId="60" borderId="0" xfId="0" applyFont="1" applyFill="1"/>
    <xf numFmtId="0" fontId="153" fillId="62" borderId="0" xfId="0" applyFont="1" applyFill="1"/>
    <xf numFmtId="0" fontId="153" fillId="61" borderId="0" xfId="0" applyFont="1" applyFill="1"/>
    <xf numFmtId="0" fontId="144" fillId="57" borderId="0" xfId="0" applyFont="1" applyFill="1"/>
    <xf numFmtId="0" fontId="143" fillId="56" borderId="0" xfId="0" applyFont="1" applyFill="1" applyAlignment="1">
      <alignment horizontal="center"/>
    </xf>
    <xf numFmtId="0" fontId="145" fillId="0" borderId="0" xfId="0" applyFont="1"/>
    <xf numFmtId="0" fontId="194" fillId="56" borderId="0" xfId="0" applyFont="1" applyFill="1" applyAlignment="1">
      <alignment horizontal="center"/>
    </xf>
    <xf numFmtId="0" fontId="94" fillId="0" borderId="0" xfId="0" applyFont="1" applyAlignment="1">
      <alignment wrapText="1"/>
    </xf>
    <xf numFmtId="0" fontId="94" fillId="0" borderId="0" xfId="0" applyFont="1"/>
    <xf numFmtId="0" fontId="150" fillId="0" borderId="0" xfId="0" applyFont="1" applyAlignment="1">
      <alignment wrapText="1"/>
    </xf>
    <xf numFmtId="0" fontId="146" fillId="0" borderId="0" xfId="0" applyFont="1"/>
    <xf numFmtId="0" fontId="121" fillId="0" borderId="0" xfId="0" applyFont="1"/>
    <xf numFmtId="0" fontId="123" fillId="0" borderId="0" xfId="0" applyFont="1"/>
    <xf numFmtId="0" fontId="117" fillId="0" borderId="0" xfId="0" applyFont="1"/>
    <xf numFmtId="0" fontId="108" fillId="0" borderId="0" xfId="0" applyFont="1"/>
    <xf numFmtId="0" fontId="2" fillId="3" borderId="0" xfId="0" applyFont="1" applyFill="1" applyAlignment="1">
      <alignment horizontal="left" vertical="top" wrapText="1"/>
    </xf>
    <xf numFmtId="0" fontId="1" fillId="2" borderId="1" xfId="0" applyFont="1" applyFill="1" applyBorder="1" applyAlignment="1">
      <alignment horizontal="left" vertical="top" wrapText="1"/>
    </xf>
    <xf numFmtId="0" fontId="0" fillId="0" borderId="25" xfId="0" applyBorder="1"/>
    <xf numFmtId="0" fontId="0" fillId="0" borderId="26" xfId="0" applyBorder="1"/>
    <xf numFmtId="0" fontId="97" fillId="35" borderId="0" xfId="0" applyFont="1" applyFill="1" applyAlignment="1">
      <alignment horizontal="center"/>
    </xf>
    <xf numFmtId="0" fontId="17" fillId="12" borderId="0" xfId="0" applyFont="1" applyFill="1" applyAlignment="1">
      <alignment horizontal="left" vertical="top" wrapText="1"/>
    </xf>
    <xf numFmtId="0" fontId="16" fillId="0" borderId="0" xfId="0" applyFont="1" applyAlignment="1">
      <alignment wrapText="1"/>
    </xf>
    <xf numFmtId="0" fontId="15" fillId="0" borderId="0" xfId="0" applyFont="1" applyAlignment="1">
      <alignment horizontal="center" vertical="top" wrapText="1"/>
    </xf>
    <xf numFmtId="0" fontId="14" fillId="11" borderId="0" xfId="0" applyFont="1" applyFill="1" applyAlignment="1">
      <alignment horizontal="center" vertical="top" wrapText="1"/>
    </xf>
    <xf numFmtId="0" fontId="18" fillId="0" borderId="0" xfId="0" applyFont="1" applyAlignment="1">
      <alignment wrapText="1"/>
    </xf>
    <xf numFmtId="0" fontId="23" fillId="0" borderId="0" xfId="0" applyFont="1" applyAlignment="1">
      <alignment horizontal="left" vertical="center" wrapText="1"/>
    </xf>
    <xf numFmtId="0" fontId="24" fillId="11" borderId="0" xfId="0" applyFont="1" applyFill="1" applyAlignment="1">
      <alignment horizontal="left" vertical="center" wrapText="1"/>
    </xf>
    <xf numFmtId="0" fontId="22" fillId="12" borderId="0" xfId="0" applyFont="1" applyFill="1" applyAlignment="1">
      <alignment horizontal="left" vertical="center" wrapText="1"/>
    </xf>
    <xf numFmtId="0" fontId="29" fillId="17" borderId="0" xfId="0" applyFont="1" applyFill="1" applyAlignment="1">
      <alignment wrapText="1"/>
    </xf>
    <xf numFmtId="0" fontId="0" fillId="0" borderId="0" xfId="0" applyAlignment="1">
      <alignment wrapText="1"/>
    </xf>
    <xf numFmtId="0" fontId="27" fillId="2" borderId="0" xfId="0" applyFont="1" applyFill="1" applyAlignment="1">
      <alignment wrapText="1"/>
    </xf>
    <xf numFmtId="0" fontId="4" fillId="5" borderId="0" xfId="0" applyFont="1" applyFill="1" applyAlignment="1">
      <alignment horizontal="center" wrapText="1"/>
    </xf>
    <xf numFmtId="0" fontId="4" fillId="4" borderId="0" xfId="0" applyFont="1" applyFill="1" applyAlignment="1">
      <alignment wrapText="1"/>
    </xf>
    <xf numFmtId="0" fontId="49" fillId="5" borderId="0" xfId="0" applyFont="1" applyFill="1" applyAlignment="1">
      <alignment wrapText="1"/>
    </xf>
    <xf numFmtId="0" fontId="36"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F5F0E6"/>
      <rgbColor rgb="FFF9F9F6"/>
      <rgbColor rgb="FFFFFF00"/>
      <rgbColor rgb="FFFFEBEE"/>
      <rgbColor rgb="FFE8EBF0"/>
      <rgbColor rgb="FF8B0000"/>
      <rgbColor rgb="FF008000"/>
      <rgbColor rgb="FF0D1B3E"/>
      <rgbColor rgb="FFC65D21"/>
      <rgbColor rgb="FFCC5500"/>
      <rgbColor rgb="FF006644"/>
      <rgbColor rgb="FFCCCCCC"/>
      <rgbColor rgb="FF888888"/>
      <rgbColor rgb="FFC6EFCE"/>
      <rgbColor rgb="FFC0392B"/>
      <rgbColor rgb="FFFFF8E1"/>
      <rgbColor rgb="FFE3FCEF"/>
      <rgbColor rgb="FF1B2A4A"/>
      <rgbColor rgb="FFD4722C"/>
      <rgbColor rgb="FFFBE9E7"/>
      <rgbColor rgb="FFD0D0D0"/>
      <rgbColor rgb="FF1A2744"/>
      <rgbColor rgb="FFFDF3EC"/>
      <rgbColor rgb="FFF5ECD7"/>
      <rgbColor rgb="FFF0F2F5"/>
      <rgbColor rgb="FFF9F4F0"/>
      <rgbColor rgb="FFB71C1C"/>
      <rgbColor rgb="FF006400"/>
      <rgbColor rgb="FFF9FAFB"/>
      <rgbColor rgb="FFF0F0F0"/>
      <rgbColor rgb="FFE8F5E9"/>
      <rgbColor rgb="FFD5F5E3"/>
      <rgbColor rgb="FFFFF2CC"/>
      <rgbColor rgb="FFD9E2F3"/>
      <rgbColor rgb="FFE0E0E0"/>
      <rgbColor rgb="FFDDDDD8"/>
      <rgbColor rgb="FFE8E0D0"/>
      <rgbColor rgb="FF545658"/>
      <rgbColor rgb="FFE5E7EB"/>
      <rgbColor rgb="FFE8EDE4"/>
      <rgbColor rgb="FFD9EAD3"/>
      <rgbColor rgb="FFC6901E"/>
      <rgbColor rgb="FFF57F17"/>
      <rgbColor rgb="FF666666"/>
      <rgbColor rgb="FF999999"/>
      <rgbColor rgb="FF1A3C6E"/>
      <rgbColor rgb="FF277A32"/>
      <rgbColor rgb="FF0A1628"/>
      <rgbColor rgb="FF444444"/>
      <rgbColor rgb="FFBF2600"/>
      <rgbColor rgb="FFC62828"/>
      <rgbColor rgb="FF2D3E5F"/>
      <rgbColor rgb="FF1B2B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95400</xdr:colOff>
      <xdr:row>0</xdr:row>
      <xdr:rowOff>142920</xdr:rowOff>
    </xdr:from>
    <xdr:to>
      <xdr:col>6</xdr:col>
      <xdr:colOff>517320</xdr:colOff>
      <xdr:row>25</xdr:row>
      <xdr:rowOff>100440</xdr:rowOff>
    </xdr:to>
    <xdr:pic>
      <xdr:nvPicPr>
        <xdr:cNvPr id="2" name="Picture 1">
          <a:extLst>
            <a:ext uri="{FF2B5EF4-FFF2-40B4-BE49-F238E27FC236}">
              <a16:creationId xmlns:a16="http://schemas.microsoft.com/office/drawing/2014/main" id="{00000000-0008-0000-3E00-000002000000}"/>
            </a:ext>
          </a:extLst>
        </xdr:cNvPr>
        <xdr:cNvPicPr/>
      </xdr:nvPicPr>
      <xdr:blipFill>
        <a:blip xmlns:r="http://schemas.openxmlformats.org/officeDocument/2006/relationships" r:embed="rId1"/>
        <a:stretch>
          <a:fillRect/>
        </a:stretch>
      </xdr:blipFill>
      <xdr:spPr>
        <a:xfrm>
          <a:off x="5873760" y="142920"/>
          <a:ext cx="4657680" cy="522468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603360</xdr:colOff>
      <xdr:row>11</xdr:row>
      <xdr:rowOff>174960</xdr:rowOff>
    </xdr:to>
    <xdr:pic>
      <xdr:nvPicPr>
        <xdr:cNvPr id="2" name="Picture 1">
          <a:extLst>
            <a:ext uri="{FF2B5EF4-FFF2-40B4-BE49-F238E27FC236}">
              <a16:creationId xmlns:a16="http://schemas.microsoft.com/office/drawing/2014/main" id="{00000000-0008-0000-3F00-000002000000}"/>
            </a:ext>
          </a:extLst>
        </xdr:cNvPr>
        <xdr:cNvPicPr/>
      </xdr:nvPicPr>
      <xdr:blipFill>
        <a:blip xmlns:r="http://schemas.openxmlformats.org/officeDocument/2006/relationships" r:embed="rId1"/>
        <a:stretch>
          <a:fillRect/>
        </a:stretch>
      </xdr:blipFill>
      <xdr:spPr>
        <a:xfrm>
          <a:off x="0" y="0"/>
          <a:ext cx="7581960" cy="2689560"/>
        </a:xfrm>
        <a:prstGeom prst="rect">
          <a:avLst/>
        </a:prstGeom>
        <a:ln w="0">
          <a:noFill/>
          <a:prstDash val="solid"/>
        </a:ln>
      </xdr:spPr>
    </xdr:pic>
    <xdr:clientData/>
  </xdr:twoCellAnchor>
  <xdr:twoCellAnchor editAs="oneCell">
    <xdr:from>
      <xdr:col>0</xdr:col>
      <xdr:colOff>0</xdr:colOff>
      <xdr:row>16</xdr:row>
      <xdr:rowOff>95400</xdr:rowOff>
    </xdr:from>
    <xdr:to>
      <xdr:col>2</xdr:col>
      <xdr:colOff>443520</xdr:colOff>
      <xdr:row>46</xdr:row>
      <xdr:rowOff>147600</xdr:rowOff>
    </xdr:to>
    <xdr:pic>
      <xdr:nvPicPr>
        <xdr:cNvPr id="3" name="Picture 2">
          <a:extLst>
            <a:ext uri="{FF2B5EF4-FFF2-40B4-BE49-F238E27FC236}">
              <a16:creationId xmlns:a16="http://schemas.microsoft.com/office/drawing/2014/main" id="{00000000-0008-0000-3F00-000003000000}"/>
            </a:ext>
          </a:extLst>
        </xdr:cNvPr>
        <xdr:cNvPicPr/>
      </xdr:nvPicPr>
      <xdr:blipFill>
        <a:blip xmlns:r="http://schemas.openxmlformats.org/officeDocument/2006/relationships" r:embed="rId2"/>
        <a:stretch>
          <a:fillRect/>
        </a:stretch>
      </xdr:blipFill>
      <xdr:spPr>
        <a:xfrm>
          <a:off x="0" y="3562560"/>
          <a:ext cx="7422120" cy="5767200"/>
        </a:xfrm>
        <a:prstGeom prst="rect">
          <a:avLst/>
        </a:prstGeom>
        <a:ln w="0">
          <a:noFill/>
          <a:prstDash val="solid"/>
        </a:ln>
      </xdr:spPr>
    </xdr:pic>
    <xdr:clientData/>
  </xdr:twoCellAnchor>
  <xdr:twoCellAnchor editAs="oneCell">
    <xdr:from>
      <xdr:col>9</xdr:col>
      <xdr:colOff>380880</xdr:colOff>
      <xdr:row>22</xdr:row>
      <xdr:rowOff>28440</xdr:rowOff>
    </xdr:from>
    <xdr:to>
      <xdr:col>18</xdr:col>
      <xdr:colOff>328320</xdr:colOff>
      <xdr:row>26</xdr:row>
      <xdr:rowOff>147240</xdr:rowOff>
    </xdr:to>
    <xdr:pic>
      <xdr:nvPicPr>
        <xdr:cNvPr id="4" name="Picture 3">
          <a:extLst>
            <a:ext uri="{FF2B5EF4-FFF2-40B4-BE49-F238E27FC236}">
              <a16:creationId xmlns:a16="http://schemas.microsoft.com/office/drawing/2014/main" id="{00000000-0008-0000-3F00-000004000000}"/>
            </a:ext>
          </a:extLst>
        </xdr:cNvPr>
        <xdr:cNvPicPr/>
      </xdr:nvPicPr>
      <xdr:blipFill>
        <a:blip xmlns:r="http://schemas.openxmlformats.org/officeDocument/2006/relationships" r:embed="rId3"/>
        <a:stretch>
          <a:fillRect/>
        </a:stretch>
      </xdr:blipFill>
      <xdr:spPr>
        <a:xfrm>
          <a:off x="12671280" y="4638600"/>
          <a:ext cx="6777000" cy="880920"/>
        </a:xfrm>
        <a:prstGeom prst="rect">
          <a:avLst/>
        </a:prstGeom>
        <a:ln w="0">
          <a:noFill/>
          <a:prstDash val="solid"/>
        </a:ln>
      </xdr:spPr>
    </xdr:pic>
    <xdr:clientData/>
  </xdr:twoCellAnchor>
  <xdr:twoCellAnchor editAs="oneCell">
    <xdr:from>
      <xdr:col>10</xdr:col>
      <xdr:colOff>0</xdr:colOff>
      <xdr:row>33</xdr:row>
      <xdr:rowOff>0</xdr:rowOff>
    </xdr:from>
    <xdr:to>
      <xdr:col>19</xdr:col>
      <xdr:colOff>185040</xdr:colOff>
      <xdr:row>37</xdr:row>
      <xdr:rowOff>147600</xdr:rowOff>
    </xdr:to>
    <xdr:pic>
      <xdr:nvPicPr>
        <xdr:cNvPr id="5" name="Picture 4">
          <a:extLst>
            <a:ext uri="{FF2B5EF4-FFF2-40B4-BE49-F238E27FC236}">
              <a16:creationId xmlns:a16="http://schemas.microsoft.com/office/drawing/2014/main" id="{00000000-0008-0000-3F00-000005000000}"/>
            </a:ext>
          </a:extLst>
        </xdr:cNvPr>
        <xdr:cNvPicPr/>
      </xdr:nvPicPr>
      <xdr:blipFill>
        <a:blip xmlns:r="http://schemas.openxmlformats.org/officeDocument/2006/relationships" r:embed="rId4"/>
        <a:stretch>
          <a:fillRect/>
        </a:stretch>
      </xdr:blipFill>
      <xdr:spPr>
        <a:xfrm>
          <a:off x="13049280" y="6705720"/>
          <a:ext cx="7014600" cy="909360"/>
        </a:xfrm>
        <a:prstGeom prst="rect">
          <a:avLst/>
        </a:prstGeom>
        <a:ln w="0">
          <a:noFill/>
          <a:prstDash val="solid"/>
        </a:ln>
      </xdr:spPr>
    </xdr:pic>
    <xdr:clientData/>
  </xdr:twoCellAnchor>
  <xdr:twoCellAnchor editAs="oneCell">
    <xdr:from>
      <xdr:col>0</xdr:col>
      <xdr:colOff>0</xdr:colOff>
      <xdr:row>48</xdr:row>
      <xdr:rowOff>0</xdr:rowOff>
    </xdr:from>
    <xdr:to>
      <xdr:col>3</xdr:col>
      <xdr:colOff>183600</xdr:colOff>
      <xdr:row>75</xdr:row>
      <xdr:rowOff>98640</xdr:rowOff>
    </xdr:to>
    <xdr:pic>
      <xdr:nvPicPr>
        <xdr:cNvPr id="6" name="Picture 5">
          <a:extLst>
            <a:ext uri="{FF2B5EF4-FFF2-40B4-BE49-F238E27FC236}">
              <a16:creationId xmlns:a16="http://schemas.microsoft.com/office/drawing/2014/main" id="{00000000-0008-0000-3F00-000006000000}"/>
            </a:ext>
          </a:extLst>
        </xdr:cNvPr>
        <xdr:cNvPicPr/>
      </xdr:nvPicPr>
      <xdr:blipFill>
        <a:blip xmlns:r="http://schemas.openxmlformats.org/officeDocument/2006/relationships" r:embed="rId5"/>
        <a:stretch>
          <a:fillRect/>
        </a:stretch>
      </xdr:blipFill>
      <xdr:spPr>
        <a:xfrm>
          <a:off x="0" y="9563040"/>
          <a:ext cx="7921080" cy="5242320"/>
        </a:xfrm>
        <a:prstGeom prst="rect">
          <a:avLst/>
        </a:prstGeom>
        <a:ln w="0">
          <a:noFill/>
          <a:prstDash val="solid"/>
        </a:ln>
      </xdr:spPr>
    </xdr:pic>
    <xdr:clientData/>
  </xdr:twoCellAnchor>
  <xdr:twoCellAnchor editAs="oneCell">
    <xdr:from>
      <xdr:col>0</xdr:col>
      <xdr:colOff>0</xdr:colOff>
      <xdr:row>77</xdr:row>
      <xdr:rowOff>0</xdr:rowOff>
    </xdr:from>
    <xdr:to>
      <xdr:col>4</xdr:col>
      <xdr:colOff>565200</xdr:colOff>
      <xdr:row>108</xdr:row>
      <xdr:rowOff>71280</xdr:rowOff>
    </xdr:to>
    <xdr:pic>
      <xdr:nvPicPr>
        <xdr:cNvPr id="7" name="Picture 6">
          <a:extLst>
            <a:ext uri="{FF2B5EF4-FFF2-40B4-BE49-F238E27FC236}">
              <a16:creationId xmlns:a16="http://schemas.microsoft.com/office/drawing/2014/main" id="{00000000-0008-0000-3F00-000007000000}"/>
            </a:ext>
          </a:extLst>
        </xdr:cNvPr>
        <xdr:cNvPicPr/>
      </xdr:nvPicPr>
      <xdr:blipFill>
        <a:blip xmlns:r="http://schemas.openxmlformats.org/officeDocument/2006/relationships" r:embed="rId6"/>
        <a:stretch>
          <a:fillRect/>
        </a:stretch>
      </xdr:blipFill>
      <xdr:spPr>
        <a:xfrm>
          <a:off x="0" y="15087600"/>
          <a:ext cx="9061560" cy="5976720"/>
        </a:xfrm>
        <a:prstGeom prst="rect">
          <a:avLst/>
        </a:prstGeom>
        <a:ln w="0">
          <a:noFill/>
          <a:prstDash val="solid"/>
        </a:ln>
      </xdr:spPr>
    </xdr:pic>
    <xdr:clientData/>
  </xdr:twoCellAnchor>
  <xdr:twoCellAnchor editAs="oneCell">
    <xdr:from>
      <xdr:col>0</xdr:col>
      <xdr:colOff>0</xdr:colOff>
      <xdr:row>110</xdr:row>
      <xdr:rowOff>0</xdr:rowOff>
    </xdr:from>
    <xdr:to>
      <xdr:col>3</xdr:col>
      <xdr:colOff>146160</xdr:colOff>
      <xdr:row>149</xdr:row>
      <xdr:rowOff>136800</xdr:rowOff>
    </xdr:to>
    <xdr:pic>
      <xdr:nvPicPr>
        <xdr:cNvPr id="8" name="Picture 8">
          <a:extLst>
            <a:ext uri="{FF2B5EF4-FFF2-40B4-BE49-F238E27FC236}">
              <a16:creationId xmlns:a16="http://schemas.microsoft.com/office/drawing/2014/main" id="{00000000-0008-0000-3F00-000008000000}"/>
            </a:ext>
          </a:extLst>
        </xdr:cNvPr>
        <xdr:cNvPicPr/>
      </xdr:nvPicPr>
      <xdr:blipFill>
        <a:blip xmlns:r="http://schemas.openxmlformats.org/officeDocument/2006/relationships" r:embed="rId7"/>
        <a:stretch>
          <a:fillRect/>
        </a:stretch>
      </xdr:blipFill>
      <xdr:spPr>
        <a:xfrm>
          <a:off x="0" y="21374280"/>
          <a:ext cx="7883640" cy="7566120"/>
        </a:xfrm>
        <a:prstGeom prst="rect">
          <a:avLst/>
        </a:prstGeom>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653760</xdr:colOff>
      <xdr:row>17</xdr:row>
      <xdr:rowOff>2880</xdr:rowOff>
    </xdr:to>
    <xdr:pic>
      <xdr:nvPicPr>
        <xdr:cNvPr id="8" name="Picture 1">
          <a:extLst>
            <a:ext uri="{FF2B5EF4-FFF2-40B4-BE49-F238E27FC236}">
              <a16:creationId xmlns:a16="http://schemas.microsoft.com/office/drawing/2014/main" id="{00000000-0008-0000-4000-000008000000}"/>
            </a:ext>
          </a:extLst>
        </xdr:cNvPr>
        <xdr:cNvPicPr/>
      </xdr:nvPicPr>
      <xdr:blipFill>
        <a:blip xmlns:r="http://schemas.openxmlformats.org/officeDocument/2006/relationships" r:embed="rId1"/>
        <a:stretch>
          <a:fillRect/>
        </a:stretch>
      </xdr:blipFill>
      <xdr:spPr>
        <a:xfrm>
          <a:off x="0" y="0"/>
          <a:ext cx="6432120" cy="3574800"/>
        </a:xfrm>
        <a:prstGeom prst="rect">
          <a:avLst/>
        </a:prstGeom>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2729160</xdr:colOff>
      <xdr:row>35</xdr:row>
      <xdr:rowOff>117720</xdr:rowOff>
    </xdr:to>
    <xdr:pic>
      <xdr:nvPicPr>
        <xdr:cNvPr id="9" name="Picture 1">
          <a:extLst>
            <a:ext uri="{FF2B5EF4-FFF2-40B4-BE49-F238E27FC236}">
              <a16:creationId xmlns:a16="http://schemas.microsoft.com/office/drawing/2014/main" id="{00000000-0008-0000-4100-000009000000}"/>
            </a:ext>
          </a:extLst>
        </xdr:cNvPr>
        <xdr:cNvPicPr/>
      </xdr:nvPicPr>
      <xdr:blipFill>
        <a:blip xmlns:r="http://schemas.openxmlformats.org/officeDocument/2006/relationships" r:embed="rId1"/>
        <a:stretch>
          <a:fillRect/>
        </a:stretch>
      </xdr:blipFill>
      <xdr:spPr>
        <a:xfrm>
          <a:off x="0" y="0"/>
          <a:ext cx="2729160" cy="7118640"/>
        </a:xfrm>
        <a:prstGeom prst="rect">
          <a:avLst/>
        </a:prstGeom>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175320</xdr:colOff>
      <xdr:row>13</xdr:row>
      <xdr:rowOff>82080</xdr:rowOff>
    </xdr:to>
    <xdr:pic>
      <xdr:nvPicPr>
        <xdr:cNvPr id="10" name="Picture 1">
          <a:extLst>
            <a:ext uri="{FF2B5EF4-FFF2-40B4-BE49-F238E27FC236}">
              <a16:creationId xmlns:a16="http://schemas.microsoft.com/office/drawing/2014/main" id="{00000000-0008-0000-4200-00000A000000}"/>
            </a:ext>
          </a:extLst>
        </xdr:cNvPr>
        <xdr:cNvPicPr/>
      </xdr:nvPicPr>
      <xdr:blipFill>
        <a:blip xmlns:r="http://schemas.openxmlformats.org/officeDocument/2006/relationships" r:embed="rId1"/>
        <a:stretch>
          <a:fillRect/>
        </a:stretch>
      </xdr:blipFill>
      <xdr:spPr>
        <a:xfrm>
          <a:off x="0" y="0"/>
          <a:ext cx="12874680" cy="2806200"/>
        </a:xfrm>
        <a:prstGeom prst="rect">
          <a:avLst/>
        </a:prstGeom>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253440</xdr:colOff>
      <xdr:row>20</xdr:row>
      <xdr:rowOff>51480</xdr:rowOff>
    </xdr:to>
    <xdr:pic>
      <xdr:nvPicPr>
        <xdr:cNvPr id="11" name="Picture 1">
          <a:extLst>
            <a:ext uri="{FF2B5EF4-FFF2-40B4-BE49-F238E27FC236}">
              <a16:creationId xmlns:a16="http://schemas.microsoft.com/office/drawing/2014/main" id="{00000000-0008-0000-4300-00000B000000}"/>
            </a:ext>
          </a:extLst>
        </xdr:cNvPr>
        <xdr:cNvPicPr/>
      </xdr:nvPicPr>
      <xdr:blipFill>
        <a:blip xmlns:r="http://schemas.openxmlformats.org/officeDocument/2006/relationships" r:embed="rId1"/>
        <a:stretch>
          <a:fillRect/>
        </a:stretch>
      </xdr:blipFill>
      <xdr:spPr>
        <a:xfrm>
          <a:off x="0" y="0"/>
          <a:ext cx="12193920" cy="4109040"/>
        </a:xfrm>
        <a:prstGeom prst="rect">
          <a:avLst/>
        </a:prstGeom>
        <a:ln w="0">
          <a:noFill/>
          <a:prstDash val="solid"/>
        </a:ln>
      </xdr:spPr>
    </xdr:pic>
    <xdr:clientData/>
  </xdr:twoCellAnchor>
  <xdr:twoCellAnchor editAs="oneCell">
    <xdr:from>
      <xdr:col>0</xdr:col>
      <xdr:colOff>0</xdr:colOff>
      <xdr:row>23</xdr:row>
      <xdr:rowOff>0</xdr:rowOff>
    </xdr:from>
    <xdr:to>
      <xdr:col>7</xdr:col>
      <xdr:colOff>602640</xdr:colOff>
      <xdr:row>54</xdr:row>
      <xdr:rowOff>5400</xdr:rowOff>
    </xdr:to>
    <xdr:pic>
      <xdr:nvPicPr>
        <xdr:cNvPr id="12" name="Picture 2">
          <a:extLst>
            <a:ext uri="{FF2B5EF4-FFF2-40B4-BE49-F238E27FC236}">
              <a16:creationId xmlns:a16="http://schemas.microsoft.com/office/drawing/2014/main" id="{00000000-0008-0000-4300-00000C000000}"/>
            </a:ext>
          </a:extLst>
        </xdr:cNvPr>
        <xdr:cNvPicPr/>
      </xdr:nvPicPr>
      <xdr:blipFill>
        <a:blip xmlns:r="http://schemas.openxmlformats.org/officeDocument/2006/relationships" r:embed="rId2"/>
        <a:stretch>
          <a:fillRect/>
        </a:stretch>
      </xdr:blipFill>
      <xdr:spPr>
        <a:xfrm>
          <a:off x="0" y="4629240"/>
          <a:ext cx="11784240" cy="5910840"/>
        </a:xfrm>
        <a:prstGeom prst="rect">
          <a:avLst/>
        </a:prstGeom>
        <a:ln w="0">
          <a:noFill/>
          <a:prstDash val="solid"/>
        </a:ln>
      </xdr:spPr>
    </xdr:pic>
    <xdr:clientData/>
  </xdr:twoCellAnchor>
  <xdr:twoCellAnchor editAs="oneCell">
    <xdr:from>
      <xdr:col>0</xdr:col>
      <xdr:colOff>0</xdr:colOff>
      <xdr:row>56</xdr:row>
      <xdr:rowOff>0</xdr:rowOff>
    </xdr:from>
    <xdr:to>
      <xdr:col>9</xdr:col>
      <xdr:colOff>63000</xdr:colOff>
      <xdr:row>85</xdr:row>
      <xdr:rowOff>25200</xdr:rowOff>
    </xdr:to>
    <xdr:pic>
      <xdr:nvPicPr>
        <xdr:cNvPr id="13" name="Picture 3">
          <a:extLst>
            <a:ext uri="{FF2B5EF4-FFF2-40B4-BE49-F238E27FC236}">
              <a16:creationId xmlns:a16="http://schemas.microsoft.com/office/drawing/2014/main" id="{00000000-0008-0000-4300-00000D000000}"/>
            </a:ext>
          </a:extLst>
        </xdr:cNvPr>
        <xdr:cNvPicPr/>
      </xdr:nvPicPr>
      <xdr:blipFill>
        <a:blip xmlns:r="http://schemas.openxmlformats.org/officeDocument/2006/relationships" r:embed="rId3"/>
        <a:stretch>
          <a:fillRect/>
        </a:stretch>
      </xdr:blipFill>
      <xdr:spPr>
        <a:xfrm>
          <a:off x="0" y="10915560"/>
          <a:ext cx="12762360" cy="5549760"/>
        </a:xfrm>
        <a:prstGeom prst="rect">
          <a:avLst/>
        </a:prstGeom>
        <a:ln w="0">
          <a:noFill/>
          <a:prstDash val="solid"/>
        </a:ln>
      </xdr:spPr>
    </xdr:pic>
    <xdr:clientData/>
  </xdr:twoCellAnchor>
  <xdr:twoCellAnchor editAs="oneCell">
    <xdr:from>
      <xdr:col>0</xdr:col>
      <xdr:colOff>0</xdr:colOff>
      <xdr:row>87</xdr:row>
      <xdr:rowOff>0</xdr:rowOff>
    </xdr:from>
    <xdr:to>
      <xdr:col>8</xdr:col>
      <xdr:colOff>233280</xdr:colOff>
      <xdr:row>104</xdr:row>
      <xdr:rowOff>109800</xdr:rowOff>
    </xdr:to>
    <xdr:pic>
      <xdr:nvPicPr>
        <xdr:cNvPr id="14" name="Picture 4">
          <a:extLst>
            <a:ext uri="{FF2B5EF4-FFF2-40B4-BE49-F238E27FC236}">
              <a16:creationId xmlns:a16="http://schemas.microsoft.com/office/drawing/2014/main" id="{00000000-0008-0000-4300-00000E000000}"/>
            </a:ext>
          </a:extLst>
        </xdr:cNvPr>
        <xdr:cNvPicPr/>
      </xdr:nvPicPr>
      <xdr:blipFill>
        <a:blip xmlns:r="http://schemas.openxmlformats.org/officeDocument/2006/relationships" r:embed="rId4"/>
        <a:stretch>
          <a:fillRect/>
        </a:stretch>
      </xdr:blipFill>
      <xdr:spPr>
        <a:xfrm>
          <a:off x="0" y="16821000"/>
          <a:ext cx="12173760" cy="3348360"/>
        </a:xfrm>
        <a:prstGeom prst="rect">
          <a:avLst/>
        </a:prstGeom>
        <a:ln w="0">
          <a:noFill/>
          <a:prstDash val="solid"/>
        </a:ln>
      </xdr:spPr>
    </xdr:pic>
    <xdr:clientData/>
  </xdr:twoCellAnchor>
  <xdr:twoCellAnchor editAs="oneCell">
    <xdr:from>
      <xdr:col>0</xdr:col>
      <xdr:colOff>0</xdr:colOff>
      <xdr:row>106</xdr:row>
      <xdr:rowOff>0</xdr:rowOff>
    </xdr:from>
    <xdr:to>
      <xdr:col>11</xdr:col>
      <xdr:colOff>183960</xdr:colOff>
      <xdr:row>131</xdr:row>
      <xdr:rowOff>31680</xdr:rowOff>
    </xdr:to>
    <xdr:pic>
      <xdr:nvPicPr>
        <xdr:cNvPr id="15" name="Picture 5">
          <a:extLst>
            <a:ext uri="{FF2B5EF4-FFF2-40B4-BE49-F238E27FC236}">
              <a16:creationId xmlns:a16="http://schemas.microsoft.com/office/drawing/2014/main" id="{00000000-0008-0000-4300-00000F000000}"/>
            </a:ext>
          </a:extLst>
        </xdr:cNvPr>
        <xdr:cNvPicPr/>
      </xdr:nvPicPr>
      <xdr:blipFill>
        <a:blip xmlns:r="http://schemas.openxmlformats.org/officeDocument/2006/relationships" r:embed="rId5"/>
        <a:stretch>
          <a:fillRect/>
        </a:stretch>
      </xdr:blipFill>
      <xdr:spPr>
        <a:xfrm>
          <a:off x="0" y="20440800"/>
          <a:ext cx="14401080" cy="479412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5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7"/>
  <sheetViews>
    <sheetView tabSelected="1" topLeftCell="A16" workbookViewId="0">
      <selection sqref="A1:C1"/>
    </sheetView>
  </sheetViews>
  <sheetFormatPr defaultRowHeight="15"/>
  <cols>
    <col min="1" max="1" width="8" customWidth="1"/>
    <col min="2" max="2" width="95" customWidth="1"/>
    <col min="3" max="3" width="12" customWidth="1"/>
  </cols>
  <sheetData>
    <row r="1" spans="1:3" ht="18.75">
      <c r="A1" s="493" t="s">
        <v>0</v>
      </c>
      <c r="B1" s="494"/>
      <c r="C1" s="494"/>
    </row>
    <row r="3" spans="1:3">
      <c r="A3" s="488" t="s">
        <v>1</v>
      </c>
      <c r="B3" t="s">
        <v>2</v>
      </c>
    </row>
    <row r="4" spans="1:3">
      <c r="A4" s="488" t="s">
        <v>3</v>
      </c>
      <c r="B4" t="s">
        <v>4</v>
      </c>
    </row>
    <row r="5" spans="1:3">
      <c r="A5" s="488" t="s">
        <v>5</v>
      </c>
      <c r="B5" t="s">
        <v>6</v>
      </c>
    </row>
    <row r="6" spans="1:3">
      <c r="A6" s="488" t="s">
        <v>7</v>
      </c>
      <c r="B6" t="s">
        <v>8</v>
      </c>
    </row>
    <row r="7" spans="1:3">
      <c r="A7" s="488" t="s">
        <v>9</v>
      </c>
      <c r="B7" t="s">
        <v>10</v>
      </c>
    </row>
    <row r="9" spans="1:3">
      <c r="A9" s="489" t="s">
        <v>11</v>
      </c>
    </row>
    <row r="10" spans="1:3">
      <c r="A10" s="488" t="s">
        <v>12</v>
      </c>
      <c r="B10" s="488" t="s">
        <v>13</v>
      </c>
      <c r="C10" s="488" t="s">
        <v>14</v>
      </c>
    </row>
    <row r="11" spans="1:3" ht="30">
      <c r="A11" t="s">
        <v>15</v>
      </c>
      <c r="B11" s="490" t="s">
        <v>16</v>
      </c>
      <c r="C11" s="491" t="s">
        <v>17</v>
      </c>
    </row>
    <row r="12" spans="1:3">
      <c r="A12" t="s">
        <v>18</v>
      </c>
      <c r="B12" s="490" t="s">
        <v>19</v>
      </c>
      <c r="C12" s="491" t="s">
        <v>17</v>
      </c>
    </row>
    <row r="13" spans="1:3">
      <c r="A13" t="s">
        <v>20</v>
      </c>
      <c r="B13" s="490" t="s">
        <v>21</v>
      </c>
      <c r="C13" s="491" t="s">
        <v>17</v>
      </c>
    </row>
    <row r="14" spans="1:3" ht="30">
      <c r="A14" t="s">
        <v>22</v>
      </c>
      <c r="B14" s="490" t="s">
        <v>23</v>
      </c>
      <c r="C14" s="491" t="s">
        <v>17</v>
      </c>
    </row>
    <row r="15" spans="1:3">
      <c r="A15" t="s">
        <v>24</v>
      </c>
      <c r="B15" s="490" t="s">
        <v>25</v>
      </c>
      <c r="C15" s="491" t="s">
        <v>17</v>
      </c>
    </row>
    <row r="16" spans="1:3" ht="30">
      <c r="A16" t="s">
        <v>26</v>
      </c>
      <c r="B16" s="490" t="s">
        <v>27</v>
      </c>
      <c r="C16" s="491" t="s">
        <v>17</v>
      </c>
    </row>
    <row r="17" spans="1:3">
      <c r="A17" t="s">
        <v>28</v>
      </c>
      <c r="B17" s="490" t="s">
        <v>29</v>
      </c>
      <c r="C17" s="491" t="s">
        <v>17</v>
      </c>
    </row>
    <row r="18" spans="1:3">
      <c r="A18" t="s">
        <v>30</v>
      </c>
      <c r="B18" s="490" t="s">
        <v>31</v>
      </c>
      <c r="C18" s="491" t="s">
        <v>17</v>
      </c>
    </row>
    <row r="19" spans="1:3">
      <c r="A19" t="s">
        <v>32</v>
      </c>
      <c r="B19" s="490" t="s">
        <v>33</v>
      </c>
      <c r="C19" s="491" t="s">
        <v>17</v>
      </c>
    </row>
    <row r="20" spans="1:3">
      <c r="A20" t="s">
        <v>34</v>
      </c>
      <c r="B20" s="490" t="s">
        <v>35</v>
      </c>
      <c r="C20" s="491" t="s">
        <v>17</v>
      </c>
    </row>
    <row r="21" spans="1:3">
      <c r="A21" t="s">
        <v>36</v>
      </c>
      <c r="B21" s="490" t="s">
        <v>37</v>
      </c>
      <c r="C21" s="491" t="s">
        <v>17</v>
      </c>
    </row>
    <row r="22" spans="1:3">
      <c r="A22" t="s">
        <v>38</v>
      </c>
      <c r="B22" s="490" t="s">
        <v>39</v>
      </c>
      <c r="C22" s="491" t="s">
        <v>17</v>
      </c>
    </row>
    <row r="23" spans="1:3">
      <c r="A23" t="s">
        <v>40</v>
      </c>
      <c r="B23" s="490" t="s">
        <v>41</v>
      </c>
      <c r="C23" s="491" t="s">
        <v>17</v>
      </c>
    </row>
    <row r="24" spans="1:3">
      <c r="A24" t="s">
        <v>42</v>
      </c>
      <c r="B24" s="490" t="s">
        <v>43</v>
      </c>
      <c r="C24" s="491" t="s">
        <v>17</v>
      </c>
    </row>
    <row r="25" spans="1:3">
      <c r="A25" t="s">
        <v>44</v>
      </c>
      <c r="B25" s="490" t="s">
        <v>45</v>
      </c>
      <c r="C25" s="491" t="s">
        <v>17</v>
      </c>
    </row>
    <row r="26" spans="1:3">
      <c r="A26" t="s">
        <v>46</v>
      </c>
      <c r="B26" s="490" t="s">
        <v>47</v>
      </c>
      <c r="C26" s="491" t="s">
        <v>17</v>
      </c>
    </row>
    <row r="27" spans="1:3">
      <c r="A27" t="s">
        <v>48</v>
      </c>
      <c r="B27" s="490" t="s">
        <v>49</v>
      </c>
      <c r="C27" s="491" t="s">
        <v>17</v>
      </c>
    </row>
    <row r="28" spans="1:3">
      <c r="A28" t="s">
        <v>50</v>
      </c>
      <c r="B28" s="490" t="s">
        <v>51</v>
      </c>
      <c r="C28" s="491" t="s">
        <v>17</v>
      </c>
    </row>
    <row r="29" spans="1:3">
      <c r="A29" t="s">
        <v>52</v>
      </c>
      <c r="B29" s="490" t="s">
        <v>53</v>
      </c>
      <c r="C29" s="491" t="s">
        <v>17</v>
      </c>
    </row>
    <row r="30" spans="1:3">
      <c r="A30" t="s">
        <v>54</v>
      </c>
      <c r="B30" s="490" t="s">
        <v>55</v>
      </c>
      <c r="C30" s="491" t="s">
        <v>17</v>
      </c>
    </row>
    <row r="31" spans="1:3">
      <c r="A31" t="s">
        <v>56</v>
      </c>
      <c r="B31" s="490" t="s">
        <v>57</v>
      </c>
      <c r="C31" s="491" t="s">
        <v>17</v>
      </c>
    </row>
    <row r="32" spans="1:3">
      <c r="A32" t="s">
        <v>58</v>
      </c>
      <c r="B32" s="490" t="s">
        <v>59</v>
      </c>
      <c r="C32" s="491" t="s">
        <v>17</v>
      </c>
    </row>
    <row r="33" spans="1:3">
      <c r="A33" t="s">
        <v>60</v>
      </c>
      <c r="B33" s="490" t="s">
        <v>61</v>
      </c>
      <c r="C33" s="491" t="s">
        <v>17</v>
      </c>
    </row>
    <row r="34" spans="1:3">
      <c r="A34" t="s">
        <v>62</v>
      </c>
      <c r="B34" s="490" t="s">
        <v>63</v>
      </c>
      <c r="C34" s="491" t="s">
        <v>17</v>
      </c>
    </row>
    <row r="35" spans="1:3">
      <c r="A35" t="s">
        <v>64</v>
      </c>
      <c r="B35" s="490" t="s">
        <v>65</v>
      </c>
      <c r="C35" s="491" t="s">
        <v>17</v>
      </c>
    </row>
    <row r="36" spans="1:3">
      <c r="A36" t="s">
        <v>66</v>
      </c>
      <c r="B36" s="490" t="s">
        <v>67</v>
      </c>
      <c r="C36" t="s">
        <v>68</v>
      </c>
    </row>
    <row r="37" spans="1:3">
      <c r="A37" t="s">
        <v>69</v>
      </c>
      <c r="B37" s="490" t="s">
        <v>70</v>
      </c>
      <c r="C37" t="s">
        <v>68</v>
      </c>
    </row>
    <row r="39" spans="1:3">
      <c r="A39" s="489" t="s">
        <v>71</v>
      </c>
    </row>
    <row r="40" spans="1:3">
      <c r="A40" t="s">
        <v>72</v>
      </c>
      <c r="B40" s="490" t="s">
        <v>73</v>
      </c>
      <c r="C40" s="492" t="s">
        <v>74</v>
      </c>
    </row>
    <row r="41" spans="1:3">
      <c r="A41" t="s">
        <v>75</v>
      </c>
      <c r="B41" s="490" t="s">
        <v>76</v>
      </c>
      <c r="C41" s="492" t="s">
        <v>74</v>
      </c>
    </row>
    <row r="42" spans="1:3">
      <c r="A42" t="s">
        <v>77</v>
      </c>
      <c r="B42" s="490" t="s">
        <v>78</v>
      </c>
      <c r="C42" s="492" t="s">
        <v>74</v>
      </c>
    </row>
    <row r="43" spans="1:3">
      <c r="A43" t="s">
        <v>79</v>
      </c>
      <c r="B43" s="490" t="s">
        <v>80</v>
      </c>
      <c r="C43" s="492" t="s">
        <v>74</v>
      </c>
    </row>
    <row r="44" spans="1:3">
      <c r="A44" t="s">
        <v>81</v>
      </c>
      <c r="B44" s="490" t="s">
        <v>82</v>
      </c>
      <c r="C44" s="492" t="s">
        <v>74</v>
      </c>
    </row>
    <row r="45" spans="1:3">
      <c r="A45" t="s">
        <v>83</v>
      </c>
      <c r="B45" s="490" t="s">
        <v>84</v>
      </c>
      <c r="C45" s="492" t="s">
        <v>74</v>
      </c>
    </row>
    <row r="46" spans="1:3">
      <c r="A46" t="s">
        <v>85</v>
      </c>
      <c r="B46" s="490" t="s">
        <v>86</v>
      </c>
      <c r="C46" s="492" t="s">
        <v>74</v>
      </c>
    </row>
    <row r="47" spans="1:3">
      <c r="A47" t="s">
        <v>87</v>
      </c>
      <c r="B47" s="490" t="s">
        <v>88</v>
      </c>
      <c r="C47" s="492" t="s">
        <v>74</v>
      </c>
    </row>
  </sheetData>
  <mergeCells count="1">
    <mergeCell ref="A1:C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9"/>
  <sheetViews>
    <sheetView tabSelected="1" workbookViewId="0">
      <selection sqref="A1:C1"/>
    </sheetView>
  </sheetViews>
  <sheetFormatPr defaultRowHeight="15"/>
  <cols>
    <col min="1" max="1" width="40" customWidth="1"/>
    <col min="2" max="2" width="60" customWidth="1"/>
    <col min="3" max="3" width="20" customWidth="1"/>
  </cols>
  <sheetData>
    <row r="1" spans="1:3" ht="18.75" customHeight="1">
      <c r="A1" s="495" t="s">
        <v>89</v>
      </c>
      <c r="B1" s="494"/>
      <c r="C1" s="494"/>
    </row>
    <row r="3" spans="1:3">
      <c r="A3" s="482" t="s">
        <v>11</v>
      </c>
    </row>
    <row r="4" spans="1:3">
      <c r="A4" s="483" t="s">
        <v>90</v>
      </c>
      <c r="B4" s="484" t="s">
        <v>91</v>
      </c>
      <c r="C4" s="485" t="s">
        <v>17</v>
      </c>
    </row>
    <row r="5" spans="1:3">
      <c r="A5" s="484" t="s">
        <v>92</v>
      </c>
      <c r="B5" s="484" t="s">
        <v>93</v>
      </c>
    </row>
    <row r="6" spans="1:3">
      <c r="A6" s="484" t="s">
        <v>94</v>
      </c>
      <c r="B6" s="484" t="s">
        <v>95</v>
      </c>
    </row>
    <row r="7" spans="1:3">
      <c r="A7" s="486" t="s">
        <v>96</v>
      </c>
      <c r="B7" s="484" t="s">
        <v>97</v>
      </c>
      <c r="C7" s="485" t="s">
        <v>17</v>
      </c>
    </row>
    <row r="8" spans="1:3">
      <c r="A8" s="484" t="s">
        <v>98</v>
      </c>
      <c r="B8" s="484" t="s">
        <v>99</v>
      </c>
    </row>
    <row r="9" spans="1:3">
      <c r="A9" s="486" t="s">
        <v>100</v>
      </c>
      <c r="B9" s="487" t="s">
        <v>101</v>
      </c>
    </row>
    <row r="11" spans="1:3">
      <c r="A11" s="482" t="s">
        <v>102</v>
      </c>
    </row>
    <row r="12" spans="1:3">
      <c r="A12" s="484" t="s">
        <v>103</v>
      </c>
      <c r="B12" s="487" t="s">
        <v>104</v>
      </c>
    </row>
    <row r="13" spans="1:3">
      <c r="A13" s="484" t="s">
        <v>105</v>
      </c>
      <c r="B13" s="484" t="s">
        <v>106</v>
      </c>
    </row>
    <row r="14" spans="1:3">
      <c r="A14" s="484" t="s">
        <v>107</v>
      </c>
      <c r="B14" s="484" t="s">
        <v>108</v>
      </c>
    </row>
    <row r="15" spans="1:3">
      <c r="A15" s="484" t="s">
        <v>109</v>
      </c>
      <c r="B15" s="484" t="s">
        <v>110</v>
      </c>
    </row>
    <row r="17" spans="1:2">
      <c r="A17" s="482" t="s">
        <v>111</v>
      </c>
    </row>
    <row r="18" spans="1:2">
      <c r="A18" s="484" t="s">
        <v>112</v>
      </c>
      <c r="B18" s="484" t="s">
        <v>113</v>
      </c>
    </row>
    <row r="20" spans="1:2">
      <c r="A20" s="482" t="s">
        <v>114</v>
      </c>
    </row>
    <row r="21" spans="1:2">
      <c r="A21" s="484" t="s">
        <v>115</v>
      </c>
    </row>
    <row r="22" spans="1:2">
      <c r="A22" s="484" t="s">
        <v>116</v>
      </c>
    </row>
    <row r="23" spans="1:2">
      <c r="A23" s="484" t="s">
        <v>117</v>
      </c>
    </row>
    <row r="24" spans="1:2">
      <c r="A24" s="484" t="s">
        <v>118</v>
      </c>
    </row>
    <row r="25" spans="1:2">
      <c r="A25" s="484" t="s">
        <v>119</v>
      </c>
    </row>
    <row r="26" spans="1:2">
      <c r="A26" s="484" t="s">
        <v>120</v>
      </c>
    </row>
    <row r="27" spans="1:2">
      <c r="A27" s="484" t="s">
        <v>121</v>
      </c>
    </row>
    <row r="28" spans="1:2">
      <c r="A28" s="484" t="s">
        <v>122</v>
      </c>
    </row>
    <row r="29" spans="1:2">
      <c r="A29" s="484" t="s">
        <v>123</v>
      </c>
    </row>
    <row r="30" spans="1:2">
      <c r="A30" s="484" t="s">
        <v>124</v>
      </c>
    </row>
    <row r="31" spans="1:2">
      <c r="A31" s="484" t="s">
        <v>125</v>
      </c>
    </row>
    <row r="32" spans="1:2">
      <c r="A32" s="484" t="s">
        <v>126</v>
      </c>
    </row>
    <row r="33" spans="1:1">
      <c r="A33" s="484" t="s">
        <v>127</v>
      </c>
    </row>
    <row r="34" spans="1:1">
      <c r="A34" s="484" t="s">
        <v>128</v>
      </c>
    </row>
    <row r="35" spans="1:1">
      <c r="A35" s="484" t="s">
        <v>129</v>
      </c>
    </row>
    <row r="36" spans="1:1">
      <c r="A36" s="484" t="s">
        <v>130</v>
      </c>
    </row>
    <row r="37" spans="1:1">
      <c r="A37" s="484" t="s">
        <v>131</v>
      </c>
    </row>
    <row r="38" spans="1:1">
      <c r="A38" s="484" t="s">
        <v>132</v>
      </c>
    </row>
    <row r="39" spans="1:1">
      <c r="A39" s="484" t="s">
        <v>133</v>
      </c>
    </row>
    <row r="40" spans="1:1">
      <c r="A40" s="484" t="s">
        <v>134</v>
      </c>
    </row>
    <row r="41" spans="1:1">
      <c r="A41" s="484" t="s">
        <v>135</v>
      </c>
    </row>
    <row r="42" spans="1:1">
      <c r="A42" s="484" t="s">
        <v>136</v>
      </c>
    </row>
    <row r="43" spans="1:1">
      <c r="A43" s="484" t="s">
        <v>137</v>
      </c>
    </row>
    <row r="44" spans="1:1">
      <c r="A44" s="484" t="s">
        <v>138</v>
      </c>
    </row>
    <row r="45" spans="1:1">
      <c r="A45" s="484" t="s">
        <v>139</v>
      </c>
    </row>
    <row r="46" spans="1:1">
      <c r="A46" s="484" t="s">
        <v>140</v>
      </c>
    </row>
    <row r="47" spans="1:1">
      <c r="A47" s="484" t="s">
        <v>141</v>
      </c>
    </row>
    <row r="48" spans="1:1">
      <c r="A48" s="484" t="s">
        <v>142</v>
      </c>
    </row>
    <row r="49" spans="1:2">
      <c r="A49" s="484" t="s">
        <v>143</v>
      </c>
    </row>
    <row r="50" spans="1:2">
      <c r="A50" s="484" t="s">
        <v>144</v>
      </c>
    </row>
    <row r="51" spans="1:2">
      <c r="A51" s="484" t="s">
        <v>145</v>
      </c>
    </row>
    <row r="52" spans="1:2">
      <c r="A52" s="484" t="s">
        <v>146</v>
      </c>
    </row>
    <row r="53" spans="1:2">
      <c r="A53" s="484" t="s">
        <v>147</v>
      </c>
    </row>
    <row r="54" spans="1:2">
      <c r="A54" s="484" t="s">
        <v>148</v>
      </c>
    </row>
    <row r="55" spans="1:2">
      <c r="A55" s="484" t="s">
        <v>149</v>
      </c>
    </row>
    <row r="56" spans="1:2">
      <c r="A56" s="484" t="s">
        <v>150</v>
      </c>
    </row>
    <row r="57" spans="1:2">
      <c r="A57" s="484" t="s">
        <v>151</v>
      </c>
    </row>
    <row r="59" spans="1:2">
      <c r="A59" s="482" t="s">
        <v>152</v>
      </c>
    </row>
    <row r="60" spans="1:2">
      <c r="A60" s="484" t="s">
        <v>153</v>
      </c>
      <c r="B60" s="487" t="s">
        <v>154</v>
      </c>
    </row>
    <row r="61" spans="1:2">
      <c r="A61" s="484" t="s">
        <v>155</v>
      </c>
      <c r="B61" s="484" t="s">
        <v>156</v>
      </c>
    </row>
    <row r="62" spans="1:2">
      <c r="A62" s="484" t="s">
        <v>157</v>
      </c>
      <c r="B62" s="484" t="s">
        <v>158</v>
      </c>
    </row>
    <row r="64" spans="1:2">
      <c r="A64" s="482" t="s">
        <v>159</v>
      </c>
    </row>
    <row r="65" spans="1:2">
      <c r="A65" s="483" t="s">
        <v>160</v>
      </c>
      <c r="B65" s="483" t="s">
        <v>161</v>
      </c>
    </row>
    <row r="66" spans="1:2">
      <c r="A66" s="484" t="s">
        <v>162</v>
      </c>
      <c r="B66" s="484" t="s">
        <v>163</v>
      </c>
    </row>
    <row r="67" spans="1:2">
      <c r="A67" s="484" t="s">
        <v>164</v>
      </c>
      <c r="B67" s="484" t="s">
        <v>165</v>
      </c>
    </row>
    <row r="68" spans="1:2">
      <c r="A68" s="484" t="s">
        <v>166</v>
      </c>
      <c r="B68" s="484" t="s">
        <v>167</v>
      </c>
    </row>
    <row r="69" spans="1:2">
      <c r="A69" s="484" t="s">
        <v>168</v>
      </c>
      <c r="B69" s="484" t="s">
        <v>169</v>
      </c>
    </row>
    <row r="70" spans="1:2">
      <c r="A70" s="484" t="s">
        <v>170</v>
      </c>
      <c r="B70" s="484" t="s">
        <v>171</v>
      </c>
    </row>
    <row r="72" spans="1:2">
      <c r="A72" s="482" t="s">
        <v>172</v>
      </c>
    </row>
    <row r="73" spans="1:2">
      <c r="A73" s="484" t="s">
        <v>173</v>
      </c>
    </row>
    <row r="74" spans="1:2">
      <c r="A74" s="484" t="s">
        <v>174</v>
      </c>
    </row>
    <row r="75" spans="1:2">
      <c r="A75" s="484" t="s">
        <v>175</v>
      </c>
    </row>
    <row r="76" spans="1:2">
      <c r="A76" s="484" t="s">
        <v>176</v>
      </c>
    </row>
    <row r="77" spans="1:2">
      <c r="A77" s="484" t="s">
        <v>177</v>
      </c>
    </row>
    <row r="78" spans="1:2">
      <c r="A78" s="484" t="s">
        <v>178</v>
      </c>
    </row>
    <row r="79" spans="1:2">
      <c r="A79" s="484" t="s">
        <v>179</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0"/>
  <sheetViews>
    <sheetView tabSelected="1" workbookViewId="0">
      <selection sqref="A1:C1"/>
    </sheetView>
  </sheetViews>
  <sheetFormatPr defaultRowHeight="15"/>
  <cols>
    <col min="1" max="1" width="18" customWidth="1"/>
    <col min="2" max="2" width="60" customWidth="1"/>
    <col min="3" max="3" width="14" customWidth="1"/>
    <col min="4" max="4" width="25" customWidth="1"/>
  </cols>
  <sheetData>
    <row r="1" spans="1:4" ht="18" customHeight="1">
      <c r="A1" s="470" t="s">
        <v>180</v>
      </c>
    </row>
    <row r="3" spans="1:4">
      <c r="A3" s="408" t="s">
        <v>1</v>
      </c>
      <c r="B3" s="342" t="s">
        <v>181</v>
      </c>
    </row>
    <row r="4" spans="1:4">
      <c r="A4" s="408" t="s">
        <v>3</v>
      </c>
      <c r="B4" s="342" t="s">
        <v>4</v>
      </c>
    </row>
    <row r="5" spans="1:4">
      <c r="A5" s="408" t="s">
        <v>182</v>
      </c>
      <c r="B5" s="342" t="s">
        <v>183</v>
      </c>
    </row>
    <row r="6" spans="1:4">
      <c r="A6" s="408" t="s">
        <v>184</v>
      </c>
      <c r="B6" s="342" t="s">
        <v>185</v>
      </c>
    </row>
    <row r="7" spans="1:4">
      <c r="A7" s="408" t="s">
        <v>186</v>
      </c>
      <c r="B7" s="342" t="s">
        <v>187</v>
      </c>
    </row>
    <row r="9" spans="1:4" ht="15.75" customHeight="1">
      <c r="A9" s="471" t="s">
        <v>11</v>
      </c>
    </row>
    <row r="10" spans="1:4">
      <c r="A10" s="472" t="s">
        <v>12</v>
      </c>
      <c r="B10" s="472" t="s">
        <v>188</v>
      </c>
      <c r="C10" s="472" t="s">
        <v>13</v>
      </c>
      <c r="D10" s="472" t="s">
        <v>189</v>
      </c>
    </row>
    <row r="11" spans="1:4" ht="63.75" customHeight="1">
      <c r="A11" s="473">
        <v>1</v>
      </c>
      <c r="B11" s="473" t="s">
        <v>190</v>
      </c>
      <c r="C11" s="473" t="s">
        <v>191</v>
      </c>
      <c r="D11" s="473" t="s">
        <v>192</v>
      </c>
    </row>
    <row r="12" spans="1:4" ht="51" customHeight="1">
      <c r="A12" s="474">
        <v>2</v>
      </c>
      <c r="B12" s="474" t="s">
        <v>190</v>
      </c>
      <c r="C12" s="474" t="s">
        <v>193</v>
      </c>
      <c r="D12" s="474" t="s">
        <v>194</v>
      </c>
    </row>
    <row r="13" spans="1:4" ht="76.5" customHeight="1">
      <c r="A13" s="473">
        <v>3</v>
      </c>
      <c r="B13" s="473" t="s">
        <v>190</v>
      </c>
      <c r="C13" s="473" t="s">
        <v>195</v>
      </c>
      <c r="D13" s="473" t="s">
        <v>196</v>
      </c>
    </row>
    <row r="14" spans="1:4" ht="63.75" customHeight="1">
      <c r="A14" s="474">
        <v>4</v>
      </c>
      <c r="B14" s="474" t="s">
        <v>190</v>
      </c>
      <c r="C14" s="474" t="s">
        <v>197</v>
      </c>
      <c r="D14" s="474" t="s">
        <v>198</v>
      </c>
    </row>
    <row r="15" spans="1:4" ht="38.25" customHeight="1">
      <c r="A15" s="473">
        <v>5</v>
      </c>
      <c r="B15" s="473" t="s">
        <v>199</v>
      </c>
      <c r="C15" s="473" t="s">
        <v>200</v>
      </c>
      <c r="D15" s="473" t="s">
        <v>201</v>
      </c>
    </row>
    <row r="16" spans="1:4" ht="51" customHeight="1">
      <c r="A16" s="474">
        <v>6</v>
      </c>
      <c r="B16" s="474" t="s">
        <v>199</v>
      </c>
      <c r="C16" s="474" t="s">
        <v>202</v>
      </c>
      <c r="D16" s="474" t="s">
        <v>203</v>
      </c>
    </row>
    <row r="17" spans="1:4" ht="51" customHeight="1">
      <c r="A17" s="473">
        <v>7</v>
      </c>
      <c r="B17" s="473" t="s">
        <v>199</v>
      </c>
      <c r="C17" s="473" t="s">
        <v>204</v>
      </c>
      <c r="D17" s="473" t="s">
        <v>205</v>
      </c>
    </row>
    <row r="18" spans="1:4" ht="63.75" customHeight="1">
      <c r="A18" s="474">
        <v>8</v>
      </c>
      <c r="B18" s="474" t="s">
        <v>206</v>
      </c>
      <c r="C18" s="474" t="s">
        <v>207</v>
      </c>
      <c r="D18" s="474" t="s">
        <v>208</v>
      </c>
    </row>
    <row r="19" spans="1:4" ht="38.25" customHeight="1">
      <c r="A19" s="473">
        <v>9</v>
      </c>
      <c r="B19" s="473" t="s">
        <v>206</v>
      </c>
      <c r="C19" s="473" t="s">
        <v>209</v>
      </c>
      <c r="D19" s="473" t="s">
        <v>210</v>
      </c>
    </row>
    <row r="20" spans="1:4" ht="51" customHeight="1">
      <c r="A20" s="474">
        <v>10</v>
      </c>
      <c r="B20" s="474" t="s">
        <v>206</v>
      </c>
      <c r="C20" s="474" t="s">
        <v>211</v>
      </c>
      <c r="D20" s="474" t="s">
        <v>212</v>
      </c>
    </row>
    <row r="21" spans="1:4" ht="63.75" customHeight="1">
      <c r="A21" s="473">
        <v>11</v>
      </c>
      <c r="B21" s="473" t="s">
        <v>213</v>
      </c>
      <c r="C21" s="473" t="s">
        <v>214</v>
      </c>
      <c r="D21" s="473" t="s">
        <v>215</v>
      </c>
    </row>
    <row r="22" spans="1:4" ht="63.75" customHeight="1">
      <c r="A22" s="474">
        <v>12</v>
      </c>
      <c r="B22" s="474" t="s">
        <v>213</v>
      </c>
      <c r="C22" s="474" t="s">
        <v>216</v>
      </c>
      <c r="D22" s="474" t="s">
        <v>217</v>
      </c>
    </row>
    <row r="23" spans="1:4" ht="51" customHeight="1">
      <c r="A23" s="473">
        <v>13</v>
      </c>
      <c r="B23" s="473" t="s">
        <v>213</v>
      </c>
      <c r="C23" s="473" t="s">
        <v>218</v>
      </c>
      <c r="D23" s="473" t="s">
        <v>219</v>
      </c>
    </row>
    <row r="24" spans="1:4" ht="51" customHeight="1">
      <c r="A24" s="474">
        <v>14</v>
      </c>
      <c r="B24" s="474" t="s">
        <v>213</v>
      </c>
      <c r="C24" s="474" t="s">
        <v>220</v>
      </c>
      <c r="D24" s="474" t="s">
        <v>221</v>
      </c>
    </row>
    <row r="25" spans="1:4" ht="38.25" customHeight="1">
      <c r="A25" s="473">
        <v>15</v>
      </c>
      <c r="B25" s="473" t="s">
        <v>213</v>
      </c>
      <c r="C25" s="473" t="s">
        <v>222</v>
      </c>
      <c r="D25" s="473" t="s">
        <v>223</v>
      </c>
    </row>
    <row r="26" spans="1:4" ht="51" customHeight="1">
      <c r="A26" s="474">
        <v>16</v>
      </c>
      <c r="B26" s="474" t="s">
        <v>213</v>
      </c>
      <c r="C26" s="474" t="s">
        <v>224</v>
      </c>
      <c r="D26" s="474" t="s">
        <v>225</v>
      </c>
    </row>
    <row r="27" spans="1:4" ht="38.25" customHeight="1">
      <c r="A27" s="473">
        <v>17</v>
      </c>
      <c r="B27" s="475" t="s">
        <v>226</v>
      </c>
      <c r="C27" s="473" t="s">
        <v>227</v>
      </c>
      <c r="D27" s="473" t="s">
        <v>228</v>
      </c>
    </row>
    <row r="28" spans="1:4" ht="51" customHeight="1">
      <c r="A28" s="474">
        <v>18</v>
      </c>
      <c r="B28" s="476" t="s">
        <v>226</v>
      </c>
      <c r="C28" s="474" t="s">
        <v>229</v>
      </c>
      <c r="D28" s="474" t="s">
        <v>230</v>
      </c>
    </row>
    <row r="29" spans="1:4" ht="38.25" customHeight="1">
      <c r="A29" s="473">
        <v>19</v>
      </c>
      <c r="B29" s="475" t="s">
        <v>226</v>
      </c>
      <c r="C29" s="473" t="s">
        <v>231</v>
      </c>
      <c r="D29" s="473" t="s">
        <v>232</v>
      </c>
    </row>
    <row r="30" spans="1:4" ht="51" customHeight="1">
      <c r="A30" s="474">
        <v>20</v>
      </c>
      <c r="B30" s="476" t="s">
        <v>226</v>
      </c>
      <c r="C30" s="474" t="s">
        <v>233</v>
      </c>
      <c r="D30" s="474" t="s">
        <v>234</v>
      </c>
    </row>
    <row r="32" spans="1:4" ht="15.75" customHeight="1">
      <c r="A32" s="477" t="s">
        <v>235</v>
      </c>
    </row>
    <row r="33" spans="1:4">
      <c r="A33" s="472" t="s">
        <v>12</v>
      </c>
      <c r="B33" s="472" t="s">
        <v>188</v>
      </c>
      <c r="C33" s="472" t="s">
        <v>13</v>
      </c>
      <c r="D33" s="472" t="s">
        <v>189</v>
      </c>
    </row>
    <row r="34" spans="1:4" ht="51" customHeight="1">
      <c r="A34" s="478">
        <v>1</v>
      </c>
      <c r="B34" s="479" t="s">
        <v>236</v>
      </c>
      <c r="C34" s="478" t="s">
        <v>237</v>
      </c>
      <c r="D34" s="478" t="s">
        <v>238</v>
      </c>
    </row>
    <row r="35" spans="1:4" ht="51" customHeight="1">
      <c r="A35" s="478">
        <v>2</v>
      </c>
      <c r="B35" s="479" t="s">
        <v>236</v>
      </c>
      <c r="C35" s="478" t="s">
        <v>239</v>
      </c>
      <c r="D35" s="478" t="s">
        <v>240</v>
      </c>
    </row>
    <row r="36" spans="1:4" ht="51" customHeight="1">
      <c r="A36" s="473">
        <v>3</v>
      </c>
      <c r="B36" s="473" t="s">
        <v>241</v>
      </c>
      <c r="C36" s="473" t="s">
        <v>242</v>
      </c>
      <c r="D36" s="473" t="s">
        <v>243</v>
      </c>
    </row>
    <row r="37" spans="1:4" ht="51" customHeight="1">
      <c r="A37" s="474">
        <v>4</v>
      </c>
      <c r="B37" s="474" t="s">
        <v>241</v>
      </c>
      <c r="C37" s="474" t="s">
        <v>244</v>
      </c>
      <c r="D37" s="474" t="s">
        <v>245</v>
      </c>
    </row>
    <row r="38" spans="1:4" ht="51" customHeight="1">
      <c r="A38" s="473">
        <v>5</v>
      </c>
      <c r="B38" s="473" t="s">
        <v>241</v>
      </c>
      <c r="C38" s="473" t="s">
        <v>246</v>
      </c>
      <c r="D38" s="473" t="s">
        <v>247</v>
      </c>
    </row>
    <row r="39" spans="1:4" ht="38.25" customHeight="1">
      <c r="A39" s="474">
        <v>6</v>
      </c>
      <c r="B39" s="474" t="s">
        <v>241</v>
      </c>
      <c r="C39" s="474" t="s">
        <v>248</v>
      </c>
      <c r="D39" s="474" t="s">
        <v>249</v>
      </c>
    </row>
    <row r="40" spans="1:4" ht="38.25" customHeight="1">
      <c r="A40" s="473">
        <v>7</v>
      </c>
      <c r="B40" s="473" t="s">
        <v>241</v>
      </c>
      <c r="C40" s="473" t="s">
        <v>250</v>
      </c>
      <c r="D40" s="473" t="s">
        <v>251</v>
      </c>
    </row>
    <row r="41" spans="1:4" ht="38.25" customHeight="1">
      <c r="A41" s="474">
        <v>8</v>
      </c>
      <c r="B41" s="474" t="s">
        <v>241</v>
      </c>
      <c r="C41" s="474" t="s">
        <v>252</v>
      </c>
      <c r="D41" s="474" t="s">
        <v>253</v>
      </c>
    </row>
    <row r="42" spans="1:4" ht="38.25" customHeight="1">
      <c r="A42" s="473">
        <v>9</v>
      </c>
      <c r="B42" s="473" t="s">
        <v>241</v>
      </c>
      <c r="C42" s="473" t="s">
        <v>254</v>
      </c>
      <c r="D42" s="473" t="s">
        <v>255</v>
      </c>
    </row>
    <row r="43" spans="1:4" ht="25.5" customHeight="1">
      <c r="A43" s="474">
        <v>10</v>
      </c>
      <c r="B43" s="474" t="s">
        <v>241</v>
      </c>
      <c r="C43" s="474" t="s">
        <v>256</v>
      </c>
      <c r="D43" s="474" t="s">
        <v>257</v>
      </c>
    </row>
    <row r="45" spans="1:4" ht="15.75" customHeight="1">
      <c r="A45" s="471" t="s">
        <v>258</v>
      </c>
    </row>
    <row r="46" spans="1:4">
      <c r="A46" s="472" t="s">
        <v>12</v>
      </c>
      <c r="B46" s="472" t="s">
        <v>259</v>
      </c>
      <c r="C46" s="472" t="s">
        <v>260</v>
      </c>
    </row>
    <row r="47" spans="1:4" ht="25.5" customHeight="1">
      <c r="A47" s="473">
        <v>1</v>
      </c>
      <c r="B47" s="473" t="s">
        <v>261</v>
      </c>
      <c r="C47" s="473" t="s">
        <v>262</v>
      </c>
    </row>
    <row r="48" spans="1:4" ht="25.5" customHeight="1">
      <c r="A48" s="474">
        <v>2</v>
      </c>
      <c r="B48" s="474" t="s">
        <v>263</v>
      </c>
      <c r="C48" s="474" t="s">
        <v>264</v>
      </c>
    </row>
    <row r="49" spans="1:3" ht="25.5" customHeight="1">
      <c r="A49" s="473">
        <v>3</v>
      </c>
      <c r="B49" s="473" t="s">
        <v>265</v>
      </c>
      <c r="C49" s="473" t="s">
        <v>266</v>
      </c>
    </row>
    <row r="50" spans="1:3" ht="63.75" customHeight="1">
      <c r="A50" s="474">
        <v>4</v>
      </c>
      <c r="B50" s="474" t="s">
        <v>267</v>
      </c>
      <c r="C50" s="474" t="s">
        <v>268</v>
      </c>
    </row>
    <row r="51" spans="1:3" ht="25.5" customHeight="1">
      <c r="A51" s="473">
        <v>5</v>
      </c>
      <c r="B51" s="473" t="s">
        <v>269</v>
      </c>
      <c r="C51" s="473" t="s">
        <v>270</v>
      </c>
    </row>
    <row r="52" spans="1:3" ht="51" customHeight="1">
      <c r="A52" s="474">
        <v>6</v>
      </c>
      <c r="B52" s="474" t="s">
        <v>183</v>
      </c>
      <c r="C52" s="474" t="s">
        <v>271</v>
      </c>
    </row>
    <row r="53" spans="1:3" ht="38.25" customHeight="1">
      <c r="A53" s="473">
        <v>7</v>
      </c>
      <c r="B53" s="473" t="s">
        <v>272</v>
      </c>
      <c r="C53" s="473" t="s">
        <v>273</v>
      </c>
    </row>
    <row r="54" spans="1:3" ht="38.25" customHeight="1">
      <c r="A54" s="474">
        <v>8</v>
      </c>
      <c r="B54" s="474" t="s">
        <v>274</v>
      </c>
      <c r="C54" s="474" t="s">
        <v>275</v>
      </c>
    </row>
    <row r="56" spans="1:3" ht="15.75" customHeight="1">
      <c r="A56" s="471" t="s">
        <v>276</v>
      </c>
    </row>
    <row r="57" spans="1:3">
      <c r="A57" s="480" t="s">
        <v>277</v>
      </c>
      <c r="B57" s="481" t="s">
        <v>278</v>
      </c>
    </row>
    <row r="58" spans="1:3">
      <c r="A58" s="480" t="s">
        <v>279</v>
      </c>
      <c r="B58" s="481" t="s">
        <v>280</v>
      </c>
    </row>
    <row r="59" spans="1:3">
      <c r="A59" s="480" t="s">
        <v>281</v>
      </c>
      <c r="B59" s="481" t="s">
        <v>282</v>
      </c>
    </row>
    <row r="60" spans="1:3">
      <c r="A60" s="480" t="s">
        <v>283</v>
      </c>
      <c r="B60" s="481" t="s">
        <v>284</v>
      </c>
    </row>
    <row r="61" spans="1:3">
      <c r="A61" s="480" t="s">
        <v>285</v>
      </c>
      <c r="B61" s="481" t="s">
        <v>286</v>
      </c>
    </row>
    <row r="62" spans="1:3">
      <c r="A62" s="480" t="s">
        <v>287</v>
      </c>
      <c r="B62" s="481" t="s">
        <v>288</v>
      </c>
    </row>
    <row r="63" spans="1:3">
      <c r="A63" s="480" t="s">
        <v>289</v>
      </c>
      <c r="B63" s="481" t="s">
        <v>290</v>
      </c>
    </row>
    <row r="64" spans="1:3">
      <c r="A64" s="480" t="s">
        <v>291</v>
      </c>
      <c r="B64" s="481" t="s">
        <v>292</v>
      </c>
    </row>
    <row r="65" spans="1:2">
      <c r="A65" s="480" t="s">
        <v>293</v>
      </c>
      <c r="B65" s="481" t="s">
        <v>294</v>
      </c>
    </row>
    <row r="66" spans="1:2">
      <c r="A66" s="480" t="s">
        <v>295</v>
      </c>
      <c r="B66" s="481" t="s">
        <v>296</v>
      </c>
    </row>
    <row r="67" spans="1:2">
      <c r="A67" s="480" t="s">
        <v>297</v>
      </c>
      <c r="B67" s="481" t="s">
        <v>298</v>
      </c>
    </row>
    <row r="68" spans="1:2">
      <c r="A68" s="480" t="s">
        <v>299</v>
      </c>
      <c r="B68" s="481" t="s">
        <v>300</v>
      </c>
    </row>
    <row r="69" spans="1:2">
      <c r="A69" s="480" t="s">
        <v>301</v>
      </c>
      <c r="B69" s="481" t="s">
        <v>302</v>
      </c>
    </row>
    <row r="70" spans="1:2">
      <c r="A70" s="480" t="s">
        <v>303</v>
      </c>
      <c r="B70" s="481" t="s">
        <v>304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2"/>
  <sheetViews>
    <sheetView tabSelected="1" workbookViewId="0">
      <selection sqref="A1:C1"/>
    </sheetView>
  </sheetViews>
  <sheetFormatPr defaultRowHeight="15"/>
  <cols>
    <col min="1" max="1" width="6" customWidth="1"/>
    <col min="2" max="2" width="55" customWidth="1"/>
    <col min="3" max="3" width="75" customWidth="1"/>
    <col min="4" max="4" width="14" customWidth="1"/>
  </cols>
  <sheetData>
    <row r="1" spans="1:4" ht="18" customHeight="1">
      <c r="A1" s="496" t="s">
        <v>305</v>
      </c>
      <c r="B1" s="494"/>
      <c r="C1" s="494"/>
      <c r="D1" s="494"/>
    </row>
    <row r="3" spans="1:4">
      <c r="A3" s="464" t="s">
        <v>1</v>
      </c>
      <c r="B3" s="465" t="s">
        <v>306</v>
      </c>
    </row>
    <row r="4" spans="1:4">
      <c r="A4" s="464" t="s">
        <v>3</v>
      </c>
      <c r="B4" s="465" t="s">
        <v>307</v>
      </c>
    </row>
    <row r="5" spans="1:4">
      <c r="A5" s="464" t="s">
        <v>184</v>
      </c>
      <c r="B5" s="465" t="s">
        <v>308</v>
      </c>
    </row>
    <row r="6" spans="1:4">
      <c r="A6" s="464" t="s">
        <v>309</v>
      </c>
      <c r="B6" s="465" t="s">
        <v>310</v>
      </c>
    </row>
    <row r="7" spans="1:4">
      <c r="A7" s="464" t="s">
        <v>311</v>
      </c>
      <c r="B7" s="465" t="s">
        <v>312</v>
      </c>
    </row>
    <row r="9" spans="1:4">
      <c r="A9" s="497" t="s">
        <v>313</v>
      </c>
      <c r="B9" s="494"/>
      <c r="C9" s="494"/>
      <c r="D9" s="494"/>
    </row>
    <row r="10" spans="1:4">
      <c r="A10" s="464" t="s">
        <v>12</v>
      </c>
      <c r="B10" s="464" t="s">
        <v>314</v>
      </c>
      <c r="C10" s="464" t="s">
        <v>189</v>
      </c>
      <c r="D10" s="464" t="s">
        <v>309</v>
      </c>
    </row>
    <row r="11" spans="1:4">
      <c r="A11" s="465" t="s">
        <v>315</v>
      </c>
      <c r="B11" s="465" t="s">
        <v>316</v>
      </c>
      <c r="C11" s="465" t="s">
        <v>317</v>
      </c>
      <c r="D11" s="466" t="s">
        <v>318</v>
      </c>
    </row>
    <row r="12" spans="1:4">
      <c r="A12" s="465" t="s">
        <v>319</v>
      </c>
      <c r="B12" s="465" t="s">
        <v>320</v>
      </c>
      <c r="C12" s="465" t="s">
        <v>321</v>
      </c>
      <c r="D12" s="466" t="s">
        <v>322</v>
      </c>
    </row>
    <row r="13" spans="1:4">
      <c r="A13" s="465" t="s">
        <v>323</v>
      </c>
      <c r="B13" s="465" t="s">
        <v>324</v>
      </c>
      <c r="C13" s="465" t="s">
        <v>325</v>
      </c>
      <c r="D13" s="466" t="s">
        <v>326</v>
      </c>
    </row>
    <row r="14" spans="1:4">
      <c r="A14" s="465" t="s">
        <v>327</v>
      </c>
      <c r="B14" s="465" t="s">
        <v>328</v>
      </c>
      <c r="C14" s="465" t="s">
        <v>329</v>
      </c>
      <c r="D14" s="466" t="s">
        <v>330</v>
      </c>
    </row>
    <row r="15" spans="1:4">
      <c r="A15" s="465" t="s">
        <v>331</v>
      </c>
      <c r="B15" s="465" t="s">
        <v>332</v>
      </c>
      <c r="C15" s="465" t="s">
        <v>333</v>
      </c>
      <c r="D15" s="466" t="s">
        <v>334</v>
      </c>
    </row>
    <row r="16" spans="1:4">
      <c r="A16" s="465" t="s">
        <v>335</v>
      </c>
      <c r="B16" s="465" t="s">
        <v>336</v>
      </c>
      <c r="C16" s="465" t="s">
        <v>337</v>
      </c>
      <c r="D16" s="466" t="s">
        <v>338</v>
      </c>
    </row>
    <row r="17" spans="1:4">
      <c r="A17" s="465" t="s">
        <v>339</v>
      </c>
      <c r="B17" s="465" t="s">
        <v>340</v>
      </c>
      <c r="C17" s="465" t="s">
        <v>341</v>
      </c>
      <c r="D17" s="466" t="s">
        <v>342</v>
      </c>
    </row>
    <row r="18" spans="1:4">
      <c r="A18" s="465" t="s">
        <v>343</v>
      </c>
      <c r="B18" s="465" t="s">
        <v>344</v>
      </c>
      <c r="C18" s="465" t="s">
        <v>345</v>
      </c>
      <c r="D18" s="466" t="s">
        <v>346</v>
      </c>
    </row>
    <row r="19" spans="1:4">
      <c r="A19" s="465" t="s">
        <v>347</v>
      </c>
      <c r="B19" s="465" t="s">
        <v>348</v>
      </c>
      <c r="C19" s="465" t="s">
        <v>349</v>
      </c>
      <c r="D19" s="466" t="s">
        <v>350</v>
      </c>
    </row>
    <row r="20" spans="1:4">
      <c r="A20" s="465" t="s">
        <v>351</v>
      </c>
      <c r="B20" s="465" t="s">
        <v>352</v>
      </c>
      <c r="C20" s="465" t="s">
        <v>353</v>
      </c>
      <c r="D20" s="466" t="s">
        <v>354</v>
      </c>
    </row>
    <row r="21" spans="1:4">
      <c r="A21" s="465" t="s">
        <v>355</v>
      </c>
      <c r="B21" s="465" t="s">
        <v>356</v>
      </c>
      <c r="C21" s="465" t="s">
        <v>357</v>
      </c>
      <c r="D21" s="466" t="s">
        <v>358</v>
      </c>
    </row>
    <row r="22" spans="1:4">
      <c r="A22" s="465" t="s">
        <v>359</v>
      </c>
      <c r="B22" s="465" t="s">
        <v>360</v>
      </c>
      <c r="C22" s="465" t="s">
        <v>361</v>
      </c>
      <c r="D22" s="466" t="s">
        <v>362</v>
      </c>
    </row>
    <row r="23" spans="1:4">
      <c r="A23" s="465" t="s">
        <v>363</v>
      </c>
      <c r="B23" s="465" t="s">
        <v>364</v>
      </c>
      <c r="C23" s="465" t="s">
        <v>365</v>
      </c>
      <c r="D23" s="466" t="s">
        <v>366</v>
      </c>
    </row>
    <row r="24" spans="1:4">
      <c r="A24" s="465" t="s">
        <v>367</v>
      </c>
      <c r="B24" s="465" t="s">
        <v>368</v>
      </c>
      <c r="C24" s="465" t="s">
        <v>369</v>
      </c>
      <c r="D24" s="466" t="s">
        <v>370</v>
      </c>
    </row>
    <row r="25" spans="1:4">
      <c r="A25" s="465" t="s">
        <v>371</v>
      </c>
      <c r="B25" s="465" t="s">
        <v>372</v>
      </c>
      <c r="C25" s="465" t="s">
        <v>373</v>
      </c>
      <c r="D25" s="466" t="s">
        <v>374</v>
      </c>
    </row>
    <row r="26" spans="1:4">
      <c r="A26" s="465" t="s">
        <v>375</v>
      </c>
      <c r="B26" s="465" t="s">
        <v>376</v>
      </c>
      <c r="C26" s="465" t="s">
        <v>377</v>
      </c>
      <c r="D26" s="466" t="s">
        <v>310</v>
      </c>
    </row>
    <row r="28" spans="1:4">
      <c r="A28" s="497" t="s">
        <v>378</v>
      </c>
      <c r="B28" s="494"/>
      <c r="C28" s="494"/>
      <c r="D28" s="494"/>
    </row>
    <row r="29" spans="1:4">
      <c r="A29" s="464" t="s">
        <v>12</v>
      </c>
      <c r="B29" s="464" t="s">
        <v>13</v>
      </c>
      <c r="C29" s="464" t="s">
        <v>379</v>
      </c>
      <c r="D29" s="464" t="s">
        <v>14</v>
      </c>
    </row>
    <row r="30" spans="1:4">
      <c r="A30" s="465" t="s">
        <v>15</v>
      </c>
      <c r="B30" s="465" t="s">
        <v>380</v>
      </c>
      <c r="C30" s="465" t="s">
        <v>381</v>
      </c>
      <c r="D30" s="467" t="s">
        <v>17</v>
      </c>
    </row>
    <row r="31" spans="1:4">
      <c r="A31" s="465" t="s">
        <v>18</v>
      </c>
      <c r="B31" s="465" t="s">
        <v>382</v>
      </c>
      <c r="C31" s="465" t="s">
        <v>383</v>
      </c>
      <c r="D31" s="467" t="s">
        <v>17</v>
      </c>
    </row>
    <row r="32" spans="1:4">
      <c r="A32" s="465" t="s">
        <v>20</v>
      </c>
      <c r="B32" s="465" t="s">
        <v>384</v>
      </c>
      <c r="C32" s="465" t="s">
        <v>385</v>
      </c>
      <c r="D32" s="467" t="s">
        <v>17</v>
      </c>
    </row>
    <row r="33" spans="1:4">
      <c r="A33" s="465" t="s">
        <v>22</v>
      </c>
      <c r="B33" s="465" t="s">
        <v>386</v>
      </c>
      <c r="C33" s="465" t="s">
        <v>387</v>
      </c>
      <c r="D33" s="468" t="s">
        <v>388</v>
      </c>
    </row>
    <row r="34" spans="1:4">
      <c r="A34" s="465" t="s">
        <v>24</v>
      </c>
      <c r="B34" s="465" t="s">
        <v>389</v>
      </c>
      <c r="C34" s="465" t="s">
        <v>325</v>
      </c>
      <c r="D34" s="467" t="s">
        <v>17</v>
      </c>
    </row>
    <row r="35" spans="1:4">
      <c r="A35" s="465" t="s">
        <v>26</v>
      </c>
      <c r="B35" s="465" t="s">
        <v>390</v>
      </c>
      <c r="C35" s="465" t="s">
        <v>391</v>
      </c>
      <c r="D35" s="467" t="s">
        <v>17</v>
      </c>
    </row>
    <row r="36" spans="1:4">
      <c r="A36" s="465" t="s">
        <v>28</v>
      </c>
      <c r="B36" s="465" t="s">
        <v>392</v>
      </c>
      <c r="C36" s="465" t="s">
        <v>393</v>
      </c>
      <c r="D36" s="467" t="s">
        <v>17</v>
      </c>
    </row>
    <row r="37" spans="1:4">
      <c r="A37" s="465" t="s">
        <v>30</v>
      </c>
      <c r="B37" s="465" t="s">
        <v>394</v>
      </c>
      <c r="C37" s="465" t="s">
        <v>395</v>
      </c>
      <c r="D37" s="467" t="s">
        <v>17</v>
      </c>
    </row>
    <row r="38" spans="1:4">
      <c r="A38" s="465" t="s">
        <v>32</v>
      </c>
      <c r="B38" s="465" t="s">
        <v>396</v>
      </c>
      <c r="C38" s="465" t="s">
        <v>397</v>
      </c>
      <c r="D38" s="467" t="s">
        <v>17</v>
      </c>
    </row>
    <row r="39" spans="1:4">
      <c r="A39" s="465" t="s">
        <v>34</v>
      </c>
      <c r="B39" s="465" t="s">
        <v>398</v>
      </c>
      <c r="C39" s="465" t="s">
        <v>399</v>
      </c>
      <c r="D39" s="468" t="s">
        <v>400</v>
      </c>
    </row>
    <row r="40" spans="1:4">
      <c r="A40" s="465" t="s">
        <v>36</v>
      </c>
      <c r="B40" s="465" t="s">
        <v>401</v>
      </c>
      <c r="C40" s="465" t="s">
        <v>402</v>
      </c>
      <c r="D40" s="467" t="s">
        <v>17</v>
      </c>
    </row>
    <row r="41" spans="1:4">
      <c r="A41" s="465" t="s">
        <v>38</v>
      </c>
      <c r="B41" s="465" t="s">
        <v>403</v>
      </c>
      <c r="C41" s="465" t="s">
        <v>404</v>
      </c>
      <c r="D41" s="467" t="s">
        <v>17</v>
      </c>
    </row>
    <row r="42" spans="1:4">
      <c r="A42" s="465" t="s">
        <v>40</v>
      </c>
      <c r="B42" s="465" t="s">
        <v>405</v>
      </c>
      <c r="C42" s="465" t="s">
        <v>406</v>
      </c>
      <c r="D42" s="467" t="s">
        <v>17</v>
      </c>
    </row>
    <row r="43" spans="1:4">
      <c r="A43" s="465" t="s">
        <v>407</v>
      </c>
      <c r="B43" s="465" t="s">
        <v>408</v>
      </c>
      <c r="C43" s="465" t="s">
        <v>409</v>
      </c>
      <c r="D43" s="467" t="s">
        <v>17</v>
      </c>
    </row>
    <row r="44" spans="1:4">
      <c r="A44" s="465" t="s">
        <v>410</v>
      </c>
      <c r="B44" s="465" t="s">
        <v>411</v>
      </c>
      <c r="C44" s="465" t="s">
        <v>412</v>
      </c>
      <c r="D44" s="467" t="s">
        <v>17</v>
      </c>
    </row>
    <row r="45" spans="1:4">
      <c r="A45" s="465" t="s">
        <v>413</v>
      </c>
      <c r="B45" s="465" t="s">
        <v>414</v>
      </c>
      <c r="C45" s="465" t="s">
        <v>415</v>
      </c>
      <c r="D45" s="467" t="s">
        <v>17</v>
      </c>
    </row>
    <row r="46" spans="1:4">
      <c r="A46" s="465" t="s">
        <v>416</v>
      </c>
      <c r="B46" s="465" t="s">
        <v>417</v>
      </c>
      <c r="C46" s="465" t="s">
        <v>418</v>
      </c>
      <c r="D46" s="467" t="s">
        <v>17</v>
      </c>
    </row>
    <row r="48" spans="1:4">
      <c r="A48" s="497" t="s">
        <v>419</v>
      </c>
      <c r="B48" s="494"/>
      <c r="C48" s="494"/>
      <c r="D48" s="494"/>
    </row>
    <row r="49" spans="1:4">
      <c r="A49" s="465" t="s">
        <v>15</v>
      </c>
      <c r="B49" s="469" t="s">
        <v>420</v>
      </c>
      <c r="C49" s="465" t="s">
        <v>421</v>
      </c>
    </row>
    <row r="50" spans="1:4">
      <c r="A50" s="465" t="s">
        <v>18</v>
      </c>
      <c r="B50" s="469" t="s">
        <v>422</v>
      </c>
      <c r="C50" s="465" t="s">
        <v>423</v>
      </c>
    </row>
    <row r="51" spans="1:4">
      <c r="A51" s="465" t="s">
        <v>20</v>
      </c>
      <c r="B51" s="469" t="s">
        <v>424</v>
      </c>
      <c r="C51" s="465" t="s">
        <v>425</v>
      </c>
    </row>
    <row r="52" spans="1:4">
      <c r="A52" s="465" t="s">
        <v>22</v>
      </c>
      <c r="B52" s="469" t="s">
        <v>426</v>
      </c>
      <c r="C52" s="465" t="s">
        <v>427</v>
      </c>
    </row>
    <row r="53" spans="1:4">
      <c r="A53" s="465" t="s">
        <v>24</v>
      </c>
      <c r="B53" s="469" t="s">
        <v>428</v>
      </c>
      <c r="C53" s="465" t="s">
        <v>429</v>
      </c>
    </row>
    <row r="54" spans="1:4">
      <c r="A54" s="465" t="s">
        <v>26</v>
      </c>
      <c r="B54" s="469" t="s">
        <v>430</v>
      </c>
      <c r="C54" s="465" t="s">
        <v>431</v>
      </c>
    </row>
    <row r="56" spans="1:4">
      <c r="A56" s="497" t="s">
        <v>432</v>
      </c>
      <c r="B56" s="494"/>
      <c r="C56" s="494"/>
      <c r="D56" s="494"/>
    </row>
    <row r="57" spans="1:4">
      <c r="B57" s="469" t="s">
        <v>433</v>
      </c>
      <c r="C57" s="465" t="s">
        <v>434</v>
      </c>
    </row>
    <row r="58" spans="1:4">
      <c r="B58" s="469" t="s">
        <v>435</v>
      </c>
      <c r="C58" s="465" t="s">
        <v>436</v>
      </c>
    </row>
    <row r="59" spans="1:4">
      <c r="B59" s="469" t="s">
        <v>437</v>
      </c>
      <c r="C59" s="465" t="s">
        <v>438</v>
      </c>
    </row>
    <row r="60" spans="1:4">
      <c r="B60" s="469" t="s">
        <v>439</v>
      </c>
      <c r="C60" s="465" t="s">
        <v>440</v>
      </c>
    </row>
    <row r="61" spans="1:4">
      <c r="B61" s="469" t="s">
        <v>441</v>
      </c>
      <c r="C61" s="465" t="s">
        <v>442</v>
      </c>
    </row>
    <row r="62" spans="1:4">
      <c r="B62" s="469" t="s">
        <v>443</v>
      </c>
      <c r="C62" s="465" t="s">
        <v>444</v>
      </c>
    </row>
  </sheetData>
  <mergeCells count="5">
    <mergeCell ref="A1:D1"/>
    <mergeCell ref="A56:D56"/>
    <mergeCell ref="A9:D9"/>
    <mergeCell ref="A48:D48"/>
    <mergeCell ref="A28:D2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1"/>
  <sheetViews>
    <sheetView tabSelected="1" workbookViewId="0">
      <selection sqref="A1:C1"/>
    </sheetView>
  </sheetViews>
  <sheetFormatPr defaultRowHeight="15"/>
  <cols>
    <col min="1" max="1" width="45" customWidth="1"/>
    <col min="2" max="2" width="70" customWidth="1"/>
    <col min="3" max="3" width="20" customWidth="1"/>
  </cols>
  <sheetData>
    <row r="1" spans="1:3" ht="18.75" customHeight="1">
      <c r="A1" s="498" t="s">
        <v>445</v>
      </c>
      <c r="B1" s="494"/>
      <c r="C1" s="494"/>
    </row>
    <row r="3" spans="1:3">
      <c r="A3" t="s">
        <v>1</v>
      </c>
      <c r="B3" t="s">
        <v>446</v>
      </c>
    </row>
    <row r="4" spans="1:3">
      <c r="A4" t="s">
        <v>3</v>
      </c>
      <c r="B4" t="s">
        <v>447</v>
      </c>
    </row>
    <row r="5" spans="1:3">
      <c r="A5" t="s">
        <v>182</v>
      </c>
      <c r="B5" t="s">
        <v>448</v>
      </c>
    </row>
    <row r="6" spans="1:3">
      <c r="A6" t="s">
        <v>184</v>
      </c>
      <c r="B6" t="s">
        <v>449</v>
      </c>
    </row>
    <row r="7" spans="1:3">
      <c r="A7" t="s">
        <v>450</v>
      </c>
      <c r="B7" t="s">
        <v>451</v>
      </c>
    </row>
    <row r="9" spans="1:3">
      <c r="A9" s="462" t="s">
        <v>452</v>
      </c>
    </row>
    <row r="11" spans="1:3">
      <c r="A11" t="s">
        <v>453</v>
      </c>
      <c r="B11" t="s">
        <v>454</v>
      </c>
      <c r="C11" t="s">
        <v>455</v>
      </c>
    </row>
    <row r="12" spans="1:3">
      <c r="A12" t="s">
        <v>456</v>
      </c>
      <c r="B12" t="s">
        <v>457</v>
      </c>
      <c r="C12" s="463" t="s">
        <v>458</v>
      </c>
    </row>
    <row r="14" spans="1:3">
      <c r="A14" s="462" t="s">
        <v>459</v>
      </c>
      <c r="C14" t="s">
        <v>14</v>
      </c>
    </row>
    <row r="16" spans="1:3">
      <c r="A16" s="462" t="s">
        <v>460</v>
      </c>
    </row>
    <row r="17" spans="1:3">
      <c r="A17" t="s">
        <v>461</v>
      </c>
      <c r="B17" t="s">
        <v>462</v>
      </c>
      <c r="C17" s="463" t="s">
        <v>463</v>
      </c>
    </row>
    <row r="18" spans="1:3">
      <c r="A18" t="s">
        <v>464</v>
      </c>
      <c r="B18" t="s">
        <v>465</v>
      </c>
      <c r="C18" s="463" t="s">
        <v>463</v>
      </c>
    </row>
    <row r="19" spans="1:3">
      <c r="A19" t="s">
        <v>466</v>
      </c>
      <c r="B19" t="s">
        <v>467</v>
      </c>
      <c r="C19" s="463" t="s">
        <v>463</v>
      </c>
    </row>
    <row r="21" spans="1:3">
      <c r="A21" s="462" t="s">
        <v>468</v>
      </c>
      <c r="B21" t="s">
        <v>469</v>
      </c>
      <c r="C21" t="s">
        <v>14</v>
      </c>
    </row>
    <row r="22" spans="1:3">
      <c r="A22" t="s">
        <v>470</v>
      </c>
      <c r="B22" t="s">
        <v>471</v>
      </c>
      <c r="C22" s="463" t="s">
        <v>472</v>
      </c>
    </row>
    <row r="23" spans="1:3">
      <c r="A23" t="s">
        <v>473</v>
      </c>
      <c r="B23" t="s">
        <v>474</v>
      </c>
      <c r="C23" s="463" t="s">
        <v>17</v>
      </c>
    </row>
    <row r="24" spans="1:3">
      <c r="A24" t="s">
        <v>475</v>
      </c>
      <c r="B24" t="s">
        <v>476</v>
      </c>
      <c r="C24" t="s">
        <v>477</v>
      </c>
    </row>
    <row r="26" spans="1:3">
      <c r="A26" s="462" t="s">
        <v>478</v>
      </c>
    </row>
    <row r="27" spans="1:3">
      <c r="A27" t="s">
        <v>479</v>
      </c>
      <c r="B27" t="s">
        <v>480</v>
      </c>
      <c r="C27" t="s">
        <v>455</v>
      </c>
    </row>
    <row r="29" spans="1:3">
      <c r="A29" s="462" t="s">
        <v>481</v>
      </c>
    </row>
    <row r="30" spans="1:3">
      <c r="A30" t="s">
        <v>482</v>
      </c>
      <c r="B30" t="s">
        <v>483</v>
      </c>
      <c r="C30" t="s">
        <v>241</v>
      </c>
    </row>
    <row r="31" spans="1:3">
      <c r="A31" t="s">
        <v>484</v>
      </c>
      <c r="B31" t="s">
        <v>485</v>
      </c>
      <c r="C31" t="s">
        <v>486</v>
      </c>
    </row>
    <row r="33" spans="1:3">
      <c r="A33" s="462" t="s">
        <v>487</v>
      </c>
    </row>
    <row r="34" spans="1:3">
      <c r="A34" t="s">
        <v>488</v>
      </c>
      <c r="B34" t="s">
        <v>489</v>
      </c>
    </row>
    <row r="35" spans="1:3">
      <c r="A35" t="s">
        <v>490</v>
      </c>
      <c r="B35" t="s">
        <v>491</v>
      </c>
    </row>
    <row r="36" spans="1:3">
      <c r="A36" t="s">
        <v>492</v>
      </c>
      <c r="B36" t="s">
        <v>493</v>
      </c>
    </row>
    <row r="38" spans="1:3">
      <c r="A38" s="462" t="s">
        <v>419</v>
      </c>
    </row>
    <row r="39" spans="1:3">
      <c r="A39" t="s">
        <v>494</v>
      </c>
      <c r="B39" t="s">
        <v>495</v>
      </c>
      <c r="C39" t="s">
        <v>496</v>
      </c>
    </row>
    <row r="40" spans="1:3">
      <c r="A40" t="s">
        <v>497</v>
      </c>
      <c r="B40" t="s">
        <v>498</v>
      </c>
      <c r="C40" t="s">
        <v>496</v>
      </c>
    </row>
    <row r="41" spans="1:3">
      <c r="A41" t="s">
        <v>499</v>
      </c>
      <c r="B41" t="s">
        <v>500</v>
      </c>
      <c r="C41" t="s">
        <v>501</v>
      </c>
    </row>
  </sheetData>
  <mergeCells count="1">
    <mergeCell ref="A1:C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D9E75"/>
  </sheetPr>
  <dimension ref="A1:C64"/>
  <sheetViews>
    <sheetView tabSelected="1" workbookViewId="0">
      <selection sqref="A1:C1"/>
    </sheetView>
  </sheetViews>
  <sheetFormatPr defaultRowHeight="15"/>
  <cols>
    <col min="1" max="1" width="35" customWidth="1"/>
    <col min="2" max="2" width="45" customWidth="1"/>
    <col min="3" max="3" width="25" customWidth="1"/>
  </cols>
  <sheetData>
    <row r="1" spans="1:3" ht="26.25" customHeight="1">
      <c r="A1" s="454" t="s">
        <v>502</v>
      </c>
      <c r="B1" s="454"/>
      <c r="C1" s="454"/>
    </row>
    <row r="3" spans="1:3">
      <c r="A3" s="455" t="s">
        <v>1</v>
      </c>
      <c r="B3" s="455" t="s">
        <v>2</v>
      </c>
      <c r="C3" s="455"/>
    </row>
    <row r="4" spans="1:3">
      <c r="A4" s="455" t="s">
        <v>3</v>
      </c>
      <c r="B4" s="455" t="s">
        <v>503</v>
      </c>
      <c r="C4" s="455"/>
    </row>
    <row r="5" spans="1:3">
      <c r="A5" s="455" t="s">
        <v>182</v>
      </c>
      <c r="B5" s="455" t="s">
        <v>504</v>
      </c>
      <c r="C5" s="455"/>
    </row>
    <row r="6" spans="1:3">
      <c r="A6" s="455" t="s">
        <v>184</v>
      </c>
      <c r="B6" s="455" t="s">
        <v>38</v>
      </c>
      <c r="C6" s="455"/>
    </row>
    <row r="7" spans="1:3">
      <c r="A7" s="455" t="s">
        <v>505</v>
      </c>
      <c r="B7" s="455" t="s">
        <v>506</v>
      </c>
      <c r="C7" s="455"/>
    </row>
    <row r="8" spans="1:3">
      <c r="A8" s="455" t="s">
        <v>450</v>
      </c>
      <c r="B8" s="455" t="s">
        <v>507</v>
      </c>
      <c r="C8" s="455"/>
    </row>
    <row r="9" spans="1:3">
      <c r="A9" s="455"/>
      <c r="B9" s="455"/>
      <c r="C9" s="455"/>
    </row>
    <row r="10" spans="1:3">
      <c r="A10" s="455" t="s">
        <v>459</v>
      </c>
      <c r="B10" s="455"/>
      <c r="C10" s="455"/>
    </row>
    <row r="11" spans="1:3">
      <c r="A11" s="455"/>
      <c r="B11" s="455"/>
      <c r="C11" s="455"/>
    </row>
    <row r="12" spans="1:3">
      <c r="A12" s="455" t="s">
        <v>508</v>
      </c>
      <c r="B12" s="455" t="s">
        <v>189</v>
      </c>
      <c r="C12" s="455" t="s">
        <v>14</v>
      </c>
    </row>
    <row r="13" spans="1:3">
      <c r="A13" s="456" t="s">
        <v>15</v>
      </c>
      <c r="B13" s="456" t="s">
        <v>509</v>
      </c>
      <c r="C13" s="456" t="s">
        <v>17</v>
      </c>
    </row>
    <row r="14" spans="1:3" ht="24" customHeight="1">
      <c r="A14" s="456" t="s">
        <v>18</v>
      </c>
      <c r="B14" s="456" t="s">
        <v>510</v>
      </c>
      <c r="C14" s="456" t="s">
        <v>17</v>
      </c>
    </row>
    <row r="15" spans="1:3" ht="24" customHeight="1">
      <c r="A15" s="456" t="s">
        <v>20</v>
      </c>
      <c r="B15" s="456" t="s">
        <v>511</v>
      </c>
      <c r="C15" s="456" t="s">
        <v>17</v>
      </c>
    </row>
    <row r="16" spans="1:3" ht="24" customHeight="1">
      <c r="A16" s="456" t="s">
        <v>22</v>
      </c>
      <c r="B16" s="456" t="s">
        <v>512</v>
      </c>
      <c r="C16" s="456" t="s">
        <v>17</v>
      </c>
    </row>
    <row r="17" spans="1:3">
      <c r="A17" s="455"/>
      <c r="B17" s="455"/>
      <c r="C17" s="455"/>
    </row>
    <row r="18" spans="1:3">
      <c r="A18" s="455" t="s">
        <v>513</v>
      </c>
      <c r="B18" s="455" t="s">
        <v>469</v>
      </c>
      <c r="C18" s="455" t="s">
        <v>14</v>
      </c>
    </row>
    <row r="19" spans="1:3">
      <c r="A19" s="456" t="s">
        <v>514</v>
      </c>
      <c r="B19" s="456" t="s">
        <v>515</v>
      </c>
      <c r="C19" s="456" t="s">
        <v>17</v>
      </c>
    </row>
    <row r="20" spans="1:3">
      <c r="A20" s="456" t="s">
        <v>516</v>
      </c>
      <c r="B20" s="456" t="s">
        <v>517</v>
      </c>
      <c r="C20" s="456" t="s">
        <v>17</v>
      </c>
    </row>
    <row r="21" spans="1:3">
      <c r="A21" s="456" t="s">
        <v>518</v>
      </c>
      <c r="B21" s="456" t="s">
        <v>519</v>
      </c>
      <c r="C21" s="456" t="s">
        <v>17</v>
      </c>
    </row>
    <row r="22" spans="1:3">
      <c r="A22" s="455"/>
      <c r="B22" s="455"/>
      <c r="C22" s="455"/>
    </row>
    <row r="23" spans="1:3">
      <c r="A23" s="455" t="s">
        <v>520</v>
      </c>
      <c r="B23" s="455"/>
      <c r="C23" s="455" t="s">
        <v>14</v>
      </c>
    </row>
    <row r="24" spans="1:3">
      <c r="A24" s="456" t="s">
        <v>521</v>
      </c>
      <c r="B24" s="456" t="s">
        <v>522</v>
      </c>
      <c r="C24" s="456" t="s">
        <v>523</v>
      </c>
    </row>
    <row r="25" spans="1:3">
      <c r="A25" s="456" t="s">
        <v>524</v>
      </c>
      <c r="B25" s="456" t="s">
        <v>522</v>
      </c>
      <c r="C25" s="456" t="s">
        <v>523</v>
      </c>
    </row>
    <row r="26" spans="1:3">
      <c r="A26" s="456" t="s">
        <v>525</v>
      </c>
      <c r="B26" s="456" t="s">
        <v>526</v>
      </c>
      <c r="C26" s="456" t="s">
        <v>523</v>
      </c>
    </row>
    <row r="27" spans="1:3">
      <c r="A27" s="456" t="s">
        <v>527</v>
      </c>
      <c r="B27" s="456" t="s">
        <v>528</v>
      </c>
      <c r="C27" s="456" t="s">
        <v>529</v>
      </c>
    </row>
    <row r="28" spans="1:3">
      <c r="A28" s="455"/>
      <c r="B28" s="455"/>
      <c r="C28" s="455"/>
    </row>
    <row r="29" spans="1:3">
      <c r="A29" s="455" t="s">
        <v>530</v>
      </c>
      <c r="B29" s="455" t="s">
        <v>469</v>
      </c>
      <c r="C29" s="455" t="s">
        <v>14</v>
      </c>
    </row>
    <row r="30" spans="1:3">
      <c r="A30" s="456" t="s">
        <v>531</v>
      </c>
      <c r="B30" s="456" t="s">
        <v>532</v>
      </c>
      <c r="C30" s="456" t="s">
        <v>17</v>
      </c>
    </row>
    <row r="31" spans="1:3">
      <c r="A31" s="456" t="s">
        <v>533</v>
      </c>
      <c r="B31" s="456" t="s">
        <v>534</v>
      </c>
      <c r="C31" s="456" t="s">
        <v>17</v>
      </c>
    </row>
    <row r="32" spans="1:3">
      <c r="A32" s="456" t="s">
        <v>535</v>
      </c>
      <c r="B32" s="456" t="s">
        <v>536</v>
      </c>
      <c r="C32" s="456" t="s">
        <v>17</v>
      </c>
    </row>
    <row r="33" spans="1:3">
      <c r="A33" s="456" t="s">
        <v>537</v>
      </c>
      <c r="B33" s="456" t="s">
        <v>538</v>
      </c>
      <c r="C33" s="456" t="s">
        <v>539</v>
      </c>
    </row>
    <row r="34" spans="1:3">
      <c r="A34" s="455"/>
      <c r="B34" s="455"/>
      <c r="C34" s="455"/>
    </row>
    <row r="35" spans="1:3">
      <c r="A35" s="455" t="s">
        <v>540</v>
      </c>
      <c r="B35" s="455" t="s">
        <v>469</v>
      </c>
      <c r="C35" s="455" t="s">
        <v>541</v>
      </c>
    </row>
    <row r="36" spans="1:3">
      <c r="A36" s="456" t="s">
        <v>542</v>
      </c>
      <c r="B36" s="456" t="s">
        <v>543</v>
      </c>
      <c r="C36" s="456" t="s">
        <v>544</v>
      </c>
    </row>
    <row r="37" spans="1:3">
      <c r="A37" s="456" t="s">
        <v>545</v>
      </c>
      <c r="B37" s="456" t="s">
        <v>546</v>
      </c>
      <c r="C37" s="456" t="s">
        <v>547</v>
      </c>
    </row>
    <row r="38" spans="1:3">
      <c r="A38" s="456" t="s">
        <v>548</v>
      </c>
      <c r="B38" s="456" t="s">
        <v>549</v>
      </c>
      <c r="C38" s="456" t="s">
        <v>550</v>
      </c>
    </row>
    <row r="39" spans="1:3">
      <c r="A39" s="455"/>
      <c r="B39" s="455"/>
      <c r="C39" s="455"/>
    </row>
    <row r="40" spans="1:3">
      <c r="A40" s="455" t="s">
        <v>551</v>
      </c>
      <c r="B40" s="455"/>
      <c r="C40" s="455" t="s">
        <v>14</v>
      </c>
    </row>
    <row r="41" spans="1:3">
      <c r="A41" s="456" t="s">
        <v>552</v>
      </c>
      <c r="B41" s="456" t="s">
        <v>553</v>
      </c>
      <c r="C41" s="456" t="s">
        <v>17</v>
      </c>
    </row>
    <row r="42" spans="1:3">
      <c r="A42" s="456" t="s">
        <v>554</v>
      </c>
      <c r="B42" s="456" t="s">
        <v>555</v>
      </c>
      <c r="C42" s="456" t="s">
        <v>17</v>
      </c>
    </row>
    <row r="43" spans="1:3">
      <c r="A43" s="456" t="s">
        <v>556</v>
      </c>
      <c r="B43" s="456" t="s">
        <v>557</v>
      </c>
      <c r="C43" s="456" t="s">
        <v>17</v>
      </c>
    </row>
    <row r="44" spans="1:3">
      <c r="A44" s="455"/>
      <c r="B44" s="455"/>
      <c r="C44" s="455"/>
    </row>
    <row r="45" spans="1:3">
      <c r="A45" s="455" t="s">
        <v>558</v>
      </c>
      <c r="B45" s="455"/>
      <c r="C45" s="455"/>
    </row>
    <row r="46" spans="1:3" ht="24" customHeight="1">
      <c r="A46" s="457" t="s">
        <v>559</v>
      </c>
      <c r="B46" s="457" t="s">
        <v>560</v>
      </c>
      <c r="C46" s="457" t="s">
        <v>561</v>
      </c>
    </row>
    <row r="47" spans="1:3" ht="24" customHeight="1">
      <c r="A47" s="457" t="s">
        <v>562</v>
      </c>
      <c r="B47" s="457" t="s">
        <v>563</v>
      </c>
      <c r="C47" s="457" t="s">
        <v>561</v>
      </c>
    </row>
    <row r="48" spans="1:3" ht="24" customHeight="1">
      <c r="A48" s="456" t="s">
        <v>564</v>
      </c>
      <c r="B48" s="456" t="s">
        <v>565</v>
      </c>
      <c r="C48" s="456" t="s">
        <v>17</v>
      </c>
    </row>
    <row r="49" spans="1:3">
      <c r="A49" s="455"/>
      <c r="B49" s="455"/>
      <c r="C49" s="455"/>
    </row>
    <row r="50" spans="1:3">
      <c r="A50" s="455" t="s">
        <v>566</v>
      </c>
      <c r="B50" s="455"/>
      <c r="C50" s="455" t="s">
        <v>14</v>
      </c>
    </row>
    <row r="51" spans="1:3">
      <c r="A51" s="456" t="s">
        <v>567</v>
      </c>
      <c r="B51" s="456" t="s">
        <v>568</v>
      </c>
      <c r="C51" s="456" t="s">
        <v>463</v>
      </c>
    </row>
    <row r="52" spans="1:3">
      <c r="A52" s="456" t="s">
        <v>569</v>
      </c>
      <c r="B52" s="456" t="s">
        <v>570</v>
      </c>
      <c r="C52" s="456" t="s">
        <v>463</v>
      </c>
    </row>
    <row r="53" spans="1:3">
      <c r="A53" s="455"/>
      <c r="B53" s="455"/>
      <c r="C53" s="455"/>
    </row>
    <row r="54" spans="1:3">
      <c r="A54" s="455" t="s">
        <v>571</v>
      </c>
      <c r="B54" s="455"/>
      <c r="C54" s="455" t="s">
        <v>14</v>
      </c>
    </row>
    <row r="55" spans="1:3">
      <c r="A55" s="456" t="s">
        <v>572</v>
      </c>
      <c r="B55" s="456" t="s">
        <v>573</v>
      </c>
      <c r="C55" s="456" t="s">
        <v>17</v>
      </c>
    </row>
    <row r="56" spans="1:3">
      <c r="A56" s="456" t="s">
        <v>574</v>
      </c>
      <c r="B56" s="456" t="s">
        <v>575</v>
      </c>
      <c r="C56" s="456" t="s">
        <v>463</v>
      </c>
    </row>
    <row r="57" spans="1:3">
      <c r="A57" s="456" t="s">
        <v>576</v>
      </c>
      <c r="B57" s="456" t="s">
        <v>577</v>
      </c>
      <c r="C57" s="456" t="s">
        <v>17</v>
      </c>
    </row>
    <row r="58" spans="1:3">
      <c r="A58" s="455"/>
      <c r="B58" s="455"/>
      <c r="C58" s="455"/>
    </row>
    <row r="59" spans="1:3">
      <c r="A59" s="455" t="s">
        <v>578</v>
      </c>
      <c r="B59" s="455"/>
      <c r="C59" s="455"/>
    </row>
    <row r="60" spans="1:3">
      <c r="A60" s="458" t="s">
        <v>579</v>
      </c>
      <c r="B60" s="458" t="s">
        <v>580</v>
      </c>
      <c r="C60" s="458" t="s">
        <v>581</v>
      </c>
    </row>
    <row r="61" spans="1:3">
      <c r="A61" s="457" t="s">
        <v>582</v>
      </c>
      <c r="B61" s="457" t="s">
        <v>583</v>
      </c>
      <c r="C61" s="457" t="s">
        <v>584</v>
      </c>
    </row>
    <row r="62" spans="1:3">
      <c r="A62" s="459" t="s">
        <v>585</v>
      </c>
      <c r="B62" s="459" t="s">
        <v>586</v>
      </c>
      <c r="C62" s="459" t="s">
        <v>241</v>
      </c>
    </row>
    <row r="63" spans="1:3">
      <c r="A63" s="459" t="s">
        <v>587</v>
      </c>
      <c r="B63" s="459" t="s">
        <v>588</v>
      </c>
      <c r="C63" s="459" t="s">
        <v>241</v>
      </c>
    </row>
    <row r="64" spans="1:3" ht="24" customHeight="1">
      <c r="A64" s="457" t="s">
        <v>589</v>
      </c>
      <c r="B64" s="457" t="s">
        <v>590</v>
      </c>
      <c r="C64" s="457" t="s">
        <v>241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D9E75"/>
  </sheetPr>
  <dimension ref="A1:H22"/>
  <sheetViews>
    <sheetView workbookViewId="0"/>
  </sheetViews>
  <sheetFormatPr defaultRowHeight="15"/>
  <cols>
    <col min="1" max="1" width="30" customWidth="1"/>
    <col min="2" max="2" width="18" customWidth="1"/>
    <col min="3" max="3" width="10" customWidth="1"/>
    <col min="4" max="4" width="12" customWidth="1"/>
    <col min="5" max="5" width="8" customWidth="1"/>
    <col min="6" max="6" width="20" customWidth="1"/>
    <col min="7" max="7" width="10" customWidth="1"/>
    <col min="8" max="8" width="50" customWidth="1"/>
  </cols>
  <sheetData>
    <row r="1" spans="1:8" ht="26.25" customHeight="1">
      <c r="A1" s="454" t="s">
        <v>591</v>
      </c>
      <c r="B1" s="454" t="s">
        <v>592</v>
      </c>
      <c r="C1" s="454" t="s">
        <v>593</v>
      </c>
      <c r="D1" s="454" t="s">
        <v>594</v>
      </c>
      <c r="E1" s="454" t="s">
        <v>595</v>
      </c>
      <c r="F1" s="454" t="s">
        <v>596</v>
      </c>
      <c r="G1" s="454" t="s">
        <v>597</v>
      </c>
      <c r="H1" s="454" t="s">
        <v>598</v>
      </c>
    </row>
    <row r="2" spans="1:8" ht="24" customHeight="1">
      <c r="A2" s="456" t="s">
        <v>599</v>
      </c>
      <c r="B2" s="456" t="s">
        <v>600</v>
      </c>
      <c r="C2" s="456" t="s">
        <v>601</v>
      </c>
      <c r="D2" s="456" t="s">
        <v>602</v>
      </c>
      <c r="E2" s="456" t="s">
        <v>603</v>
      </c>
      <c r="F2" s="456" t="s">
        <v>604</v>
      </c>
      <c r="G2" s="456" t="s">
        <v>605</v>
      </c>
      <c r="H2" s="456" t="s">
        <v>606</v>
      </c>
    </row>
    <row r="3" spans="1:8">
      <c r="A3" s="456" t="s">
        <v>607</v>
      </c>
      <c r="B3" s="456" t="s">
        <v>608</v>
      </c>
      <c r="C3" s="456" t="s">
        <v>609</v>
      </c>
      <c r="D3" s="456" t="s">
        <v>602</v>
      </c>
      <c r="E3" s="456" t="s">
        <v>610</v>
      </c>
      <c r="F3" s="456" t="s">
        <v>611</v>
      </c>
      <c r="G3" s="456" t="s">
        <v>612</v>
      </c>
      <c r="H3" s="456" t="s">
        <v>613</v>
      </c>
    </row>
    <row r="4" spans="1:8">
      <c r="A4" s="456" t="s">
        <v>614</v>
      </c>
      <c r="B4" s="456" t="s">
        <v>615</v>
      </c>
      <c r="C4" s="456" t="s">
        <v>616</v>
      </c>
      <c r="D4" s="456" t="s">
        <v>602</v>
      </c>
      <c r="E4" s="456" t="s">
        <v>603</v>
      </c>
      <c r="F4" s="456" t="s">
        <v>617</v>
      </c>
      <c r="G4" s="456"/>
      <c r="H4" s="456" t="s">
        <v>618</v>
      </c>
    </row>
    <row r="5" spans="1:8">
      <c r="A5" s="456" t="s">
        <v>619</v>
      </c>
      <c r="B5" s="456" t="s">
        <v>620</v>
      </c>
      <c r="C5" s="456" t="s">
        <v>621</v>
      </c>
      <c r="D5" s="456" t="s">
        <v>602</v>
      </c>
      <c r="E5" s="456" t="s">
        <v>603</v>
      </c>
      <c r="F5" s="456" t="s">
        <v>622</v>
      </c>
      <c r="G5" s="456"/>
      <c r="H5" s="456" t="s">
        <v>623</v>
      </c>
    </row>
    <row r="6" spans="1:8" ht="24" customHeight="1">
      <c r="A6" s="456" t="s">
        <v>624</v>
      </c>
      <c r="B6" s="456" t="s">
        <v>620</v>
      </c>
      <c r="C6" s="456" t="s">
        <v>621</v>
      </c>
      <c r="D6" s="456" t="s">
        <v>602</v>
      </c>
      <c r="E6" s="456" t="s">
        <v>541</v>
      </c>
      <c r="F6" s="456" t="s">
        <v>625</v>
      </c>
      <c r="G6" s="456"/>
      <c r="H6" s="456" t="s">
        <v>626</v>
      </c>
    </row>
    <row r="7" spans="1:8">
      <c r="A7" s="456" t="s">
        <v>627</v>
      </c>
      <c r="B7" s="456" t="s">
        <v>628</v>
      </c>
      <c r="C7" s="456" t="s">
        <v>621</v>
      </c>
      <c r="D7" s="456" t="s">
        <v>602</v>
      </c>
      <c r="E7" s="456" t="s">
        <v>603</v>
      </c>
      <c r="F7" s="456" t="s">
        <v>604</v>
      </c>
      <c r="G7" s="456" t="s">
        <v>629</v>
      </c>
      <c r="H7" s="456" t="s">
        <v>630</v>
      </c>
    </row>
    <row r="8" spans="1:8">
      <c r="A8" s="456" t="s">
        <v>631</v>
      </c>
      <c r="B8" s="456" t="s">
        <v>632</v>
      </c>
      <c r="C8" s="456" t="s">
        <v>621</v>
      </c>
      <c r="D8" s="456" t="s">
        <v>602</v>
      </c>
      <c r="E8" s="456" t="s">
        <v>603</v>
      </c>
      <c r="F8" s="456" t="s">
        <v>604</v>
      </c>
      <c r="G8" s="456" t="s">
        <v>633</v>
      </c>
      <c r="H8" s="456" t="s">
        <v>634</v>
      </c>
    </row>
    <row r="9" spans="1:8">
      <c r="A9" s="457" t="s">
        <v>635</v>
      </c>
      <c r="B9" s="457" t="s">
        <v>620</v>
      </c>
      <c r="C9" s="457" t="s">
        <v>636</v>
      </c>
      <c r="D9" s="457" t="s">
        <v>637</v>
      </c>
      <c r="E9" s="457" t="s">
        <v>610</v>
      </c>
      <c r="F9" s="457" t="s">
        <v>638</v>
      </c>
      <c r="G9" s="457"/>
      <c r="H9" s="457" t="s">
        <v>639</v>
      </c>
    </row>
    <row r="10" spans="1:8">
      <c r="A10" s="457" t="s">
        <v>640</v>
      </c>
      <c r="B10" s="457" t="s">
        <v>628</v>
      </c>
      <c r="C10" s="457" t="s">
        <v>641</v>
      </c>
      <c r="D10" s="457" t="s">
        <v>637</v>
      </c>
      <c r="E10" s="457" t="s">
        <v>603</v>
      </c>
      <c r="F10" s="457" t="s">
        <v>604</v>
      </c>
      <c r="G10" s="457"/>
      <c r="H10" s="457" t="s">
        <v>642</v>
      </c>
    </row>
    <row r="11" spans="1:8">
      <c r="A11" s="457" t="s">
        <v>643</v>
      </c>
      <c r="B11" s="457" t="s">
        <v>620</v>
      </c>
      <c r="C11" s="457" t="s">
        <v>641</v>
      </c>
      <c r="D11" s="457" t="s">
        <v>637</v>
      </c>
      <c r="E11" s="457" t="s">
        <v>610</v>
      </c>
      <c r="F11" s="457" t="s">
        <v>644</v>
      </c>
      <c r="G11" s="457"/>
      <c r="H11" s="457" t="s">
        <v>645</v>
      </c>
    </row>
    <row r="12" spans="1:8">
      <c r="A12" s="457" t="s">
        <v>646</v>
      </c>
      <c r="B12" s="457" t="s">
        <v>647</v>
      </c>
      <c r="C12" s="457" t="s">
        <v>609</v>
      </c>
      <c r="D12" s="457" t="s">
        <v>637</v>
      </c>
      <c r="E12" s="457" t="s">
        <v>610</v>
      </c>
      <c r="F12" s="457" t="s">
        <v>648</v>
      </c>
      <c r="G12" s="457"/>
      <c r="H12" s="457" t="s">
        <v>649</v>
      </c>
    </row>
    <row r="13" spans="1:8">
      <c r="A13" s="457" t="s">
        <v>650</v>
      </c>
      <c r="B13" s="457" t="s">
        <v>615</v>
      </c>
      <c r="C13" s="457" t="s">
        <v>651</v>
      </c>
      <c r="D13" s="457" t="s">
        <v>637</v>
      </c>
      <c r="E13" s="457" t="s">
        <v>603</v>
      </c>
      <c r="F13" s="457" t="s">
        <v>604</v>
      </c>
      <c r="G13" s="457"/>
      <c r="H13" s="457" t="s">
        <v>652</v>
      </c>
    </row>
    <row r="14" spans="1:8">
      <c r="A14" s="457" t="s">
        <v>653</v>
      </c>
      <c r="B14" s="457" t="s">
        <v>654</v>
      </c>
      <c r="C14" s="457" t="s">
        <v>655</v>
      </c>
      <c r="D14" s="457" t="s">
        <v>637</v>
      </c>
      <c r="E14" s="457" t="s">
        <v>603</v>
      </c>
      <c r="F14" s="457" t="s">
        <v>604</v>
      </c>
      <c r="G14" s="457"/>
      <c r="H14" s="457" t="s">
        <v>656</v>
      </c>
    </row>
    <row r="15" spans="1:8">
      <c r="A15" s="457" t="s">
        <v>657</v>
      </c>
      <c r="B15" s="457" t="s">
        <v>658</v>
      </c>
      <c r="C15" s="457" t="s">
        <v>659</v>
      </c>
      <c r="D15" s="457" t="s">
        <v>637</v>
      </c>
      <c r="E15" s="457" t="s">
        <v>603</v>
      </c>
      <c r="F15" s="457" t="s">
        <v>604</v>
      </c>
      <c r="G15" s="457"/>
      <c r="H15" s="457" t="s">
        <v>660</v>
      </c>
    </row>
    <row r="16" spans="1:8">
      <c r="A16" s="457" t="s">
        <v>661</v>
      </c>
      <c r="B16" s="457" t="s">
        <v>620</v>
      </c>
      <c r="C16" s="457" t="s">
        <v>662</v>
      </c>
      <c r="D16" s="457" t="s">
        <v>637</v>
      </c>
      <c r="E16" s="457" t="s">
        <v>610</v>
      </c>
      <c r="F16" s="457" t="s">
        <v>663</v>
      </c>
      <c r="G16" s="457"/>
      <c r="H16" s="457" t="s">
        <v>664</v>
      </c>
    </row>
    <row r="17" spans="1:8">
      <c r="A17" s="457" t="s">
        <v>665</v>
      </c>
      <c r="B17" s="457" t="s">
        <v>666</v>
      </c>
      <c r="C17" s="457" t="s">
        <v>667</v>
      </c>
      <c r="D17" s="457" t="s">
        <v>637</v>
      </c>
      <c r="E17" s="457" t="s">
        <v>603</v>
      </c>
      <c r="F17" s="457" t="s">
        <v>617</v>
      </c>
      <c r="G17" s="457"/>
      <c r="H17" s="457" t="s">
        <v>668</v>
      </c>
    </row>
    <row r="18" spans="1:8">
      <c r="A18" s="457" t="s">
        <v>669</v>
      </c>
      <c r="B18" s="457" t="s">
        <v>666</v>
      </c>
      <c r="C18" s="457" t="s">
        <v>670</v>
      </c>
      <c r="D18" s="457" t="s">
        <v>637</v>
      </c>
      <c r="E18" s="457" t="s">
        <v>603</v>
      </c>
      <c r="F18" s="457" t="s">
        <v>604</v>
      </c>
      <c r="G18" s="457"/>
      <c r="H18" s="457" t="s">
        <v>671</v>
      </c>
    </row>
    <row r="19" spans="1:8">
      <c r="A19" s="457" t="s">
        <v>672</v>
      </c>
      <c r="B19" s="457" t="s">
        <v>615</v>
      </c>
      <c r="C19" s="457" t="s">
        <v>673</v>
      </c>
      <c r="D19" s="457" t="s">
        <v>637</v>
      </c>
      <c r="E19" s="457" t="s">
        <v>603</v>
      </c>
      <c r="F19" s="457" t="s">
        <v>674</v>
      </c>
      <c r="G19" s="457"/>
      <c r="H19" s="457" t="s">
        <v>675</v>
      </c>
    </row>
    <row r="20" spans="1:8">
      <c r="A20" s="457" t="s">
        <v>676</v>
      </c>
      <c r="B20" s="457" t="s">
        <v>677</v>
      </c>
      <c r="C20" s="457" t="s">
        <v>621</v>
      </c>
      <c r="D20" s="457" t="s">
        <v>637</v>
      </c>
      <c r="E20" s="457" t="s">
        <v>603</v>
      </c>
      <c r="F20" s="457" t="s">
        <v>678</v>
      </c>
      <c r="G20" s="457"/>
      <c r="H20" s="457" t="s">
        <v>679</v>
      </c>
    </row>
    <row r="21" spans="1:8">
      <c r="A21" s="457" t="s">
        <v>680</v>
      </c>
      <c r="B21" s="457" t="s">
        <v>681</v>
      </c>
      <c r="C21" s="457" t="s">
        <v>621</v>
      </c>
      <c r="D21" s="457" t="s">
        <v>637</v>
      </c>
      <c r="E21" s="457" t="s">
        <v>603</v>
      </c>
      <c r="F21" s="457" t="s">
        <v>604</v>
      </c>
      <c r="G21" s="457"/>
      <c r="H21" s="457" t="s">
        <v>682</v>
      </c>
    </row>
    <row r="22" spans="1:8">
      <c r="A22" s="457" t="s">
        <v>683</v>
      </c>
      <c r="B22" s="457" t="s">
        <v>684</v>
      </c>
      <c r="C22" s="457" t="s">
        <v>621</v>
      </c>
      <c r="D22" s="457" t="s">
        <v>637</v>
      </c>
      <c r="E22" s="457" t="s">
        <v>610</v>
      </c>
      <c r="F22" s="457" t="s">
        <v>678</v>
      </c>
      <c r="G22" s="457"/>
      <c r="H22" s="457" t="s">
        <v>685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2"/>
  <sheetViews>
    <sheetView tabSelected="1" workbookViewId="0">
      <selection sqref="A1:C1"/>
    </sheetView>
  </sheetViews>
  <sheetFormatPr defaultRowHeight="15"/>
  <cols>
    <col min="1" max="1" width="4" customWidth="1"/>
    <col min="2" max="2" width="14" customWidth="1"/>
    <col min="3" max="3" width="35" customWidth="1"/>
    <col min="4" max="4" width="70" customWidth="1"/>
    <col min="5" max="5" width="10" customWidth="1"/>
    <col min="6" max="6" width="12" customWidth="1"/>
  </cols>
  <sheetData>
    <row r="1" spans="1:6">
      <c r="A1" s="451" t="s">
        <v>12</v>
      </c>
      <c r="B1" s="451" t="s">
        <v>188</v>
      </c>
      <c r="C1" s="451" t="s">
        <v>13</v>
      </c>
      <c r="D1" s="451" t="s">
        <v>189</v>
      </c>
      <c r="E1" s="451" t="s">
        <v>14</v>
      </c>
      <c r="F1" s="451" t="s">
        <v>309</v>
      </c>
    </row>
    <row r="2" spans="1:6">
      <c r="A2" s="452">
        <v>1</v>
      </c>
      <c r="B2" s="452" t="s">
        <v>686</v>
      </c>
      <c r="C2" s="452" t="s">
        <v>687</v>
      </c>
      <c r="D2" s="452" t="s">
        <v>688</v>
      </c>
      <c r="E2" s="453" t="s">
        <v>17</v>
      </c>
      <c r="F2" s="452" t="s">
        <v>689</v>
      </c>
    </row>
    <row r="3" spans="1:6" ht="30" customHeight="1">
      <c r="A3" s="452">
        <v>2</v>
      </c>
      <c r="B3" s="452" t="s">
        <v>686</v>
      </c>
      <c r="C3" s="452" t="s">
        <v>690</v>
      </c>
      <c r="D3" s="452" t="s">
        <v>691</v>
      </c>
      <c r="E3" s="453" t="s">
        <v>17</v>
      </c>
      <c r="F3" s="452" t="s">
        <v>689</v>
      </c>
    </row>
    <row r="4" spans="1:6">
      <c r="A4" s="452">
        <v>3</v>
      </c>
      <c r="B4" s="452" t="s">
        <v>686</v>
      </c>
      <c r="C4" s="452" t="s">
        <v>692</v>
      </c>
      <c r="D4" s="452" t="s">
        <v>693</v>
      </c>
      <c r="E4" s="453" t="s">
        <v>17</v>
      </c>
      <c r="F4" s="452" t="s">
        <v>689</v>
      </c>
    </row>
    <row r="5" spans="1:6">
      <c r="A5" s="452">
        <v>4</v>
      </c>
      <c r="B5" s="452" t="s">
        <v>686</v>
      </c>
      <c r="C5" s="452" t="s">
        <v>694</v>
      </c>
      <c r="D5" s="452" t="s">
        <v>695</v>
      </c>
      <c r="E5" s="453" t="s">
        <v>17</v>
      </c>
      <c r="F5" s="452" t="s">
        <v>689</v>
      </c>
    </row>
    <row r="6" spans="1:6">
      <c r="A6" s="452">
        <v>5</v>
      </c>
      <c r="B6" s="452" t="s">
        <v>686</v>
      </c>
      <c r="C6" s="452" t="s">
        <v>696</v>
      </c>
      <c r="D6" s="452" t="s">
        <v>697</v>
      </c>
      <c r="E6" s="453" t="s">
        <v>17</v>
      </c>
      <c r="F6" s="452" t="s">
        <v>689</v>
      </c>
    </row>
    <row r="7" spans="1:6">
      <c r="A7" s="452">
        <v>6</v>
      </c>
      <c r="B7" s="452" t="s">
        <v>686</v>
      </c>
      <c r="C7" s="452" t="s">
        <v>698</v>
      </c>
      <c r="D7" s="452" t="s">
        <v>699</v>
      </c>
      <c r="E7" s="453" t="s">
        <v>17</v>
      </c>
      <c r="F7" s="452" t="s">
        <v>689</v>
      </c>
    </row>
    <row r="8" spans="1:6">
      <c r="A8" s="452">
        <v>7</v>
      </c>
      <c r="B8" s="452" t="s">
        <v>700</v>
      </c>
      <c r="C8" s="452" t="s">
        <v>701</v>
      </c>
      <c r="D8" s="452" t="s">
        <v>702</v>
      </c>
      <c r="E8" s="453" t="s">
        <v>17</v>
      </c>
      <c r="F8" s="452" t="s">
        <v>703</v>
      </c>
    </row>
    <row r="9" spans="1:6" ht="30" customHeight="1">
      <c r="A9" s="452">
        <v>8</v>
      </c>
      <c r="B9" s="452" t="s">
        <v>700</v>
      </c>
      <c r="C9" s="452" t="s">
        <v>704</v>
      </c>
      <c r="D9" s="452" t="s">
        <v>705</v>
      </c>
      <c r="E9" s="453" t="s">
        <v>17</v>
      </c>
      <c r="F9" s="452" t="s">
        <v>703</v>
      </c>
    </row>
    <row r="10" spans="1:6">
      <c r="A10" s="452">
        <v>9</v>
      </c>
      <c r="B10" s="452" t="s">
        <v>700</v>
      </c>
      <c r="C10" s="452" t="s">
        <v>706</v>
      </c>
      <c r="D10" s="452" t="s">
        <v>707</v>
      </c>
      <c r="E10" s="453" t="s">
        <v>17</v>
      </c>
      <c r="F10" s="452" t="s">
        <v>703</v>
      </c>
    </row>
    <row r="11" spans="1:6" ht="30" customHeight="1">
      <c r="A11" s="452">
        <v>10</v>
      </c>
      <c r="B11" s="452" t="s">
        <v>700</v>
      </c>
      <c r="C11" s="452" t="s">
        <v>708</v>
      </c>
      <c r="D11" s="452" t="s">
        <v>709</v>
      </c>
      <c r="E11" s="453" t="s">
        <v>17</v>
      </c>
      <c r="F11" s="452" t="s">
        <v>710</v>
      </c>
    </row>
    <row r="12" spans="1:6" ht="30" customHeight="1">
      <c r="A12" s="452">
        <v>11</v>
      </c>
      <c r="B12" s="452" t="s">
        <v>700</v>
      </c>
      <c r="C12" s="452" t="s">
        <v>711</v>
      </c>
      <c r="D12" s="452" t="s">
        <v>712</v>
      </c>
      <c r="E12" s="453" t="s">
        <v>17</v>
      </c>
      <c r="F12" s="452" t="s">
        <v>710</v>
      </c>
    </row>
    <row r="13" spans="1:6" ht="30" customHeight="1">
      <c r="A13" s="452">
        <v>12</v>
      </c>
      <c r="B13" s="452" t="s">
        <v>700</v>
      </c>
      <c r="C13" s="452" t="s">
        <v>713</v>
      </c>
      <c r="D13" s="452" t="s">
        <v>714</v>
      </c>
      <c r="E13" s="453" t="s">
        <v>17</v>
      </c>
      <c r="F13" s="452" t="s">
        <v>710</v>
      </c>
    </row>
    <row r="14" spans="1:6" ht="30" customHeight="1">
      <c r="A14" s="452">
        <v>13</v>
      </c>
      <c r="B14" s="452" t="s">
        <v>700</v>
      </c>
      <c r="C14" s="452" t="s">
        <v>715</v>
      </c>
      <c r="D14" s="452" t="s">
        <v>716</v>
      </c>
      <c r="E14" s="453" t="s">
        <v>17</v>
      </c>
      <c r="F14" s="452" t="s">
        <v>717</v>
      </c>
    </row>
    <row r="15" spans="1:6">
      <c r="A15" s="452">
        <v>14</v>
      </c>
      <c r="B15" s="452" t="s">
        <v>718</v>
      </c>
      <c r="C15" s="452" t="s">
        <v>719</v>
      </c>
      <c r="D15" s="452" t="s">
        <v>720</v>
      </c>
      <c r="E15" s="453" t="s">
        <v>17</v>
      </c>
      <c r="F15" s="452" t="s">
        <v>721</v>
      </c>
    </row>
    <row r="16" spans="1:6" ht="30" customHeight="1">
      <c r="A16" s="452">
        <v>15</v>
      </c>
      <c r="B16" s="452" t="s">
        <v>718</v>
      </c>
      <c r="C16" s="452" t="s">
        <v>722</v>
      </c>
      <c r="D16" s="452" t="s">
        <v>723</v>
      </c>
      <c r="E16" s="453" t="s">
        <v>17</v>
      </c>
      <c r="F16" s="452" t="s">
        <v>703</v>
      </c>
    </row>
    <row r="17" spans="1:6">
      <c r="A17" s="452">
        <v>16</v>
      </c>
      <c r="B17" s="452" t="s">
        <v>724</v>
      </c>
      <c r="C17" s="452" t="s">
        <v>725</v>
      </c>
      <c r="D17" s="452" t="s">
        <v>726</v>
      </c>
      <c r="E17" s="453" t="s">
        <v>17</v>
      </c>
      <c r="F17" s="452" t="s">
        <v>710</v>
      </c>
    </row>
    <row r="18" spans="1:6">
      <c r="A18" s="452">
        <v>17</v>
      </c>
      <c r="B18" s="452" t="s">
        <v>724</v>
      </c>
      <c r="C18" s="452" t="s">
        <v>727</v>
      </c>
      <c r="D18" s="452" t="s">
        <v>728</v>
      </c>
      <c r="E18" s="453" t="s">
        <v>17</v>
      </c>
      <c r="F18" s="452" t="s">
        <v>710</v>
      </c>
    </row>
    <row r="19" spans="1:6">
      <c r="A19" s="452">
        <v>18</v>
      </c>
      <c r="B19" s="452" t="s">
        <v>724</v>
      </c>
      <c r="C19" s="452" t="s">
        <v>729</v>
      </c>
      <c r="D19" s="452" t="s">
        <v>730</v>
      </c>
      <c r="E19" s="453" t="s">
        <v>17</v>
      </c>
      <c r="F19" s="452" t="s">
        <v>710</v>
      </c>
    </row>
    <row r="20" spans="1:6">
      <c r="A20" s="452">
        <v>19</v>
      </c>
      <c r="B20" s="452" t="s">
        <v>724</v>
      </c>
      <c r="C20" s="452" t="s">
        <v>731</v>
      </c>
      <c r="D20" s="452" t="s">
        <v>732</v>
      </c>
      <c r="E20" s="453" t="s">
        <v>17</v>
      </c>
      <c r="F20" s="452" t="s">
        <v>710</v>
      </c>
    </row>
    <row r="21" spans="1:6">
      <c r="A21" s="452">
        <v>20</v>
      </c>
      <c r="B21" s="452" t="s">
        <v>724</v>
      </c>
      <c r="C21" s="452" t="s">
        <v>733</v>
      </c>
      <c r="D21" s="452" t="s">
        <v>734</v>
      </c>
      <c r="E21" s="453" t="s">
        <v>17</v>
      </c>
      <c r="F21" s="452" t="s">
        <v>710</v>
      </c>
    </row>
    <row r="22" spans="1:6">
      <c r="A22" s="452">
        <v>21</v>
      </c>
      <c r="B22" s="452" t="s">
        <v>724</v>
      </c>
      <c r="C22" s="452" t="s">
        <v>735</v>
      </c>
      <c r="D22" s="452" t="s">
        <v>736</v>
      </c>
      <c r="E22" s="453" t="s">
        <v>17</v>
      </c>
      <c r="F22" s="452" t="s">
        <v>710</v>
      </c>
    </row>
    <row r="23" spans="1:6" ht="45" customHeight="1">
      <c r="A23" s="452">
        <v>22</v>
      </c>
      <c r="B23" s="452" t="s">
        <v>737</v>
      </c>
      <c r="C23" s="452" t="s">
        <v>738</v>
      </c>
      <c r="D23" s="452" t="s">
        <v>739</v>
      </c>
      <c r="E23" s="453" t="s">
        <v>17</v>
      </c>
      <c r="F23" s="452" t="s">
        <v>710</v>
      </c>
    </row>
    <row r="24" spans="1:6" ht="30" customHeight="1">
      <c r="A24" s="452">
        <v>23</v>
      </c>
      <c r="B24" s="452" t="s">
        <v>737</v>
      </c>
      <c r="C24" s="452" t="s">
        <v>740</v>
      </c>
      <c r="D24" s="452" t="s">
        <v>741</v>
      </c>
      <c r="E24" s="453" t="s">
        <v>17</v>
      </c>
      <c r="F24" s="452" t="s">
        <v>710</v>
      </c>
    </row>
    <row r="25" spans="1:6" ht="30" customHeight="1">
      <c r="A25" s="452">
        <v>24</v>
      </c>
      <c r="B25" s="452" t="s">
        <v>737</v>
      </c>
      <c r="C25" s="452" t="s">
        <v>742</v>
      </c>
      <c r="D25" s="452" t="s">
        <v>743</v>
      </c>
      <c r="E25" s="453" t="s">
        <v>17</v>
      </c>
      <c r="F25" s="452" t="s">
        <v>710</v>
      </c>
    </row>
    <row r="26" spans="1:6" ht="30" customHeight="1">
      <c r="A26" s="452">
        <v>25</v>
      </c>
      <c r="B26" s="452" t="s">
        <v>744</v>
      </c>
      <c r="C26" s="452" t="s">
        <v>745</v>
      </c>
      <c r="D26" s="452" t="s">
        <v>746</v>
      </c>
      <c r="E26" s="453" t="s">
        <v>17</v>
      </c>
      <c r="F26" s="452" t="s">
        <v>710</v>
      </c>
    </row>
    <row r="27" spans="1:6" ht="30" customHeight="1">
      <c r="A27" s="452">
        <v>26</v>
      </c>
      <c r="B27" s="452" t="s">
        <v>744</v>
      </c>
      <c r="C27" s="452" t="s">
        <v>747</v>
      </c>
      <c r="D27" s="452" t="s">
        <v>748</v>
      </c>
      <c r="E27" s="453" t="s">
        <v>17</v>
      </c>
      <c r="F27" s="452" t="s">
        <v>710</v>
      </c>
    </row>
    <row r="28" spans="1:6">
      <c r="A28" s="452">
        <v>27</v>
      </c>
      <c r="B28" s="452" t="s">
        <v>749</v>
      </c>
      <c r="C28" s="452" t="s">
        <v>750</v>
      </c>
      <c r="D28" s="452" t="s">
        <v>751</v>
      </c>
      <c r="E28" s="453" t="s">
        <v>17</v>
      </c>
      <c r="F28" s="452" t="s">
        <v>703</v>
      </c>
    </row>
    <row r="29" spans="1:6">
      <c r="A29" s="452">
        <v>28</v>
      </c>
      <c r="B29" s="452" t="s">
        <v>749</v>
      </c>
      <c r="C29" s="452" t="s">
        <v>752</v>
      </c>
      <c r="D29" s="452" t="s">
        <v>753</v>
      </c>
      <c r="E29" s="453" t="s">
        <v>17</v>
      </c>
      <c r="F29" s="452" t="s">
        <v>710</v>
      </c>
    </row>
    <row r="30" spans="1:6">
      <c r="A30" s="452">
        <v>29</v>
      </c>
      <c r="B30" s="452" t="s">
        <v>749</v>
      </c>
      <c r="C30" s="452" t="s">
        <v>754</v>
      </c>
      <c r="D30" s="452" t="s">
        <v>755</v>
      </c>
      <c r="E30" s="453" t="s">
        <v>17</v>
      </c>
      <c r="F30" s="452" t="s">
        <v>721</v>
      </c>
    </row>
    <row r="31" spans="1:6">
      <c r="A31" s="452">
        <v>30</v>
      </c>
      <c r="B31" s="452" t="s">
        <v>749</v>
      </c>
      <c r="C31" s="452" t="s">
        <v>756</v>
      </c>
      <c r="D31" s="452" t="s">
        <v>757</v>
      </c>
      <c r="E31" s="453" t="s">
        <v>17</v>
      </c>
      <c r="F31" s="452" t="s">
        <v>721</v>
      </c>
    </row>
    <row r="32" spans="1:6">
      <c r="A32" s="452">
        <v>31</v>
      </c>
      <c r="B32" s="452" t="s">
        <v>758</v>
      </c>
      <c r="C32" s="452" t="s">
        <v>759</v>
      </c>
      <c r="D32" s="452" t="s">
        <v>760</v>
      </c>
      <c r="E32" s="453" t="s">
        <v>17</v>
      </c>
      <c r="F32" s="452" t="s">
        <v>761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6"/>
  <sheetViews>
    <sheetView tabSelected="1" workbookViewId="0">
      <selection sqref="A1:C1"/>
    </sheetView>
  </sheetViews>
  <sheetFormatPr defaultRowHeight="15"/>
  <cols>
    <col min="1" max="1" width="40" customWidth="1"/>
    <col min="2" max="2" width="55" customWidth="1"/>
    <col min="3" max="3" width="15" customWidth="1"/>
  </cols>
  <sheetData>
    <row r="1" spans="1:2" ht="18.75" customHeight="1">
      <c r="A1" s="443" t="s">
        <v>762</v>
      </c>
    </row>
    <row r="3" spans="1:2">
      <c r="A3" s="444" t="s">
        <v>763</v>
      </c>
      <c r="B3" s="445" t="s">
        <v>764</v>
      </c>
    </row>
    <row r="4" spans="1:2">
      <c r="A4" s="444" t="s">
        <v>765</v>
      </c>
      <c r="B4" s="445" t="s">
        <v>766</v>
      </c>
    </row>
    <row r="5" spans="1:2">
      <c r="A5" s="444" t="s">
        <v>767</v>
      </c>
      <c r="B5" s="445" t="s">
        <v>768</v>
      </c>
    </row>
    <row r="6" spans="1:2">
      <c r="A6" s="444" t="s">
        <v>311</v>
      </c>
      <c r="B6" s="445" t="s">
        <v>769</v>
      </c>
    </row>
    <row r="8" spans="1:2">
      <c r="A8" s="446" t="s">
        <v>770</v>
      </c>
    </row>
    <row r="9" spans="1:2">
      <c r="A9" s="445" t="s">
        <v>771</v>
      </c>
      <c r="B9" s="447" t="s">
        <v>772</v>
      </c>
    </row>
    <row r="10" spans="1:2">
      <c r="A10" s="445" t="s">
        <v>773</v>
      </c>
      <c r="B10" s="447" t="s">
        <v>772</v>
      </c>
    </row>
    <row r="11" spans="1:2">
      <c r="A11" s="445" t="s">
        <v>774</v>
      </c>
      <c r="B11" s="447" t="s">
        <v>477</v>
      </c>
    </row>
    <row r="12" spans="1:2">
      <c r="A12" s="445" t="s">
        <v>775</v>
      </c>
      <c r="B12" s="447" t="s">
        <v>477</v>
      </c>
    </row>
    <row r="14" spans="1:2">
      <c r="A14" s="446" t="s">
        <v>776</v>
      </c>
    </row>
    <row r="15" spans="1:2">
      <c r="A15" s="445" t="s">
        <v>777</v>
      </c>
      <c r="B15" s="447" t="s">
        <v>778</v>
      </c>
    </row>
    <row r="16" spans="1:2">
      <c r="A16" s="445" t="s">
        <v>779</v>
      </c>
      <c r="B16" s="447" t="s">
        <v>778</v>
      </c>
    </row>
    <row r="17" spans="1:2">
      <c r="A17" s="445" t="s">
        <v>780</v>
      </c>
      <c r="B17" s="447" t="s">
        <v>778</v>
      </c>
    </row>
    <row r="19" spans="1:2">
      <c r="A19" s="446" t="s">
        <v>781</v>
      </c>
    </row>
    <row r="20" spans="1:2">
      <c r="A20" s="445" t="s">
        <v>782</v>
      </c>
      <c r="B20" s="447" t="s">
        <v>778</v>
      </c>
    </row>
    <row r="21" spans="1:2">
      <c r="A21" s="445" t="s">
        <v>783</v>
      </c>
      <c r="B21" s="447" t="s">
        <v>778</v>
      </c>
    </row>
    <row r="22" spans="1:2">
      <c r="A22" s="445" t="s">
        <v>784</v>
      </c>
      <c r="B22" s="447" t="s">
        <v>477</v>
      </c>
    </row>
    <row r="23" spans="1:2">
      <c r="A23" s="445" t="s">
        <v>785</v>
      </c>
      <c r="B23" s="447" t="s">
        <v>463</v>
      </c>
    </row>
    <row r="24" spans="1:2">
      <c r="A24" s="445" t="s">
        <v>786</v>
      </c>
      <c r="B24" s="447" t="s">
        <v>463</v>
      </c>
    </row>
    <row r="25" spans="1:2">
      <c r="A25" s="445" t="s">
        <v>787</v>
      </c>
      <c r="B25" s="447" t="s">
        <v>463</v>
      </c>
    </row>
    <row r="26" spans="1:2">
      <c r="A26" s="445" t="s">
        <v>788</v>
      </c>
      <c r="B26" s="447" t="s">
        <v>463</v>
      </c>
    </row>
    <row r="28" spans="1:2">
      <c r="A28" s="446" t="s">
        <v>789</v>
      </c>
    </row>
    <row r="29" spans="1:2">
      <c r="A29" s="445" t="s">
        <v>790</v>
      </c>
      <c r="B29" s="447" t="s">
        <v>791</v>
      </c>
    </row>
    <row r="30" spans="1:2">
      <c r="A30" s="445" t="s">
        <v>792</v>
      </c>
      <c r="B30" s="447" t="s">
        <v>791</v>
      </c>
    </row>
    <row r="31" spans="1:2">
      <c r="A31" s="445" t="s">
        <v>793</v>
      </c>
      <c r="B31" s="447" t="s">
        <v>791</v>
      </c>
    </row>
    <row r="32" spans="1:2">
      <c r="A32" s="445" t="s">
        <v>794</v>
      </c>
      <c r="B32" s="447" t="s">
        <v>791</v>
      </c>
    </row>
    <row r="33" spans="1:2">
      <c r="A33" s="445" t="s">
        <v>795</v>
      </c>
      <c r="B33" s="447" t="s">
        <v>791</v>
      </c>
    </row>
    <row r="34" spans="1:2">
      <c r="A34" s="445" t="s">
        <v>796</v>
      </c>
      <c r="B34" s="447" t="s">
        <v>791</v>
      </c>
    </row>
    <row r="35" spans="1:2">
      <c r="A35" s="445" t="s">
        <v>797</v>
      </c>
      <c r="B35" s="447" t="s">
        <v>791</v>
      </c>
    </row>
    <row r="36" spans="1:2">
      <c r="A36" s="445" t="s">
        <v>798</v>
      </c>
      <c r="B36" s="447" t="s">
        <v>791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56"/>
  <sheetViews>
    <sheetView workbookViewId="0"/>
  </sheetViews>
  <sheetFormatPr defaultRowHeight="15"/>
  <cols>
    <col min="1" max="1" width="45" customWidth="1"/>
    <col min="2" max="2" width="65" customWidth="1"/>
    <col min="3" max="3" width="15" customWidth="1"/>
  </cols>
  <sheetData>
    <row r="1" spans="1:2" ht="18.75" customHeight="1">
      <c r="A1" s="443" t="s">
        <v>799</v>
      </c>
    </row>
    <row r="3" spans="1:2">
      <c r="A3" s="444" t="s">
        <v>1</v>
      </c>
      <c r="B3" s="445" t="s">
        <v>800</v>
      </c>
    </row>
    <row r="4" spans="1:2">
      <c r="A4" s="444" t="s">
        <v>3</v>
      </c>
      <c r="B4" s="445" t="s">
        <v>4</v>
      </c>
    </row>
    <row r="5" spans="1:2">
      <c r="A5" s="444" t="s">
        <v>182</v>
      </c>
      <c r="B5" s="445" t="s">
        <v>801</v>
      </c>
    </row>
    <row r="6" spans="1:2">
      <c r="A6" s="444" t="s">
        <v>802</v>
      </c>
      <c r="B6" s="445" t="s">
        <v>803</v>
      </c>
    </row>
    <row r="7" spans="1:2">
      <c r="A7" s="444" t="s">
        <v>804</v>
      </c>
      <c r="B7" s="445" t="s">
        <v>805</v>
      </c>
    </row>
    <row r="8" spans="1:2">
      <c r="A8" s="444" t="s">
        <v>806</v>
      </c>
      <c r="B8" s="445" t="s">
        <v>807</v>
      </c>
    </row>
    <row r="9" spans="1:2">
      <c r="A9" s="444" t="s">
        <v>808</v>
      </c>
      <c r="B9" s="445" t="s">
        <v>809</v>
      </c>
    </row>
    <row r="10" spans="1:2">
      <c r="A10" s="444" t="s">
        <v>724</v>
      </c>
      <c r="B10" s="445" t="s">
        <v>810</v>
      </c>
    </row>
    <row r="12" spans="1:2">
      <c r="A12" s="446" t="s">
        <v>811</v>
      </c>
    </row>
    <row r="13" spans="1:2">
      <c r="A13" s="445" t="s">
        <v>812</v>
      </c>
      <c r="B13" s="447" t="s">
        <v>813</v>
      </c>
    </row>
    <row r="14" spans="1:2">
      <c r="A14" s="445" t="s">
        <v>814</v>
      </c>
      <c r="B14" s="447" t="s">
        <v>813</v>
      </c>
    </row>
    <row r="15" spans="1:2">
      <c r="A15" s="445" t="s">
        <v>815</v>
      </c>
      <c r="B15" s="447" t="s">
        <v>813</v>
      </c>
    </row>
    <row r="16" spans="1:2">
      <c r="A16" s="445" t="s">
        <v>816</v>
      </c>
      <c r="B16" s="447" t="s">
        <v>813</v>
      </c>
    </row>
    <row r="17" spans="1:2">
      <c r="A17" s="445" t="s">
        <v>817</v>
      </c>
      <c r="B17" s="447" t="s">
        <v>818</v>
      </c>
    </row>
    <row r="18" spans="1:2">
      <c r="A18" s="445" t="s">
        <v>819</v>
      </c>
      <c r="B18" s="447" t="s">
        <v>813</v>
      </c>
    </row>
    <row r="19" spans="1:2">
      <c r="A19" s="445" t="s">
        <v>820</v>
      </c>
      <c r="B19" s="447" t="s">
        <v>813</v>
      </c>
    </row>
    <row r="20" spans="1:2">
      <c r="A20" s="445" t="s">
        <v>821</v>
      </c>
      <c r="B20" s="447" t="s">
        <v>822</v>
      </c>
    </row>
    <row r="21" spans="1:2">
      <c r="A21" s="445" t="s">
        <v>823</v>
      </c>
      <c r="B21" s="447" t="s">
        <v>813</v>
      </c>
    </row>
    <row r="22" spans="1:2">
      <c r="A22" s="445" t="s">
        <v>824</v>
      </c>
      <c r="B22" s="447" t="s">
        <v>813</v>
      </c>
    </row>
    <row r="23" spans="1:2">
      <c r="A23" s="445" t="s">
        <v>825</v>
      </c>
      <c r="B23" s="447" t="s">
        <v>813</v>
      </c>
    </row>
    <row r="24" spans="1:2">
      <c r="A24" s="445" t="s">
        <v>826</v>
      </c>
      <c r="B24" s="447" t="s">
        <v>813</v>
      </c>
    </row>
    <row r="25" spans="1:2">
      <c r="A25" s="445" t="s">
        <v>827</v>
      </c>
      <c r="B25" s="447" t="s">
        <v>813</v>
      </c>
    </row>
    <row r="26" spans="1:2">
      <c r="A26" s="445" t="s">
        <v>828</v>
      </c>
      <c r="B26" s="447" t="s">
        <v>813</v>
      </c>
    </row>
    <row r="27" spans="1:2">
      <c r="A27" s="445" t="s">
        <v>829</v>
      </c>
      <c r="B27" s="447" t="s">
        <v>813</v>
      </c>
    </row>
    <row r="28" spans="1:2">
      <c r="A28" s="445" t="s">
        <v>830</v>
      </c>
      <c r="B28" s="447" t="s">
        <v>813</v>
      </c>
    </row>
    <row r="29" spans="1:2">
      <c r="A29" s="445" t="s">
        <v>831</v>
      </c>
      <c r="B29" s="447" t="s">
        <v>813</v>
      </c>
    </row>
    <row r="30" spans="1:2">
      <c r="A30" s="445" t="s">
        <v>832</v>
      </c>
      <c r="B30" s="447" t="s">
        <v>833</v>
      </c>
    </row>
    <row r="31" spans="1:2">
      <c r="A31" s="445" t="s">
        <v>834</v>
      </c>
      <c r="B31" s="447" t="s">
        <v>813</v>
      </c>
    </row>
    <row r="32" spans="1:2">
      <c r="A32" s="445" t="s">
        <v>835</v>
      </c>
      <c r="B32" s="447" t="s">
        <v>836</v>
      </c>
    </row>
    <row r="33" spans="1:2">
      <c r="A33" s="445" t="s">
        <v>837</v>
      </c>
      <c r="B33" s="447" t="s">
        <v>813</v>
      </c>
    </row>
    <row r="34" spans="1:2">
      <c r="A34" s="445" t="s">
        <v>838</v>
      </c>
      <c r="B34" s="447" t="s">
        <v>813</v>
      </c>
    </row>
    <row r="35" spans="1:2">
      <c r="A35" s="445" t="s">
        <v>839</v>
      </c>
      <c r="B35" s="447" t="s">
        <v>813</v>
      </c>
    </row>
    <row r="36" spans="1:2">
      <c r="A36" s="445" t="s">
        <v>840</v>
      </c>
      <c r="B36" s="447" t="s">
        <v>813</v>
      </c>
    </row>
    <row r="37" spans="1:2">
      <c r="A37" s="445" t="s">
        <v>841</v>
      </c>
      <c r="B37" s="447" t="s">
        <v>813</v>
      </c>
    </row>
    <row r="38" spans="1:2">
      <c r="A38" s="445" t="s">
        <v>842</v>
      </c>
      <c r="B38" s="447" t="s">
        <v>813</v>
      </c>
    </row>
    <row r="39" spans="1:2">
      <c r="A39" s="445" t="s">
        <v>843</v>
      </c>
      <c r="B39" s="447" t="s">
        <v>813</v>
      </c>
    </row>
    <row r="40" spans="1:2">
      <c r="A40" s="445" t="s">
        <v>844</v>
      </c>
      <c r="B40" s="447" t="s">
        <v>813</v>
      </c>
    </row>
    <row r="42" spans="1:2">
      <c r="A42" s="446" t="s">
        <v>845</v>
      </c>
    </row>
    <row r="43" spans="1:2">
      <c r="A43" s="445" t="s">
        <v>846</v>
      </c>
      <c r="B43" s="445" t="s">
        <v>847</v>
      </c>
    </row>
    <row r="44" spans="1:2">
      <c r="A44" s="445" t="s">
        <v>823</v>
      </c>
      <c r="B44" s="445" t="s">
        <v>848</v>
      </c>
    </row>
    <row r="45" spans="1:2">
      <c r="A45" s="445" t="s">
        <v>834</v>
      </c>
      <c r="B45" s="445" t="s">
        <v>849</v>
      </c>
    </row>
    <row r="46" spans="1:2">
      <c r="A46" s="445" t="s">
        <v>850</v>
      </c>
      <c r="B46" s="445" t="s">
        <v>851</v>
      </c>
    </row>
    <row r="47" spans="1:2">
      <c r="A47" s="445" t="s">
        <v>852</v>
      </c>
      <c r="B47" s="445" t="s">
        <v>853</v>
      </c>
    </row>
    <row r="48" spans="1:2">
      <c r="A48" s="445" t="s">
        <v>854</v>
      </c>
      <c r="B48" s="445" t="s">
        <v>855</v>
      </c>
    </row>
    <row r="49" spans="1:3">
      <c r="A49" s="445" t="s">
        <v>856</v>
      </c>
      <c r="B49" s="445" t="s">
        <v>857</v>
      </c>
    </row>
    <row r="50" spans="1:3">
      <c r="A50" s="445" t="s">
        <v>858</v>
      </c>
      <c r="B50" s="445" t="s">
        <v>859</v>
      </c>
    </row>
    <row r="51" spans="1:3">
      <c r="A51" s="445" t="s">
        <v>824</v>
      </c>
      <c r="B51" s="445" t="s">
        <v>860</v>
      </c>
    </row>
    <row r="53" spans="1:3">
      <c r="A53" s="446" t="s">
        <v>861</v>
      </c>
    </row>
    <row r="54" spans="1:3">
      <c r="A54" s="445" t="s">
        <v>862</v>
      </c>
    </row>
    <row r="55" spans="1:3">
      <c r="A55" s="445" t="s">
        <v>863</v>
      </c>
    </row>
    <row r="56" spans="1:3">
      <c r="A56" s="445" t="s">
        <v>864</v>
      </c>
    </row>
    <row r="57" spans="1:3">
      <c r="A57" s="445" t="s">
        <v>865</v>
      </c>
    </row>
    <row r="58" spans="1:3">
      <c r="A58" s="445" t="s">
        <v>866</v>
      </c>
    </row>
    <row r="59" spans="1:3">
      <c r="A59" s="445" t="s">
        <v>867</v>
      </c>
    </row>
    <row r="60" spans="1:3">
      <c r="A60" s="445" t="s">
        <v>868</v>
      </c>
    </row>
    <row r="62" spans="1:3">
      <c r="A62" s="446" t="s">
        <v>869</v>
      </c>
    </row>
    <row r="63" spans="1:3">
      <c r="A63" s="444" t="s">
        <v>870</v>
      </c>
      <c r="B63" s="444" t="s">
        <v>189</v>
      </c>
      <c r="C63" s="444" t="s">
        <v>14</v>
      </c>
    </row>
    <row r="64" spans="1:3">
      <c r="A64" s="445" t="s">
        <v>871</v>
      </c>
      <c r="B64" s="445" t="s">
        <v>872</v>
      </c>
      <c r="C64" s="447" t="s">
        <v>873</v>
      </c>
    </row>
    <row r="65" spans="1:3">
      <c r="A65" s="445" t="s">
        <v>874</v>
      </c>
      <c r="B65" s="445" t="s">
        <v>875</v>
      </c>
      <c r="C65" s="447" t="s">
        <v>873</v>
      </c>
    </row>
    <row r="66" spans="1:3">
      <c r="A66" s="445" t="s">
        <v>876</v>
      </c>
      <c r="B66" s="445" t="s">
        <v>877</v>
      </c>
      <c r="C66" s="447" t="s">
        <v>873</v>
      </c>
    </row>
    <row r="67" spans="1:3">
      <c r="A67" s="445" t="s">
        <v>878</v>
      </c>
      <c r="B67" s="445" t="s">
        <v>879</v>
      </c>
      <c r="C67" s="447" t="s">
        <v>873</v>
      </c>
    </row>
    <row r="68" spans="1:3">
      <c r="A68" s="445" t="s">
        <v>880</v>
      </c>
      <c r="B68" s="445" t="s">
        <v>881</v>
      </c>
      <c r="C68" s="447" t="s">
        <v>873</v>
      </c>
    </row>
    <row r="69" spans="1:3">
      <c r="A69" s="445" t="s">
        <v>882</v>
      </c>
      <c r="B69" s="445" t="s">
        <v>883</v>
      </c>
      <c r="C69" s="447" t="s">
        <v>873</v>
      </c>
    </row>
    <row r="70" spans="1:3">
      <c r="A70" s="445" t="s">
        <v>884</v>
      </c>
      <c r="B70" s="445" t="s">
        <v>885</v>
      </c>
      <c r="C70" s="447" t="s">
        <v>873</v>
      </c>
    </row>
    <row r="71" spans="1:3">
      <c r="A71" s="445" t="s">
        <v>886</v>
      </c>
      <c r="B71" s="445" t="s">
        <v>887</v>
      </c>
      <c r="C71" s="447" t="s">
        <v>873</v>
      </c>
    </row>
    <row r="72" spans="1:3">
      <c r="A72" s="445" t="s">
        <v>888</v>
      </c>
      <c r="B72" s="445" t="s">
        <v>889</v>
      </c>
      <c r="C72" s="447" t="s">
        <v>873</v>
      </c>
    </row>
    <row r="73" spans="1:3">
      <c r="A73" s="445" t="s">
        <v>890</v>
      </c>
      <c r="B73" s="445" t="s">
        <v>891</v>
      </c>
      <c r="C73" s="447" t="s">
        <v>873</v>
      </c>
    </row>
    <row r="74" spans="1:3">
      <c r="A74" s="445" t="s">
        <v>892</v>
      </c>
      <c r="B74" s="445" t="s">
        <v>893</v>
      </c>
      <c r="C74" s="447" t="s">
        <v>873</v>
      </c>
    </row>
    <row r="75" spans="1:3">
      <c r="A75" s="445" t="s">
        <v>894</v>
      </c>
      <c r="B75" s="445" t="s">
        <v>895</v>
      </c>
      <c r="C75" s="447" t="s">
        <v>873</v>
      </c>
    </row>
    <row r="76" spans="1:3">
      <c r="A76" s="445" t="s">
        <v>896</v>
      </c>
      <c r="B76" s="445" t="s">
        <v>897</v>
      </c>
      <c r="C76" s="447" t="s">
        <v>873</v>
      </c>
    </row>
    <row r="77" spans="1:3">
      <c r="A77" s="445" t="s">
        <v>898</v>
      </c>
      <c r="B77" s="445" t="s">
        <v>899</v>
      </c>
      <c r="C77" s="447" t="s">
        <v>873</v>
      </c>
    </row>
    <row r="78" spans="1:3">
      <c r="A78" s="445" t="s">
        <v>900</v>
      </c>
      <c r="B78" s="445" t="s">
        <v>901</v>
      </c>
      <c r="C78" s="447" t="s">
        <v>873</v>
      </c>
    </row>
    <row r="79" spans="1:3">
      <c r="A79" s="445" t="s">
        <v>902</v>
      </c>
      <c r="B79" s="445" t="s">
        <v>903</v>
      </c>
      <c r="C79" s="447" t="s">
        <v>873</v>
      </c>
    </row>
    <row r="80" spans="1:3">
      <c r="A80" s="445" t="s">
        <v>904</v>
      </c>
      <c r="B80" s="445" t="s">
        <v>905</v>
      </c>
      <c r="C80" s="447" t="s">
        <v>873</v>
      </c>
    </row>
    <row r="81" spans="1:3">
      <c r="A81" s="445" t="s">
        <v>906</v>
      </c>
      <c r="B81" s="445" t="s">
        <v>907</v>
      </c>
      <c r="C81" s="447" t="s">
        <v>873</v>
      </c>
    </row>
    <row r="82" spans="1:3">
      <c r="A82" s="445" t="s">
        <v>908</v>
      </c>
      <c r="B82" s="445" t="s">
        <v>909</v>
      </c>
      <c r="C82" s="447" t="s">
        <v>873</v>
      </c>
    </row>
    <row r="83" spans="1:3">
      <c r="A83" s="445" t="s">
        <v>910</v>
      </c>
      <c r="B83" s="445" t="s">
        <v>911</v>
      </c>
      <c r="C83" s="447" t="s">
        <v>873</v>
      </c>
    </row>
    <row r="84" spans="1:3">
      <c r="A84" s="445" t="s">
        <v>912</v>
      </c>
      <c r="B84" s="445" t="s">
        <v>913</v>
      </c>
      <c r="C84" s="447" t="s">
        <v>873</v>
      </c>
    </row>
    <row r="85" spans="1:3">
      <c r="A85" s="445" t="s">
        <v>914</v>
      </c>
      <c r="B85" s="445" t="s">
        <v>915</v>
      </c>
      <c r="C85" s="447" t="s">
        <v>873</v>
      </c>
    </row>
    <row r="86" spans="1:3">
      <c r="A86" s="445" t="s">
        <v>916</v>
      </c>
      <c r="B86" s="445" t="s">
        <v>917</v>
      </c>
      <c r="C86" s="447" t="s">
        <v>873</v>
      </c>
    </row>
    <row r="87" spans="1:3">
      <c r="A87" s="445" t="s">
        <v>918</v>
      </c>
      <c r="B87" s="445" t="s">
        <v>919</v>
      </c>
      <c r="C87" s="447" t="s">
        <v>873</v>
      </c>
    </row>
    <row r="88" spans="1:3">
      <c r="A88" s="445" t="s">
        <v>920</v>
      </c>
      <c r="B88" s="445" t="s">
        <v>921</v>
      </c>
      <c r="C88" s="447" t="s">
        <v>873</v>
      </c>
    </row>
    <row r="89" spans="1:3">
      <c r="A89" s="445" t="s">
        <v>922</v>
      </c>
      <c r="B89" s="445" t="s">
        <v>923</v>
      </c>
      <c r="C89" s="447" t="s">
        <v>873</v>
      </c>
    </row>
    <row r="90" spans="1:3">
      <c r="A90" s="445" t="s">
        <v>924</v>
      </c>
      <c r="B90" s="445" t="s">
        <v>925</v>
      </c>
      <c r="C90" s="447" t="s">
        <v>873</v>
      </c>
    </row>
    <row r="91" spans="1:3">
      <c r="A91" s="445" t="s">
        <v>926</v>
      </c>
      <c r="B91" s="445" t="s">
        <v>927</v>
      </c>
      <c r="C91" s="447" t="s">
        <v>873</v>
      </c>
    </row>
    <row r="92" spans="1:3">
      <c r="A92" s="445" t="s">
        <v>928</v>
      </c>
      <c r="B92" s="445" t="s">
        <v>929</v>
      </c>
      <c r="C92" s="447" t="s">
        <v>873</v>
      </c>
    </row>
    <row r="93" spans="1:3">
      <c r="A93" s="445" t="s">
        <v>930</v>
      </c>
      <c r="B93" s="445" t="s">
        <v>931</v>
      </c>
      <c r="C93" s="447" t="s">
        <v>873</v>
      </c>
    </row>
    <row r="94" spans="1:3">
      <c r="A94" s="445" t="s">
        <v>932</v>
      </c>
      <c r="B94" s="445" t="s">
        <v>933</v>
      </c>
      <c r="C94" s="447" t="s">
        <v>873</v>
      </c>
    </row>
    <row r="95" spans="1:3">
      <c r="A95" s="445" t="s">
        <v>934</v>
      </c>
      <c r="B95" s="445" t="s">
        <v>935</v>
      </c>
      <c r="C95" s="447" t="s">
        <v>873</v>
      </c>
    </row>
    <row r="96" spans="1:3">
      <c r="A96" s="445" t="s">
        <v>936</v>
      </c>
      <c r="B96" s="445" t="s">
        <v>937</v>
      </c>
      <c r="C96" s="447" t="s">
        <v>873</v>
      </c>
    </row>
    <row r="97" spans="1:3">
      <c r="A97" s="445" t="s">
        <v>938</v>
      </c>
      <c r="B97" s="445" t="s">
        <v>939</v>
      </c>
      <c r="C97" s="447" t="s">
        <v>873</v>
      </c>
    </row>
    <row r="98" spans="1:3">
      <c r="A98" s="445" t="s">
        <v>940</v>
      </c>
      <c r="B98" s="445" t="s">
        <v>941</v>
      </c>
      <c r="C98" s="447" t="s">
        <v>873</v>
      </c>
    </row>
    <row r="99" spans="1:3">
      <c r="A99" s="445" t="s">
        <v>942</v>
      </c>
      <c r="B99" s="445" t="s">
        <v>943</v>
      </c>
      <c r="C99" s="447" t="s">
        <v>873</v>
      </c>
    </row>
    <row r="100" spans="1:3">
      <c r="A100" s="445" t="s">
        <v>944</v>
      </c>
      <c r="B100" s="445" t="s">
        <v>945</v>
      </c>
      <c r="C100" s="447" t="s">
        <v>873</v>
      </c>
    </row>
    <row r="101" spans="1:3">
      <c r="A101" s="445" t="s">
        <v>946</v>
      </c>
      <c r="B101" s="445" t="s">
        <v>947</v>
      </c>
      <c r="C101" s="447" t="s">
        <v>873</v>
      </c>
    </row>
    <row r="102" spans="1:3">
      <c r="A102" s="445" t="s">
        <v>948</v>
      </c>
      <c r="B102" s="445" t="s">
        <v>949</v>
      </c>
      <c r="C102" s="447" t="s">
        <v>873</v>
      </c>
    </row>
    <row r="103" spans="1:3">
      <c r="A103" s="445" t="s">
        <v>950</v>
      </c>
      <c r="B103" s="445" t="s">
        <v>951</v>
      </c>
      <c r="C103" s="447" t="s">
        <v>873</v>
      </c>
    </row>
    <row r="104" spans="1:3">
      <c r="A104" s="445" t="s">
        <v>952</v>
      </c>
      <c r="B104" s="445" t="s">
        <v>953</v>
      </c>
      <c r="C104" s="447" t="s">
        <v>873</v>
      </c>
    </row>
    <row r="105" spans="1:3">
      <c r="A105" s="445" t="s">
        <v>954</v>
      </c>
      <c r="B105" s="445" t="s">
        <v>955</v>
      </c>
      <c r="C105" s="447" t="s">
        <v>873</v>
      </c>
    </row>
    <row r="106" spans="1:3">
      <c r="A106" s="445" t="s">
        <v>956</v>
      </c>
      <c r="B106" s="445" t="s">
        <v>957</v>
      </c>
      <c r="C106" s="447" t="s">
        <v>873</v>
      </c>
    </row>
    <row r="107" spans="1:3">
      <c r="A107" s="445" t="s">
        <v>958</v>
      </c>
      <c r="B107" s="445" t="s">
        <v>959</v>
      </c>
      <c r="C107" s="447" t="s">
        <v>873</v>
      </c>
    </row>
    <row r="108" spans="1:3">
      <c r="A108" s="445" t="s">
        <v>960</v>
      </c>
      <c r="B108" s="445" t="s">
        <v>961</v>
      </c>
      <c r="C108" s="447" t="s">
        <v>873</v>
      </c>
    </row>
    <row r="109" spans="1:3">
      <c r="A109" s="445" t="s">
        <v>962</v>
      </c>
      <c r="B109" s="445" t="s">
        <v>963</v>
      </c>
      <c r="C109" s="447" t="s">
        <v>873</v>
      </c>
    </row>
    <row r="110" spans="1:3">
      <c r="A110" s="445" t="s">
        <v>964</v>
      </c>
      <c r="B110" s="445" t="s">
        <v>965</v>
      </c>
      <c r="C110" s="447" t="s">
        <v>873</v>
      </c>
    </row>
    <row r="111" spans="1:3">
      <c r="A111" s="445" t="s">
        <v>966</v>
      </c>
      <c r="B111" s="445" t="s">
        <v>967</v>
      </c>
      <c r="C111" s="447" t="s">
        <v>873</v>
      </c>
    </row>
    <row r="112" spans="1:3">
      <c r="A112" s="445" t="s">
        <v>968</v>
      </c>
      <c r="B112" s="445" t="s">
        <v>969</v>
      </c>
      <c r="C112" s="447" t="s">
        <v>873</v>
      </c>
    </row>
    <row r="113" spans="1:3">
      <c r="A113" s="445" t="s">
        <v>970</v>
      </c>
      <c r="B113" s="445" t="s">
        <v>971</v>
      </c>
      <c r="C113" s="447" t="s">
        <v>873</v>
      </c>
    </row>
    <row r="114" spans="1:3">
      <c r="A114" s="445" t="s">
        <v>972</v>
      </c>
      <c r="B114" s="445" t="s">
        <v>973</v>
      </c>
      <c r="C114" s="447" t="s">
        <v>873</v>
      </c>
    </row>
    <row r="115" spans="1:3">
      <c r="A115" s="445" t="s">
        <v>974</v>
      </c>
      <c r="B115" s="445" t="s">
        <v>975</v>
      </c>
      <c r="C115" s="447" t="s">
        <v>873</v>
      </c>
    </row>
    <row r="116" spans="1:3">
      <c r="A116" s="445" t="s">
        <v>976</v>
      </c>
      <c r="B116" s="445" t="s">
        <v>977</v>
      </c>
      <c r="C116" s="447" t="s">
        <v>873</v>
      </c>
    </row>
    <row r="117" spans="1:3">
      <c r="A117" s="445" t="s">
        <v>978</v>
      </c>
      <c r="B117" s="445" t="s">
        <v>979</v>
      </c>
      <c r="C117" s="447" t="s">
        <v>873</v>
      </c>
    </row>
    <row r="118" spans="1:3">
      <c r="A118" s="445" t="s">
        <v>980</v>
      </c>
      <c r="B118" s="445" t="s">
        <v>981</v>
      </c>
      <c r="C118" s="447" t="s">
        <v>873</v>
      </c>
    </row>
    <row r="119" spans="1:3">
      <c r="A119" s="445" t="s">
        <v>982</v>
      </c>
      <c r="B119" s="445" t="s">
        <v>983</v>
      </c>
      <c r="C119" s="447" t="s">
        <v>873</v>
      </c>
    </row>
    <row r="120" spans="1:3">
      <c r="A120" s="445" t="s">
        <v>984</v>
      </c>
      <c r="B120" s="445" t="s">
        <v>985</v>
      </c>
      <c r="C120" s="447" t="s">
        <v>873</v>
      </c>
    </row>
    <row r="121" spans="1:3">
      <c r="A121" s="445" t="s">
        <v>986</v>
      </c>
      <c r="B121" s="445" t="s">
        <v>987</v>
      </c>
      <c r="C121" s="447" t="s">
        <v>873</v>
      </c>
    </row>
    <row r="122" spans="1:3">
      <c r="A122" s="445" t="s">
        <v>988</v>
      </c>
      <c r="B122" s="445" t="s">
        <v>989</v>
      </c>
      <c r="C122" s="447" t="s">
        <v>873</v>
      </c>
    </row>
    <row r="123" spans="1:3">
      <c r="A123" s="445" t="s">
        <v>990</v>
      </c>
      <c r="B123" s="445" t="s">
        <v>991</v>
      </c>
      <c r="C123" s="447" t="s">
        <v>873</v>
      </c>
    </row>
    <row r="124" spans="1:3">
      <c r="A124" s="445" t="s">
        <v>992</v>
      </c>
      <c r="B124" s="445" t="s">
        <v>993</v>
      </c>
      <c r="C124" s="447" t="s">
        <v>873</v>
      </c>
    </row>
    <row r="125" spans="1:3">
      <c r="A125" s="445" t="s">
        <v>994</v>
      </c>
      <c r="B125" s="445" t="s">
        <v>995</v>
      </c>
      <c r="C125" s="447" t="s">
        <v>873</v>
      </c>
    </row>
    <row r="127" spans="1:3">
      <c r="A127" s="446" t="s">
        <v>996</v>
      </c>
    </row>
    <row r="128" spans="1:3">
      <c r="A128" s="445" t="s">
        <v>997</v>
      </c>
      <c r="B128" s="445" t="s">
        <v>998</v>
      </c>
      <c r="C128" s="447" t="s">
        <v>873</v>
      </c>
    </row>
    <row r="129" spans="1:3">
      <c r="A129" s="445" t="s">
        <v>999</v>
      </c>
      <c r="B129" s="445" t="s">
        <v>1000</v>
      </c>
      <c r="C129" s="447" t="s">
        <v>873</v>
      </c>
    </row>
    <row r="130" spans="1:3">
      <c r="A130" s="445" t="s">
        <v>1001</v>
      </c>
      <c r="B130" s="445" t="s">
        <v>1002</v>
      </c>
      <c r="C130" s="447" t="s">
        <v>873</v>
      </c>
    </row>
    <row r="131" spans="1:3">
      <c r="A131" s="445" t="s">
        <v>1003</v>
      </c>
      <c r="B131" s="445" t="s">
        <v>1004</v>
      </c>
      <c r="C131" s="447" t="s">
        <v>873</v>
      </c>
    </row>
    <row r="132" spans="1:3">
      <c r="A132" s="445" t="s">
        <v>1005</v>
      </c>
      <c r="B132" s="445" t="s">
        <v>1006</v>
      </c>
      <c r="C132" s="447" t="s">
        <v>873</v>
      </c>
    </row>
    <row r="133" spans="1:3">
      <c r="A133" s="445" t="s">
        <v>1007</v>
      </c>
      <c r="B133" s="445" t="s">
        <v>1008</v>
      </c>
      <c r="C133" s="447" t="s">
        <v>873</v>
      </c>
    </row>
    <row r="134" spans="1:3">
      <c r="A134" s="445" t="s">
        <v>1009</v>
      </c>
      <c r="B134" s="445" t="s">
        <v>1010</v>
      </c>
      <c r="C134" s="447" t="s">
        <v>873</v>
      </c>
    </row>
    <row r="135" spans="1:3">
      <c r="A135" s="445" t="s">
        <v>1011</v>
      </c>
      <c r="B135" s="445" t="s">
        <v>1012</v>
      </c>
      <c r="C135" s="447" t="s">
        <v>873</v>
      </c>
    </row>
    <row r="136" spans="1:3">
      <c r="A136" s="445" t="s">
        <v>1013</v>
      </c>
      <c r="B136" s="445" t="s">
        <v>1014</v>
      </c>
      <c r="C136" s="447" t="s">
        <v>873</v>
      </c>
    </row>
    <row r="137" spans="1:3">
      <c r="A137" s="445" t="s">
        <v>1015</v>
      </c>
      <c r="B137" s="445" t="s">
        <v>1016</v>
      </c>
      <c r="C137" s="447" t="s">
        <v>873</v>
      </c>
    </row>
    <row r="138" spans="1:3">
      <c r="A138" s="445" t="s">
        <v>1017</v>
      </c>
      <c r="B138" s="445" t="s">
        <v>1018</v>
      </c>
      <c r="C138" s="447" t="s">
        <v>873</v>
      </c>
    </row>
    <row r="139" spans="1:3">
      <c r="A139" s="445" t="s">
        <v>1019</v>
      </c>
      <c r="B139" s="445" t="s">
        <v>1020</v>
      </c>
      <c r="C139" s="447" t="s">
        <v>873</v>
      </c>
    </row>
    <row r="140" spans="1:3">
      <c r="A140" s="445" t="s">
        <v>1021</v>
      </c>
      <c r="B140" s="445" t="s">
        <v>1022</v>
      </c>
      <c r="C140" s="447" t="s">
        <v>873</v>
      </c>
    </row>
    <row r="141" spans="1:3">
      <c r="A141" s="445" t="s">
        <v>1023</v>
      </c>
      <c r="B141" s="445" t="s">
        <v>1024</v>
      </c>
      <c r="C141" s="447" t="s">
        <v>873</v>
      </c>
    </row>
    <row r="142" spans="1:3">
      <c r="A142" s="445" t="s">
        <v>1025</v>
      </c>
      <c r="B142" s="445" t="s">
        <v>1026</v>
      </c>
      <c r="C142" s="447" t="s">
        <v>1027</v>
      </c>
    </row>
    <row r="143" spans="1:3">
      <c r="A143" s="445" t="s">
        <v>1028</v>
      </c>
      <c r="B143" s="445" t="s">
        <v>1029</v>
      </c>
      <c r="C143" s="447" t="s">
        <v>1027</v>
      </c>
    </row>
    <row r="145" spans="1:3">
      <c r="A145" s="446" t="s">
        <v>1030</v>
      </c>
    </row>
    <row r="146" spans="1:3">
      <c r="A146" s="445" t="s">
        <v>1031</v>
      </c>
      <c r="B146" s="445" t="s">
        <v>1032</v>
      </c>
      <c r="C146" s="448" t="s">
        <v>1033</v>
      </c>
    </row>
    <row r="147" spans="1:3">
      <c r="A147" s="445" t="s">
        <v>1034</v>
      </c>
      <c r="B147" s="445" t="s">
        <v>1035</v>
      </c>
      <c r="C147" s="448" t="s">
        <v>1033</v>
      </c>
    </row>
    <row r="148" spans="1:3">
      <c r="A148" s="445" t="s">
        <v>1036</v>
      </c>
      <c r="B148" s="445" t="s">
        <v>1037</v>
      </c>
      <c r="C148" s="448" t="s">
        <v>1033</v>
      </c>
    </row>
    <row r="149" spans="1:3">
      <c r="A149" s="445" t="s">
        <v>1038</v>
      </c>
      <c r="B149" s="445" t="s">
        <v>1039</v>
      </c>
      <c r="C149" s="449" t="s">
        <v>1040</v>
      </c>
    </row>
    <row r="150" spans="1:3">
      <c r="A150" s="445" t="s">
        <v>1041</v>
      </c>
      <c r="B150" s="445" t="s">
        <v>1042</v>
      </c>
      <c r="C150" s="449" t="s">
        <v>1040</v>
      </c>
    </row>
    <row r="151" spans="1:3">
      <c r="A151" s="445" t="s">
        <v>1043</v>
      </c>
      <c r="B151" s="445" t="s">
        <v>1044</v>
      </c>
      <c r="C151" s="448" t="s">
        <v>1033</v>
      </c>
    </row>
    <row r="152" spans="1:3">
      <c r="A152" s="445" t="s">
        <v>1045</v>
      </c>
      <c r="B152" s="445" t="s">
        <v>1046</v>
      </c>
      <c r="C152" s="449" t="s">
        <v>1040</v>
      </c>
    </row>
    <row r="153" spans="1:3">
      <c r="A153" s="445" t="s">
        <v>1047</v>
      </c>
      <c r="B153" s="445" t="s">
        <v>1048</v>
      </c>
      <c r="C153" s="449" t="s">
        <v>1040</v>
      </c>
    </row>
    <row r="154" spans="1:3">
      <c r="A154" s="445" t="s">
        <v>1049</v>
      </c>
      <c r="B154" s="445" t="s">
        <v>1050</v>
      </c>
      <c r="C154" s="449" t="s">
        <v>1040</v>
      </c>
    </row>
    <row r="155" spans="1:3">
      <c r="A155" s="445" t="s">
        <v>1051</v>
      </c>
      <c r="B155" s="445" t="s">
        <v>1052</v>
      </c>
      <c r="C155" s="448" t="s">
        <v>1033</v>
      </c>
    </row>
    <row r="156" spans="1:3">
      <c r="A156" s="445" t="s">
        <v>1053</v>
      </c>
      <c r="B156" s="445" t="s">
        <v>1054</v>
      </c>
      <c r="C156" s="449" t="s">
        <v>1055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56"/>
  <sheetViews>
    <sheetView tabSelected="1" workbookViewId="0">
      <selection sqref="A1:C1"/>
    </sheetView>
  </sheetViews>
  <sheetFormatPr defaultRowHeight="15"/>
  <cols>
    <col min="1" max="1" width="34" customWidth="1"/>
    <col min="2" max="2" width="75" customWidth="1"/>
    <col min="3" max="3" width="13" customWidth="1"/>
  </cols>
  <sheetData>
    <row r="1" spans="1:3" ht="21.95" customHeight="1">
      <c r="A1" s="500" t="s">
        <v>1056</v>
      </c>
      <c r="B1" s="494"/>
      <c r="C1" s="494"/>
    </row>
    <row r="3" spans="1:3">
      <c r="A3" s="432" t="s">
        <v>1</v>
      </c>
      <c r="B3" s="433" t="s">
        <v>2</v>
      </c>
    </row>
    <row r="4" spans="1:3">
      <c r="A4" s="432" t="s">
        <v>3</v>
      </c>
      <c r="B4" s="433" t="s">
        <v>1057</v>
      </c>
    </row>
    <row r="5" spans="1:3">
      <c r="A5" s="432" t="s">
        <v>182</v>
      </c>
      <c r="B5" s="433" t="s">
        <v>1058</v>
      </c>
    </row>
    <row r="6" spans="1:3">
      <c r="A6" s="432" t="s">
        <v>802</v>
      </c>
      <c r="B6" s="433" t="s">
        <v>1059</v>
      </c>
    </row>
    <row r="7" spans="1:3">
      <c r="A7" s="432" t="s">
        <v>184</v>
      </c>
      <c r="B7" s="433" t="s">
        <v>20</v>
      </c>
    </row>
    <row r="8" spans="1:3">
      <c r="A8" s="432" t="s">
        <v>1060</v>
      </c>
      <c r="B8" s="433" t="s">
        <v>24</v>
      </c>
    </row>
    <row r="9" spans="1:3">
      <c r="A9" s="432" t="s">
        <v>1061</v>
      </c>
      <c r="B9" s="433" t="s">
        <v>22</v>
      </c>
    </row>
    <row r="11" spans="1:3">
      <c r="A11" s="499" t="s">
        <v>1062</v>
      </c>
      <c r="B11" s="494"/>
      <c r="C11" s="494"/>
    </row>
    <row r="12" spans="1:3">
      <c r="A12" s="434" t="s">
        <v>1063</v>
      </c>
      <c r="B12" s="435" t="s">
        <v>1064</v>
      </c>
      <c r="C12" s="436" t="s">
        <v>463</v>
      </c>
    </row>
    <row r="13" spans="1:3">
      <c r="A13" s="434" t="s">
        <v>1065</v>
      </c>
      <c r="B13" s="435" t="s">
        <v>1066</v>
      </c>
      <c r="C13" s="436" t="s">
        <v>463</v>
      </c>
    </row>
    <row r="14" spans="1:3">
      <c r="A14" s="434" t="s">
        <v>1067</v>
      </c>
      <c r="B14" s="435" t="s">
        <v>1068</v>
      </c>
      <c r="C14" s="436" t="s">
        <v>463</v>
      </c>
    </row>
    <row r="15" spans="1:3">
      <c r="A15" s="434" t="s">
        <v>1069</v>
      </c>
      <c r="B15" s="435" t="s">
        <v>1070</v>
      </c>
      <c r="C15" s="436" t="s">
        <v>463</v>
      </c>
    </row>
    <row r="16" spans="1:3">
      <c r="A16" s="434" t="s">
        <v>1071</v>
      </c>
      <c r="B16" s="435" t="s">
        <v>1072</v>
      </c>
      <c r="C16" s="436" t="s">
        <v>463</v>
      </c>
    </row>
    <row r="17" spans="1:3">
      <c r="A17" s="434" t="s">
        <v>1073</v>
      </c>
      <c r="B17" s="435" t="s">
        <v>1074</v>
      </c>
      <c r="C17" s="436" t="s">
        <v>463</v>
      </c>
    </row>
    <row r="18" spans="1:3">
      <c r="A18" s="434" t="s">
        <v>1075</v>
      </c>
      <c r="B18" s="435" t="s">
        <v>1076</v>
      </c>
      <c r="C18" s="436" t="s">
        <v>463</v>
      </c>
    </row>
    <row r="19" spans="1:3">
      <c r="A19" s="434" t="s">
        <v>1077</v>
      </c>
      <c r="B19" s="435" t="s">
        <v>1078</v>
      </c>
      <c r="C19" s="436" t="s">
        <v>463</v>
      </c>
    </row>
    <row r="20" spans="1:3">
      <c r="A20" s="434" t="s">
        <v>1079</v>
      </c>
      <c r="B20" s="435" t="s">
        <v>1080</v>
      </c>
      <c r="C20" s="436" t="s">
        <v>463</v>
      </c>
    </row>
    <row r="21" spans="1:3">
      <c r="A21" s="434" t="s">
        <v>1081</v>
      </c>
      <c r="B21" s="435" t="s">
        <v>1082</v>
      </c>
      <c r="C21" s="436" t="s">
        <v>463</v>
      </c>
    </row>
    <row r="22" spans="1:3">
      <c r="A22" s="434" t="s">
        <v>1083</v>
      </c>
      <c r="B22" s="435" t="s">
        <v>1084</v>
      </c>
      <c r="C22" s="436" t="s">
        <v>463</v>
      </c>
    </row>
    <row r="24" spans="1:3">
      <c r="A24" s="499" t="s">
        <v>1085</v>
      </c>
      <c r="B24" s="494"/>
      <c r="C24" s="494"/>
    </row>
    <row r="25" spans="1:3">
      <c r="A25" s="434" t="s">
        <v>1086</v>
      </c>
      <c r="B25" s="435" t="s">
        <v>1087</v>
      </c>
      <c r="C25" s="437" t="s">
        <v>1088</v>
      </c>
    </row>
    <row r="26" spans="1:3">
      <c r="A26" s="434" t="s">
        <v>1089</v>
      </c>
      <c r="B26" s="435" t="s">
        <v>1090</v>
      </c>
      <c r="C26" s="437" t="s">
        <v>477</v>
      </c>
    </row>
    <row r="27" spans="1:3">
      <c r="A27" s="434" t="s">
        <v>1091</v>
      </c>
      <c r="B27" s="435" t="s">
        <v>1092</v>
      </c>
      <c r="C27" s="436" t="s">
        <v>472</v>
      </c>
    </row>
    <row r="28" spans="1:3">
      <c r="A28" s="434" t="s">
        <v>1093</v>
      </c>
      <c r="B28" s="435" t="s">
        <v>1094</v>
      </c>
      <c r="C28" s="436" t="s">
        <v>472</v>
      </c>
    </row>
    <row r="29" spans="1:3">
      <c r="A29" s="434" t="s">
        <v>1095</v>
      </c>
      <c r="B29" s="435" t="s">
        <v>1096</v>
      </c>
      <c r="C29" s="436" t="s">
        <v>472</v>
      </c>
    </row>
    <row r="30" spans="1:3">
      <c r="A30" s="434" t="s">
        <v>1097</v>
      </c>
      <c r="B30" s="435" t="s">
        <v>1098</v>
      </c>
      <c r="C30" s="437" t="s">
        <v>1088</v>
      </c>
    </row>
    <row r="31" spans="1:3">
      <c r="A31" s="434" t="s">
        <v>1099</v>
      </c>
      <c r="B31" s="435" t="s">
        <v>1100</v>
      </c>
      <c r="C31" s="436" t="s">
        <v>472</v>
      </c>
    </row>
    <row r="32" spans="1:3">
      <c r="A32" s="434" t="s">
        <v>1101</v>
      </c>
      <c r="B32" s="435" t="s">
        <v>1102</v>
      </c>
      <c r="C32" s="437" t="s">
        <v>477</v>
      </c>
    </row>
    <row r="33" spans="1:3">
      <c r="A33" s="434" t="s">
        <v>1103</v>
      </c>
      <c r="B33" s="435" t="s">
        <v>1104</v>
      </c>
      <c r="C33" s="437" t="s">
        <v>477</v>
      </c>
    </row>
    <row r="34" spans="1:3">
      <c r="A34" s="434" t="s">
        <v>1105</v>
      </c>
      <c r="B34" s="435" t="s">
        <v>1106</v>
      </c>
      <c r="C34" s="436" t="s">
        <v>1107</v>
      </c>
    </row>
    <row r="35" spans="1:3">
      <c r="A35" s="434" t="s">
        <v>1108</v>
      </c>
      <c r="B35" s="435" t="s">
        <v>1109</v>
      </c>
      <c r="C35" s="436" t="s">
        <v>1107</v>
      </c>
    </row>
    <row r="36" spans="1:3">
      <c r="A36" s="434" t="s">
        <v>1110</v>
      </c>
      <c r="B36" s="435" t="s">
        <v>1111</v>
      </c>
      <c r="C36" s="436" t="s">
        <v>1107</v>
      </c>
    </row>
    <row r="37" spans="1:3">
      <c r="A37" s="434" t="s">
        <v>1112</v>
      </c>
      <c r="B37" s="435" t="s">
        <v>1113</v>
      </c>
      <c r="C37" s="436" t="s">
        <v>1107</v>
      </c>
    </row>
    <row r="38" spans="1:3">
      <c r="A38" s="434" t="s">
        <v>1114</v>
      </c>
      <c r="B38" s="435" t="s">
        <v>1115</v>
      </c>
      <c r="C38" s="436" t="s">
        <v>472</v>
      </c>
    </row>
    <row r="39" spans="1:3">
      <c r="A39" s="434" t="s">
        <v>1116</v>
      </c>
      <c r="B39" s="435" t="s">
        <v>1117</v>
      </c>
      <c r="C39" s="436" t="s">
        <v>472</v>
      </c>
    </row>
    <row r="40" spans="1:3">
      <c r="A40" s="434" t="s">
        <v>1118</v>
      </c>
      <c r="B40" s="435" t="s">
        <v>1119</v>
      </c>
      <c r="C40" s="436" t="s">
        <v>472</v>
      </c>
    </row>
    <row r="41" spans="1:3">
      <c r="A41" s="434" t="s">
        <v>1120</v>
      </c>
      <c r="B41" s="435" t="s">
        <v>1121</v>
      </c>
      <c r="C41" s="436" t="s">
        <v>472</v>
      </c>
    </row>
    <row r="42" spans="1:3">
      <c r="A42" s="434" t="s">
        <v>1122</v>
      </c>
      <c r="B42" s="435" t="s">
        <v>1123</v>
      </c>
      <c r="C42" s="436" t="s">
        <v>472</v>
      </c>
    </row>
    <row r="44" spans="1:3">
      <c r="A44" s="499" t="s">
        <v>1124</v>
      </c>
      <c r="B44" s="494"/>
      <c r="C44" s="494"/>
    </row>
    <row r="45" spans="1:3" ht="24" customHeight="1">
      <c r="A45" s="434" t="s">
        <v>1125</v>
      </c>
      <c r="B45" s="435" t="s">
        <v>1126</v>
      </c>
      <c r="C45" s="436" t="s">
        <v>17</v>
      </c>
    </row>
    <row r="46" spans="1:3">
      <c r="A46" s="434" t="s">
        <v>1127</v>
      </c>
      <c r="B46" s="435" t="s">
        <v>1128</v>
      </c>
      <c r="C46" s="436" t="s">
        <v>17</v>
      </c>
    </row>
    <row r="47" spans="1:3">
      <c r="A47" s="434" t="s">
        <v>1129</v>
      </c>
      <c r="B47" s="435" t="s">
        <v>1130</v>
      </c>
      <c r="C47" s="436" t="s">
        <v>17</v>
      </c>
    </row>
    <row r="48" spans="1:3">
      <c r="A48" s="434" t="s">
        <v>1131</v>
      </c>
      <c r="B48" s="435" t="s">
        <v>1132</v>
      </c>
      <c r="C48" s="436" t="s">
        <v>17</v>
      </c>
    </row>
    <row r="49" spans="1:3">
      <c r="A49" s="434" t="s">
        <v>1133</v>
      </c>
      <c r="B49" s="435" t="s">
        <v>1134</v>
      </c>
      <c r="C49" s="436" t="s">
        <v>17</v>
      </c>
    </row>
    <row r="50" spans="1:3">
      <c r="A50" s="434" t="s">
        <v>1135</v>
      </c>
      <c r="B50" s="435" t="s">
        <v>1136</v>
      </c>
      <c r="C50" s="436" t="s">
        <v>17</v>
      </c>
    </row>
    <row r="52" spans="1:3">
      <c r="A52" s="499" t="s">
        <v>74</v>
      </c>
      <c r="B52" s="494"/>
      <c r="C52" s="494"/>
    </row>
    <row r="53" spans="1:3">
      <c r="A53" s="434" t="s">
        <v>1137</v>
      </c>
      <c r="B53" s="435" t="s">
        <v>1138</v>
      </c>
      <c r="C53" s="438" t="s">
        <v>74</v>
      </c>
    </row>
    <row r="54" spans="1:3">
      <c r="A54" s="434" t="s">
        <v>1139</v>
      </c>
      <c r="B54" s="435" t="s">
        <v>1140</v>
      </c>
      <c r="C54" s="438" t="s">
        <v>74</v>
      </c>
    </row>
    <row r="55" spans="1:3">
      <c r="A55" s="434" t="s">
        <v>1141</v>
      </c>
      <c r="B55" s="435" t="s">
        <v>1142</v>
      </c>
      <c r="C55" s="438" t="s">
        <v>74</v>
      </c>
    </row>
    <row r="56" spans="1:3">
      <c r="A56" s="434" t="s">
        <v>1143</v>
      </c>
      <c r="B56" s="435" t="s">
        <v>1144</v>
      </c>
      <c r="C56" s="438" t="s">
        <v>74</v>
      </c>
    </row>
  </sheetData>
  <mergeCells count="5">
    <mergeCell ref="A11:C11"/>
    <mergeCell ref="A44:C44"/>
    <mergeCell ref="A1:C1"/>
    <mergeCell ref="A24:C24"/>
    <mergeCell ref="A52:C5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33"/>
  <sheetViews>
    <sheetView workbookViewId="0"/>
  </sheetViews>
  <sheetFormatPr defaultRowHeight="15"/>
  <cols>
    <col min="1" max="1" width="32" customWidth="1"/>
    <col min="2" max="2" width="70" customWidth="1"/>
    <col min="3" max="3" width="12" customWidth="1"/>
  </cols>
  <sheetData>
    <row r="1" spans="1:3">
      <c r="A1" s="501" t="s">
        <v>1145</v>
      </c>
      <c r="B1" s="494"/>
      <c r="C1" s="494"/>
    </row>
    <row r="3" spans="1:3">
      <c r="A3" s="501" t="s">
        <v>1146</v>
      </c>
      <c r="B3" s="494"/>
      <c r="C3" s="494"/>
    </row>
    <row r="4" spans="1:3" ht="35.1" customHeight="1">
      <c r="A4" s="434" t="s">
        <v>1147</v>
      </c>
      <c r="B4" s="435" t="s">
        <v>1148</v>
      </c>
      <c r="C4" s="442" t="s">
        <v>1149</v>
      </c>
    </row>
    <row r="5" spans="1:3" ht="35.1" customHeight="1">
      <c r="A5" s="434" t="s">
        <v>1150</v>
      </c>
      <c r="B5" s="435" t="s">
        <v>1151</v>
      </c>
      <c r="C5" s="436" t="s">
        <v>17</v>
      </c>
    </row>
    <row r="6" spans="1:3" ht="35.1" customHeight="1">
      <c r="A6" s="434" t="s">
        <v>1152</v>
      </c>
      <c r="B6" s="435" t="s">
        <v>1153</v>
      </c>
      <c r="C6" s="436" t="s">
        <v>17</v>
      </c>
    </row>
    <row r="7" spans="1:3" ht="35.1" customHeight="1">
      <c r="A7" s="434" t="s">
        <v>1154</v>
      </c>
      <c r="B7" s="435" t="s">
        <v>1155</v>
      </c>
      <c r="C7" s="436" t="s">
        <v>17</v>
      </c>
    </row>
    <row r="8" spans="1:3" ht="35.1" customHeight="1">
      <c r="A8" s="434" t="s">
        <v>1156</v>
      </c>
      <c r="B8" s="435" t="s">
        <v>1157</v>
      </c>
      <c r="C8" s="436" t="s">
        <v>17</v>
      </c>
    </row>
    <row r="10" spans="1:3">
      <c r="A10" s="501" t="s">
        <v>1158</v>
      </c>
      <c r="B10" s="494"/>
      <c r="C10" s="494"/>
    </row>
    <row r="11" spans="1:3" ht="35.1" customHeight="1">
      <c r="A11" s="434" t="s">
        <v>1159</v>
      </c>
      <c r="B11" s="435" t="s">
        <v>1160</v>
      </c>
      <c r="C11" s="437" t="s">
        <v>477</v>
      </c>
    </row>
    <row r="12" spans="1:3" ht="35.1" customHeight="1">
      <c r="A12" s="434" t="s">
        <v>1161</v>
      </c>
      <c r="B12" s="435" t="s">
        <v>1162</v>
      </c>
      <c r="C12" s="436" t="s">
        <v>472</v>
      </c>
    </row>
    <row r="13" spans="1:3" ht="35.1" customHeight="1">
      <c r="A13" s="434" t="s">
        <v>1163</v>
      </c>
      <c r="B13" s="435" t="s">
        <v>1164</v>
      </c>
      <c r="C13" s="436" t="s">
        <v>17</v>
      </c>
    </row>
    <row r="14" spans="1:3" ht="35.1" customHeight="1">
      <c r="A14" s="434" t="s">
        <v>1165</v>
      </c>
      <c r="B14" s="435" t="s">
        <v>1166</v>
      </c>
      <c r="C14" s="436" t="s">
        <v>472</v>
      </c>
    </row>
    <row r="16" spans="1:3">
      <c r="A16" s="501" t="s">
        <v>1167</v>
      </c>
      <c r="B16" s="494"/>
      <c r="C16" s="494"/>
    </row>
    <row r="17" spans="1:3" ht="35.1" customHeight="1">
      <c r="A17" s="434" t="s">
        <v>1168</v>
      </c>
      <c r="B17" s="435" t="s">
        <v>1169</v>
      </c>
      <c r="C17" s="436" t="s">
        <v>17</v>
      </c>
    </row>
    <row r="18" spans="1:3" ht="35.1" customHeight="1">
      <c r="A18" s="434" t="s">
        <v>1170</v>
      </c>
      <c r="B18" s="435" t="s">
        <v>1171</v>
      </c>
      <c r="C18" s="436" t="s">
        <v>472</v>
      </c>
    </row>
    <row r="19" spans="1:3" ht="35.1" customHeight="1">
      <c r="A19" s="434" t="s">
        <v>1172</v>
      </c>
      <c r="B19" s="435" t="s">
        <v>1173</v>
      </c>
      <c r="C19" s="437" t="s">
        <v>477</v>
      </c>
    </row>
    <row r="21" spans="1:3">
      <c r="A21" s="501" t="s">
        <v>1174</v>
      </c>
      <c r="B21" s="494"/>
      <c r="C21" s="494"/>
    </row>
    <row r="22" spans="1:3" ht="35.1" customHeight="1">
      <c r="A22" s="434" t="s">
        <v>1175</v>
      </c>
      <c r="B22" s="435" t="s">
        <v>1176</v>
      </c>
      <c r="C22" s="438" t="s">
        <v>74</v>
      </c>
    </row>
    <row r="23" spans="1:3" ht="35.1" customHeight="1">
      <c r="A23" s="434" t="s">
        <v>1177</v>
      </c>
      <c r="B23" s="435" t="s">
        <v>1178</v>
      </c>
      <c r="C23" s="438" t="s">
        <v>74</v>
      </c>
    </row>
    <row r="24" spans="1:3" ht="35.1" customHeight="1">
      <c r="A24" s="434" t="s">
        <v>1179</v>
      </c>
      <c r="B24" s="435" t="s">
        <v>1180</v>
      </c>
      <c r="C24" s="438" t="s">
        <v>74</v>
      </c>
    </row>
    <row r="25" spans="1:3" ht="35.1" customHeight="1">
      <c r="A25" s="434" t="s">
        <v>1181</v>
      </c>
      <c r="B25" s="435" t="s">
        <v>1182</v>
      </c>
      <c r="C25" s="438" t="s">
        <v>74</v>
      </c>
    </row>
    <row r="27" spans="1:3">
      <c r="A27" s="501" t="s">
        <v>1183</v>
      </c>
      <c r="B27" s="494"/>
      <c r="C27" s="494"/>
    </row>
    <row r="28" spans="1:3" ht="30" customHeight="1">
      <c r="A28" s="432" t="s">
        <v>1184</v>
      </c>
      <c r="B28" s="502" t="s">
        <v>1185</v>
      </c>
      <c r="C28" s="494"/>
    </row>
    <row r="29" spans="1:3" ht="30" customHeight="1">
      <c r="A29" s="432" t="s">
        <v>749</v>
      </c>
      <c r="B29" s="502" t="s">
        <v>1186</v>
      </c>
      <c r="C29" s="494"/>
    </row>
    <row r="30" spans="1:3" ht="30" customHeight="1">
      <c r="A30" s="432" t="s">
        <v>1187</v>
      </c>
      <c r="B30" s="502" t="s">
        <v>1188</v>
      </c>
      <c r="C30" s="494"/>
    </row>
    <row r="31" spans="1:3" ht="30" customHeight="1">
      <c r="A31" s="432" t="s">
        <v>1189</v>
      </c>
      <c r="B31" s="502" t="s">
        <v>1190</v>
      </c>
      <c r="C31" s="494"/>
    </row>
    <row r="32" spans="1:3" ht="30" customHeight="1">
      <c r="A32" s="432" t="s">
        <v>1191</v>
      </c>
      <c r="B32" s="502" t="s">
        <v>1192</v>
      </c>
      <c r="C32" s="494"/>
    </row>
    <row r="33" spans="1:3" ht="30" customHeight="1">
      <c r="A33" s="432" t="s">
        <v>1193</v>
      </c>
      <c r="B33" s="502" t="s">
        <v>1194</v>
      </c>
      <c r="C33" s="494"/>
    </row>
  </sheetData>
  <mergeCells count="12">
    <mergeCell ref="A10:C10"/>
    <mergeCell ref="B30:C30"/>
    <mergeCell ref="B29:C29"/>
    <mergeCell ref="B33:C33"/>
    <mergeCell ref="A1:C1"/>
    <mergeCell ref="B28:C28"/>
    <mergeCell ref="A27:C27"/>
    <mergeCell ref="A3:C3"/>
    <mergeCell ref="A21:C21"/>
    <mergeCell ref="B31:C31"/>
    <mergeCell ref="B32:C32"/>
    <mergeCell ref="A16:C16"/>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43"/>
  <sheetViews>
    <sheetView workbookViewId="0"/>
  </sheetViews>
  <sheetFormatPr defaultRowHeight="15"/>
  <cols>
    <col min="1" max="1" width="22" customWidth="1"/>
    <col min="2" max="2" width="8" customWidth="1"/>
    <col min="3" max="3" width="70" customWidth="1"/>
    <col min="4" max="4" width="14" customWidth="1"/>
  </cols>
  <sheetData>
    <row r="1" spans="1:4" ht="20.100000000000001" customHeight="1">
      <c r="A1" s="503" t="s">
        <v>1195</v>
      </c>
      <c r="B1" s="494"/>
      <c r="C1" s="494"/>
      <c r="D1" s="494"/>
    </row>
    <row r="2" spans="1:4">
      <c r="A2" s="504" t="s">
        <v>1196</v>
      </c>
      <c r="B2" s="494"/>
      <c r="C2" s="494"/>
      <c r="D2" s="494"/>
    </row>
    <row r="4" spans="1:4">
      <c r="A4" s="439" t="s">
        <v>1197</v>
      </c>
      <c r="B4" s="439" t="s">
        <v>14</v>
      </c>
      <c r="C4" s="439" t="s">
        <v>189</v>
      </c>
      <c r="D4" s="439" t="s">
        <v>1198</v>
      </c>
    </row>
    <row r="5" spans="1:4" ht="39.950000000000003" customHeight="1">
      <c r="A5" s="432" t="s">
        <v>1199</v>
      </c>
      <c r="B5" s="436" t="s">
        <v>813</v>
      </c>
      <c r="C5" s="435" t="s">
        <v>1200</v>
      </c>
      <c r="D5" s="440" t="s">
        <v>1201</v>
      </c>
    </row>
    <row r="6" spans="1:4" ht="39.950000000000003" customHeight="1">
      <c r="A6" s="432" t="s">
        <v>1202</v>
      </c>
      <c r="B6" s="436" t="s">
        <v>813</v>
      </c>
      <c r="C6" s="435" t="s">
        <v>1203</v>
      </c>
      <c r="D6" s="440" t="s">
        <v>1204</v>
      </c>
    </row>
    <row r="7" spans="1:4" ht="39.950000000000003" customHeight="1">
      <c r="A7" s="432" t="s">
        <v>817</v>
      </c>
      <c r="B7" s="438" t="s">
        <v>1205</v>
      </c>
      <c r="C7" s="435" t="s">
        <v>1206</v>
      </c>
      <c r="D7" s="440" t="s">
        <v>1207</v>
      </c>
    </row>
    <row r="8" spans="1:4" ht="39.950000000000003" customHeight="1">
      <c r="A8" s="432" t="s">
        <v>812</v>
      </c>
      <c r="B8" s="441" t="s">
        <v>1208</v>
      </c>
      <c r="C8" s="435" t="s">
        <v>1209</v>
      </c>
      <c r="D8" s="440" t="s">
        <v>1210</v>
      </c>
    </row>
    <row r="9" spans="1:4" ht="39.950000000000003" customHeight="1">
      <c r="A9" s="432" t="s">
        <v>815</v>
      </c>
      <c r="B9" s="438" t="s">
        <v>1211</v>
      </c>
      <c r="C9" s="435" t="s">
        <v>1212</v>
      </c>
      <c r="D9" s="440" t="s">
        <v>1213</v>
      </c>
    </row>
    <row r="10" spans="1:4" ht="39.950000000000003" customHeight="1">
      <c r="A10" s="432" t="s">
        <v>816</v>
      </c>
      <c r="B10" s="436" t="s">
        <v>813</v>
      </c>
      <c r="C10" s="435" t="s">
        <v>1214</v>
      </c>
      <c r="D10" s="440" t="s">
        <v>1210</v>
      </c>
    </row>
    <row r="11" spans="1:4" ht="39.950000000000003" customHeight="1">
      <c r="A11" s="432" t="s">
        <v>1215</v>
      </c>
      <c r="B11" s="441" t="s">
        <v>1208</v>
      </c>
      <c r="C11" s="435" t="s">
        <v>1216</v>
      </c>
      <c r="D11" s="440" t="s">
        <v>1210</v>
      </c>
    </row>
    <row r="12" spans="1:4" ht="39.950000000000003" customHeight="1">
      <c r="A12" s="432" t="s">
        <v>1217</v>
      </c>
      <c r="B12" s="442" t="s">
        <v>1218</v>
      </c>
      <c r="C12" s="435" t="s">
        <v>1219</v>
      </c>
      <c r="D12" s="440" t="s">
        <v>1220</v>
      </c>
    </row>
    <row r="13" spans="1:4" ht="39.950000000000003" customHeight="1">
      <c r="A13" s="432" t="s">
        <v>834</v>
      </c>
      <c r="B13" s="438" t="s">
        <v>1211</v>
      </c>
      <c r="C13" s="435" t="s">
        <v>1221</v>
      </c>
      <c r="D13" s="440" t="s">
        <v>1222</v>
      </c>
    </row>
    <row r="14" spans="1:4" ht="39.950000000000003" customHeight="1">
      <c r="A14" s="432" t="s">
        <v>819</v>
      </c>
      <c r="B14" s="436" t="s">
        <v>813</v>
      </c>
      <c r="C14" s="435" t="s">
        <v>1223</v>
      </c>
      <c r="D14" s="440" t="s">
        <v>1210</v>
      </c>
    </row>
    <row r="15" spans="1:4" ht="39.950000000000003" customHeight="1">
      <c r="A15" s="432" t="s">
        <v>1224</v>
      </c>
      <c r="B15" s="438" t="s">
        <v>1205</v>
      </c>
      <c r="C15" s="435" t="s">
        <v>1225</v>
      </c>
      <c r="D15" s="440" t="s">
        <v>1210</v>
      </c>
    </row>
    <row r="16" spans="1:4" ht="39.950000000000003" customHeight="1">
      <c r="A16" s="432" t="s">
        <v>394</v>
      </c>
      <c r="B16" s="442" t="s">
        <v>1218</v>
      </c>
      <c r="C16" s="435" t="s">
        <v>1226</v>
      </c>
      <c r="D16" s="440" t="s">
        <v>1227</v>
      </c>
    </row>
    <row r="17" spans="1:4" ht="39.950000000000003" customHeight="1">
      <c r="A17" s="432" t="s">
        <v>820</v>
      </c>
      <c r="B17" s="436" t="s">
        <v>813</v>
      </c>
      <c r="C17" s="435" t="s">
        <v>1228</v>
      </c>
      <c r="D17" s="440" t="s">
        <v>1210</v>
      </c>
    </row>
    <row r="18" spans="1:4" ht="39.950000000000003" customHeight="1">
      <c r="A18" s="432" t="s">
        <v>824</v>
      </c>
      <c r="B18" s="438" t="s">
        <v>1211</v>
      </c>
      <c r="C18" s="435" t="s">
        <v>1229</v>
      </c>
      <c r="D18" s="440" t="s">
        <v>1230</v>
      </c>
    </row>
    <row r="19" spans="1:4" ht="39.950000000000003" customHeight="1">
      <c r="A19" s="432" t="s">
        <v>854</v>
      </c>
      <c r="B19" s="442" t="s">
        <v>1231</v>
      </c>
      <c r="C19" s="435" t="s">
        <v>1232</v>
      </c>
      <c r="D19" s="440" t="s">
        <v>1233</v>
      </c>
    </row>
    <row r="20" spans="1:4" ht="39.950000000000003" customHeight="1">
      <c r="A20" s="432" t="s">
        <v>837</v>
      </c>
      <c r="B20" s="436" t="s">
        <v>813</v>
      </c>
      <c r="C20" s="435" t="s">
        <v>1234</v>
      </c>
      <c r="D20" s="440" t="s">
        <v>1210</v>
      </c>
    </row>
    <row r="21" spans="1:4" ht="39.950000000000003" customHeight="1">
      <c r="A21" s="432" t="s">
        <v>830</v>
      </c>
      <c r="B21" s="442" t="s">
        <v>1218</v>
      </c>
      <c r="C21" s="435" t="s">
        <v>1235</v>
      </c>
      <c r="D21" s="440" t="s">
        <v>1236</v>
      </c>
    </row>
    <row r="22" spans="1:4" ht="39.950000000000003" customHeight="1">
      <c r="A22" s="432" t="s">
        <v>1237</v>
      </c>
      <c r="B22" s="442" t="s">
        <v>1218</v>
      </c>
      <c r="C22" s="435" t="s">
        <v>1238</v>
      </c>
      <c r="D22" s="440" t="s">
        <v>1239</v>
      </c>
    </row>
    <row r="23" spans="1:4" ht="39.950000000000003" customHeight="1">
      <c r="A23" s="432" t="s">
        <v>858</v>
      </c>
      <c r="B23" s="441" t="s">
        <v>1208</v>
      </c>
      <c r="C23" s="435" t="s">
        <v>1240</v>
      </c>
      <c r="D23" s="440" t="s">
        <v>1210</v>
      </c>
    </row>
    <row r="24" spans="1:4" ht="39.950000000000003" customHeight="1">
      <c r="A24" s="432" t="s">
        <v>850</v>
      </c>
      <c r="B24" s="438" t="s">
        <v>1211</v>
      </c>
      <c r="C24" s="435" t="s">
        <v>1241</v>
      </c>
      <c r="D24" s="440" t="s">
        <v>1242</v>
      </c>
    </row>
    <row r="25" spans="1:4" ht="39.950000000000003" customHeight="1">
      <c r="A25" s="432" t="s">
        <v>856</v>
      </c>
      <c r="B25" s="436" t="s">
        <v>813</v>
      </c>
      <c r="C25" s="435" t="s">
        <v>1243</v>
      </c>
      <c r="D25" s="440" t="s">
        <v>1210</v>
      </c>
    </row>
    <row r="26" spans="1:4" ht="39.950000000000003" customHeight="1">
      <c r="A26" s="432" t="s">
        <v>1244</v>
      </c>
      <c r="B26" s="438" t="s">
        <v>1211</v>
      </c>
      <c r="C26" s="435" t="s">
        <v>1245</v>
      </c>
      <c r="D26" s="440" t="s">
        <v>1246</v>
      </c>
    </row>
    <row r="27" spans="1:4" ht="39.950000000000003" customHeight="1">
      <c r="A27" s="432" t="s">
        <v>1247</v>
      </c>
      <c r="B27" s="442" t="s">
        <v>1218</v>
      </c>
      <c r="C27" s="435" t="s">
        <v>1248</v>
      </c>
      <c r="D27" s="440" t="s">
        <v>1239</v>
      </c>
    </row>
    <row r="29" spans="1:4" ht="20.100000000000001" customHeight="1">
      <c r="A29" s="503" t="s">
        <v>1249</v>
      </c>
      <c r="B29" s="494"/>
      <c r="C29" s="494"/>
      <c r="D29" s="494"/>
    </row>
    <row r="30" spans="1:4">
      <c r="A30" s="432" t="s">
        <v>813</v>
      </c>
      <c r="B30" s="433">
        <v>9</v>
      </c>
      <c r="C30" s="433" t="s">
        <v>1250</v>
      </c>
    </row>
    <row r="31" spans="1:4">
      <c r="A31" s="432" t="s">
        <v>1251</v>
      </c>
      <c r="B31" s="433">
        <v>3</v>
      </c>
      <c r="C31" s="433" t="s">
        <v>1252</v>
      </c>
    </row>
    <row r="32" spans="1:4">
      <c r="A32" s="432" t="s">
        <v>1211</v>
      </c>
      <c r="B32" s="433">
        <v>5</v>
      </c>
      <c r="C32" s="433" t="s">
        <v>1253</v>
      </c>
    </row>
    <row r="33" spans="1:4">
      <c r="A33" s="432" t="s">
        <v>1218</v>
      </c>
      <c r="B33" s="433">
        <v>4</v>
      </c>
      <c r="C33" s="433" t="s">
        <v>1254</v>
      </c>
    </row>
    <row r="34" spans="1:4">
      <c r="A34" s="432" t="s">
        <v>1231</v>
      </c>
      <c r="B34" s="433">
        <v>1</v>
      </c>
      <c r="C34" s="433" t="s">
        <v>1255</v>
      </c>
    </row>
    <row r="35" spans="1:4">
      <c r="A35" s="432" t="s">
        <v>1205</v>
      </c>
      <c r="B35" s="433">
        <v>1</v>
      </c>
      <c r="C35" s="433" t="s">
        <v>1255</v>
      </c>
    </row>
    <row r="37" spans="1:4" ht="20.100000000000001" customHeight="1">
      <c r="A37" s="503" t="s">
        <v>1256</v>
      </c>
      <c r="B37" s="494"/>
      <c r="C37" s="494"/>
      <c r="D37" s="494"/>
    </row>
    <row r="38" spans="1:4" ht="35.1" customHeight="1">
      <c r="A38" s="432" t="s">
        <v>1257</v>
      </c>
      <c r="B38" s="502" t="s">
        <v>1258</v>
      </c>
      <c r="C38" s="494"/>
      <c r="D38" s="494"/>
    </row>
    <row r="39" spans="1:4" ht="35.1" customHeight="1">
      <c r="A39" s="432" t="s">
        <v>1198</v>
      </c>
      <c r="B39" s="502" t="s">
        <v>1259</v>
      </c>
      <c r="C39" s="494"/>
      <c r="D39" s="494"/>
    </row>
    <row r="40" spans="1:4" ht="35.1" customHeight="1">
      <c r="A40" s="432" t="s">
        <v>1260</v>
      </c>
      <c r="B40" s="502" t="s">
        <v>1261</v>
      </c>
      <c r="C40" s="494"/>
      <c r="D40" s="494"/>
    </row>
    <row r="41" spans="1:4" ht="35.1" customHeight="1">
      <c r="A41" s="432" t="s">
        <v>1262</v>
      </c>
      <c r="B41" s="502" t="s">
        <v>1263</v>
      </c>
      <c r="C41" s="494"/>
      <c r="D41" s="494"/>
    </row>
    <row r="42" spans="1:4" ht="35.1" customHeight="1">
      <c r="A42" s="432" t="s">
        <v>1264</v>
      </c>
      <c r="B42" s="502" t="s">
        <v>1265</v>
      </c>
      <c r="C42" s="494"/>
      <c r="D42" s="494"/>
    </row>
    <row r="43" spans="1:4" ht="35.1" customHeight="1">
      <c r="A43" s="432" t="s">
        <v>1266</v>
      </c>
      <c r="B43" s="502" t="s">
        <v>1267</v>
      </c>
      <c r="C43" s="494"/>
      <c r="D43" s="494"/>
    </row>
  </sheetData>
  <mergeCells count="10">
    <mergeCell ref="B43:D43"/>
    <mergeCell ref="B39:D39"/>
    <mergeCell ref="B38:D38"/>
    <mergeCell ref="A1:D1"/>
    <mergeCell ref="A37:D37"/>
    <mergeCell ref="B42:D42"/>
    <mergeCell ref="B41:D41"/>
    <mergeCell ref="B40:D40"/>
    <mergeCell ref="A29:D29"/>
    <mergeCell ref="A2:D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69"/>
  <sheetViews>
    <sheetView tabSelected="1" workbookViewId="0">
      <selection sqref="A1:C1"/>
    </sheetView>
  </sheetViews>
  <sheetFormatPr defaultRowHeight="15"/>
  <cols>
    <col min="1" max="1" width="38" customWidth="1"/>
    <col min="2" max="2" width="60" customWidth="1"/>
    <col min="3" max="3" width="18" customWidth="1"/>
  </cols>
  <sheetData>
    <row r="1" spans="1:3" ht="36" customHeight="1">
      <c r="A1" s="425" t="s">
        <v>1268</v>
      </c>
      <c r="B1" s="425"/>
      <c r="C1" s="425"/>
    </row>
    <row r="3" spans="1:3">
      <c r="A3" s="426" t="s">
        <v>1</v>
      </c>
      <c r="B3" s="427" t="s">
        <v>2</v>
      </c>
    </row>
    <row r="4" spans="1:3">
      <c r="A4" s="426" t="s">
        <v>3</v>
      </c>
      <c r="B4" s="427" t="s">
        <v>4</v>
      </c>
    </row>
    <row r="5" spans="1:3">
      <c r="A5" s="426" t="s">
        <v>1269</v>
      </c>
      <c r="B5" s="427" t="s">
        <v>1270</v>
      </c>
    </row>
    <row r="6" spans="1:3">
      <c r="A6" s="426" t="s">
        <v>802</v>
      </c>
      <c r="B6" s="427" t="s">
        <v>1271</v>
      </c>
    </row>
    <row r="7" spans="1:3">
      <c r="A7" s="426" t="s">
        <v>1272</v>
      </c>
      <c r="B7" s="427" t="s">
        <v>24</v>
      </c>
    </row>
    <row r="8" spans="1:3">
      <c r="A8" s="426" t="s">
        <v>1273</v>
      </c>
      <c r="B8" s="427" t="s">
        <v>20</v>
      </c>
    </row>
    <row r="9" spans="1:3">
      <c r="A9" s="426" t="s">
        <v>1274</v>
      </c>
      <c r="B9" s="427" t="s">
        <v>1275</v>
      </c>
    </row>
    <row r="10" spans="1:3">
      <c r="A10" s="426" t="s">
        <v>1276</v>
      </c>
      <c r="B10" s="427" t="s">
        <v>1277</v>
      </c>
    </row>
    <row r="12" spans="1:3">
      <c r="A12" s="428" t="s">
        <v>1278</v>
      </c>
      <c r="B12" s="428"/>
      <c r="C12" s="428"/>
    </row>
    <row r="13" spans="1:3" ht="25.5" customHeight="1">
      <c r="A13" s="427" t="s">
        <v>1199</v>
      </c>
      <c r="B13" s="427" t="s">
        <v>1279</v>
      </c>
      <c r="C13" s="429" t="s">
        <v>463</v>
      </c>
    </row>
    <row r="14" spans="1:3" ht="25.5" customHeight="1">
      <c r="A14" s="427" t="s">
        <v>1280</v>
      </c>
      <c r="B14" s="427" t="s">
        <v>1281</v>
      </c>
      <c r="C14" s="429" t="s">
        <v>463</v>
      </c>
    </row>
    <row r="15" spans="1:3" ht="25.5" customHeight="1">
      <c r="A15" s="427" t="s">
        <v>816</v>
      </c>
      <c r="B15" s="427" t="s">
        <v>1282</v>
      </c>
      <c r="C15" s="429" t="s">
        <v>463</v>
      </c>
    </row>
    <row r="16" spans="1:3" ht="25.5" customHeight="1">
      <c r="A16" s="427" t="s">
        <v>814</v>
      </c>
      <c r="B16" s="427" t="s">
        <v>1283</v>
      </c>
      <c r="C16" s="429" t="s">
        <v>463</v>
      </c>
    </row>
    <row r="17" spans="1:3">
      <c r="A17" s="427" t="s">
        <v>819</v>
      </c>
      <c r="B17" s="427" t="s">
        <v>1284</v>
      </c>
      <c r="C17" s="429" t="s">
        <v>463</v>
      </c>
    </row>
    <row r="18" spans="1:3">
      <c r="A18" s="427" t="s">
        <v>812</v>
      </c>
      <c r="B18" s="427" t="s">
        <v>1285</v>
      </c>
      <c r="C18" s="429" t="s">
        <v>463</v>
      </c>
    </row>
    <row r="19" spans="1:3" ht="25.5" customHeight="1">
      <c r="A19" s="427" t="s">
        <v>1286</v>
      </c>
      <c r="B19" s="427" t="s">
        <v>1287</v>
      </c>
      <c r="C19" s="429" t="s">
        <v>463</v>
      </c>
    </row>
    <row r="20" spans="1:3">
      <c r="A20" s="427" t="s">
        <v>1288</v>
      </c>
      <c r="B20" s="427" t="s">
        <v>1289</v>
      </c>
      <c r="C20" s="429" t="s">
        <v>463</v>
      </c>
    </row>
    <row r="21" spans="1:3" ht="25.5" customHeight="1">
      <c r="A21" s="427" t="s">
        <v>1290</v>
      </c>
      <c r="B21" s="427" t="s">
        <v>1291</v>
      </c>
      <c r="C21" s="429" t="s">
        <v>463</v>
      </c>
    </row>
    <row r="22" spans="1:3">
      <c r="A22" s="427" t="s">
        <v>1292</v>
      </c>
      <c r="B22" s="427" t="s">
        <v>1293</v>
      </c>
      <c r="C22" s="429" t="s">
        <v>463</v>
      </c>
    </row>
    <row r="23" spans="1:3">
      <c r="A23" s="427" t="s">
        <v>1294</v>
      </c>
      <c r="B23" s="427" t="s">
        <v>1295</v>
      </c>
      <c r="C23" s="430" t="s">
        <v>1149</v>
      </c>
    </row>
    <row r="24" spans="1:3" ht="25.5" customHeight="1">
      <c r="A24" s="427" t="s">
        <v>1296</v>
      </c>
      <c r="B24" s="427" t="s">
        <v>1297</v>
      </c>
      <c r="C24" s="429" t="s">
        <v>463</v>
      </c>
    </row>
    <row r="25" spans="1:3">
      <c r="A25" s="427" t="s">
        <v>856</v>
      </c>
      <c r="B25" s="427" t="s">
        <v>1298</v>
      </c>
      <c r="C25" s="431" t="s">
        <v>1299</v>
      </c>
    </row>
    <row r="26" spans="1:3">
      <c r="A26" s="427" t="s">
        <v>824</v>
      </c>
      <c r="B26" s="427" t="s">
        <v>1300</v>
      </c>
      <c r="C26" s="429" t="s">
        <v>463</v>
      </c>
    </row>
    <row r="28" spans="1:3">
      <c r="A28" s="428" t="s">
        <v>1301</v>
      </c>
      <c r="B28" s="428"/>
      <c r="C28" s="428"/>
    </row>
    <row r="29" spans="1:3" ht="25.5" customHeight="1">
      <c r="A29" s="427" t="s">
        <v>1302</v>
      </c>
      <c r="B29" s="427" t="s">
        <v>1303</v>
      </c>
      <c r="C29" s="429" t="s">
        <v>472</v>
      </c>
    </row>
    <row r="30" spans="1:3" ht="25.5" customHeight="1">
      <c r="A30" s="427" t="s">
        <v>1304</v>
      </c>
      <c r="B30" s="427" t="s">
        <v>1305</v>
      </c>
      <c r="C30" s="429" t="s">
        <v>1306</v>
      </c>
    </row>
    <row r="31" spans="1:3" ht="25.5" customHeight="1">
      <c r="A31" s="427" t="s">
        <v>1307</v>
      </c>
      <c r="B31" s="427" t="s">
        <v>1308</v>
      </c>
      <c r="C31" s="429" t="s">
        <v>472</v>
      </c>
    </row>
    <row r="32" spans="1:3">
      <c r="A32" s="427" t="s">
        <v>1309</v>
      </c>
      <c r="B32" s="427" t="s">
        <v>1310</v>
      </c>
      <c r="C32" s="429" t="s">
        <v>472</v>
      </c>
    </row>
    <row r="33" spans="1:3">
      <c r="A33" s="427" t="s">
        <v>1311</v>
      </c>
      <c r="B33" s="427" t="s">
        <v>1312</v>
      </c>
      <c r="C33" s="429" t="s">
        <v>472</v>
      </c>
    </row>
    <row r="34" spans="1:3">
      <c r="A34" s="427" t="s">
        <v>1313</v>
      </c>
      <c r="B34" s="427" t="s">
        <v>1314</v>
      </c>
      <c r="C34" s="429" t="s">
        <v>1107</v>
      </c>
    </row>
    <row r="35" spans="1:3">
      <c r="A35" s="427" t="s">
        <v>1315</v>
      </c>
      <c r="B35" s="427" t="s">
        <v>1316</v>
      </c>
      <c r="C35" s="429" t="s">
        <v>1107</v>
      </c>
    </row>
    <row r="36" spans="1:3">
      <c r="A36" s="427" t="s">
        <v>1317</v>
      </c>
      <c r="B36" s="427" t="s">
        <v>1318</v>
      </c>
      <c r="C36" s="429" t="s">
        <v>1107</v>
      </c>
    </row>
    <row r="37" spans="1:3" ht="25.5" customHeight="1">
      <c r="A37" s="427" t="s">
        <v>1319</v>
      </c>
      <c r="B37" s="427" t="s">
        <v>1320</v>
      </c>
      <c r="C37" s="429" t="s">
        <v>1321</v>
      </c>
    </row>
    <row r="38" spans="1:3">
      <c r="A38" s="427" t="s">
        <v>1322</v>
      </c>
      <c r="B38" s="427" t="s">
        <v>1323</v>
      </c>
      <c r="C38" s="429" t="s">
        <v>1324</v>
      </c>
    </row>
    <row r="39" spans="1:3">
      <c r="A39" s="427" t="s">
        <v>1325</v>
      </c>
      <c r="B39" s="427" t="s">
        <v>1326</v>
      </c>
      <c r="C39" s="429" t="s">
        <v>1327</v>
      </c>
    </row>
    <row r="40" spans="1:3">
      <c r="A40" s="427" t="s">
        <v>1328</v>
      </c>
      <c r="B40" s="427" t="s">
        <v>1329</v>
      </c>
      <c r="C40" s="429" t="s">
        <v>1330</v>
      </c>
    </row>
    <row r="42" spans="1:3">
      <c r="A42" s="428" t="s">
        <v>1331</v>
      </c>
      <c r="B42" s="428"/>
      <c r="C42" s="428"/>
    </row>
    <row r="43" spans="1:3" ht="25.5" customHeight="1">
      <c r="A43" s="427" t="s">
        <v>1332</v>
      </c>
      <c r="B43" s="427" t="s">
        <v>1333</v>
      </c>
      <c r="C43" s="429" t="s">
        <v>1334</v>
      </c>
    </row>
    <row r="44" spans="1:3" ht="25.5" customHeight="1">
      <c r="A44" s="427" t="s">
        <v>1335</v>
      </c>
      <c r="B44" s="427" t="s">
        <v>1336</v>
      </c>
      <c r="C44" s="429" t="s">
        <v>1334</v>
      </c>
    </row>
    <row r="45" spans="1:3" ht="25.5" customHeight="1">
      <c r="A45" s="427" t="s">
        <v>823</v>
      </c>
      <c r="B45" s="427" t="s">
        <v>1337</v>
      </c>
      <c r="C45" s="429" t="s">
        <v>1330</v>
      </c>
    </row>
    <row r="46" spans="1:3" ht="25.5" customHeight="1">
      <c r="A46" s="427" t="s">
        <v>1338</v>
      </c>
      <c r="B46" s="427" t="s">
        <v>1339</v>
      </c>
      <c r="C46" s="429" t="s">
        <v>11</v>
      </c>
    </row>
    <row r="47" spans="1:3" ht="25.5" customHeight="1">
      <c r="A47" s="427" t="s">
        <v>1340</v>
      </c>
      <c r="B47" s="427" t="s">
        <v>1341</v>
      </c>
      <c r="C47" s="429" t="s">
        <v>11</v>
      </c>
    </row>
    <row r="48" spans="1:3" ht="25.5" customHeight="1">
      <c r="A48" s="427" t="s">
        <v>1342</v>
      </c>
      <c r="B48" s="427" t="s">
        <v>1343</v>
      </c>
      <c r="C48" s="429" t="s">
        <v>11</v>
      </c>
    </row>
    <row r="49" spans="1:3">
      <c r="A49" s="427" t="s">
        <v>1344</v>
      </c>
      <c r="B49" s="427" t="s">
        <v>1345</v>
      </c>
      <c r="C49" s="429" t="s">
        <v>11</v>
      </c>
    </row>
    <row r="50" spans="1:3" ht="25.5" customHeight="1">
      <c r="A50" s="427" t="s">
        <v>1346</v>
      </c>
      <c r="B50" s="427" t="s">
        <v>1347</v>
      </c>
      <c r="C50" s="429" t="s">
        <v>11</v>
      </c>
    </row>
    <row r="51" spans="1:3">
      <c r="A51" s="427" t="s">
        <v>1348</v>
      </c>
      <c r="B51" s="427" t="s">
        <v>1349</v>
      </c>
      <c r="C51" s="429" t="s">
        <v>11</v>
      </c>
    </row>
    <row r="52" spans="1:3">
      <c r="A52" s="427" t="s">
        <v>1350</v>
      </c>
      <c r="B52" s="427" t="s">
        <v>1351</v>
      </c>
      <c r="C52" s="429" t="s">
        <v>11</v>
      </c>
    </row>
    <row r="53" spans="1:3" ht="25.5" customHeight="1">
      <c r="A53" s="427" t="s">
        <v>1352</v>
      </c>
      <c r="B53" s="427" t="s">
        <v>1353</v>
      </c>
      <c r="C53" s="429" t="s">
        <v>1354</v>
      </c>
    </row>
    <row r="54" spans="1:3" ht="25.5" customHeight="1">
      <c r="A54" s="427" t="s">
        <v>1355</v>
      </c>
      <c r="B54" s="427" t="s">
        <v>1356</v>
      </c>
      <c r="C54" s="429" t="s">
        <v>1354</v>
      </c>
    </row>
    <row r="56" spans="1:3">
      <c r="A56" s="428" t="s">
        <v>459</v>
      </c>
      <c r="B56" s="428"/>
      <c r="C56" s="428"/>
    </row>
    <row r="57" spans="1:3" ht="25.5" customHeight="1">
      <c r="A57" s="427" t="s">
        <v>1357</v>
      </c>
      <c r="B57" s="427" t="s">
        <v>1358</v>
      </c>
      <c r="C57" s="429" t="s">
        <v>1359</v>
      </c>
    </row>
    <row r="58" spans="1:3" ht="25.5" customHeight="1">
      <c r="A58" s="427" t="s">
        <v>1360</v>
      </c>
      <c r="B58" s="427" t="s">
        <v>1361</v>
      </c>
      <c r="C58" s="429" t="s">
        <v>1324</v>
      </c>
    </row>
    <row r="59" spans="1:3">
      <c r="A59" s="427" t="s">
        <v>1362</v>
      </c>
      <c r="B59" s="427" t="s">
        <v>1363</v>
      </c>
      <c r="C59" s="429" t="s">
        <v>1324</v>
      </c>
    </row>
    <row r="60" spans="1:3">
      <c r="A60" s="427" t="s">
        <v>1364</v>
      </c>
      <c r="B60" s="427" t="s">
        <v>1365</v>
      </c>
      <c r="C60" s="429" t="s">
        <v>1334</v>
      </c>
    </row>
    <row r="61" spans="1:3">
      <c r="A61" s="427" t="s">
        <v>1366</v>
      </c>
      <c r="B61" s="427" t="s">
        <v>1367</v>
      </c>
      <c r="C61" s="429" t="s">
        <v>1334</v>
      </c>
    </row>
    <row r="63" spans="1:3">
      <c r="A63" s="428" t="s">
        <v>1368</v>
      </c>
      <c r="B63" s="428"/>
      <c r="C63" s="428"/>
    </row>
    <row r="64" spans="1:3">
      <c r="A64" s="431" t="s">
        <v>74</v>
      </c>
      <c r="B64" s="427" t="s">
        <v>1369</v>
      </c>
    </row>
    <row r="65" spans="1:2">
      <c r="A65" s="431" t="s">
        <v>74</v>
      </c>
      <c r="B65" s="427" t="s">
        <v>1370</v>
      </c>
    </row>
    <row r="66" spans="1:2">
      <c r="A66" s="431" t="s">
        <v>74</v>
      </c>
      <c r="B66" s="427" t="s">
        <v>1371</v>
      </c>
    </row>
    <row r="67" spans="1:2">
      <c r="A67" s="431" t="s">
        <v>74</v>
      </c>
      <c r="B67" s="427" t="s">
        <v>1372</v>
      </c>
    </row>
    <row r="68" spans="1:2">
      <c r="A68" s="431" t="s">
        <v>74</v>
      </c>
      <c r="B68" s="427" t="s">
        <v>1373</v>
      </c>
    </row>
    <row r="69" spans="1:2" ht="25.5" customHeight="1">
      <c r="A69" s="431" t="s">
        <v>74</v>
      </c>
      <c r="B69" s="427" t="s">
        <v>1374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71"/>
  <sheetViews>
    <sheetView workbookViewId="0"/>
  </sheetViews>
  <sheetFormatPr defaultRowHeight="15"/>
  <cols>
    <col min="1" max="1" width="35" customWidth="1"/>
    <col min="2" max="2" width="55" customWidth="1"/>
    <col min="3" max="3" width="20" customWidth="1"/>
    <col min="4" max="4" width="15" customWidth="1"/>
  </cols>
  <sheetData>
    <row r="1" spans="1:4" ht="18.75" customHeight="1">
      <c r="A1" s="505" t="s">
        <v>1375</v>
      </c>
      <c r="B1" s="494"/>
      <c r="C1" s="494"/>
      <c r="D1" s="494"/>
    </row>
    <row r="3" spans="1:4">
      <c r="A3" s="420" t="s">
        <v>1</v>
      </c>
      <c r="B3" s="421" t="s">
        <v>2</v>
      </c>
    </row>
    <row r="4" spans="1:4">
      <c r="A4" s="420" t="s">
        <v>1376</v>
      </c>
      <c r="B4" s="421" t="s">
        <v>1377</v>
      </c>
    </row>
    <row r="5" spans="1:4">
      <c r="A5" s="420" t="s">
        <v>1378</v>
      </c>
      <c r="B5" s="421" t="s">
        <v>1379</v>
      </c>
    </row>
    <row r="6" spans="1:4">
      <c r="A6" s="420" t="s">
        <v>1380</v>
      </c>
      <c r="B6" s="421" t="s">
        <v>1381</v>
      </c>
    </row>
    <row r="7" spans="1:4">
      <c r="A7" s="420" t="s">
        <v>1382</v>
      </c>
      <c r="B7" s="421" t="s">
        <v>1383</v>
      </c>
    </row>
    <row r="8" spans="1:4">
      <c r="A8" s="420" t="s">
        <v>309</v>
      </c>
      <c r="B8" s="421" t="s">
        <v>1384</v>
      </c>
    </row>
    <row r="10" spans="1:4" ht="18.75" customHeight="1">
      <c r="A10" s="508" t="s">
        <v>1385</v>
      </c>
      <c r="B10" s="494"/>
      <c r="C10" s="494"/>
      <c r="D10" s="494"/>
    </row>
    <row r="11" spans="1:4">
      <c r="A11" s="420" t="s">
        <v>12</v>
      </c>
      <c r="B11" s="421" t="s">
        <v>1386</v>
      </c>
      <c r="C11" s="421" t="s">
        <v>1387</v>
      </c>
      <c r="D11" s="421" t="s">
        <v>14</v>
      </c>
    </row>
    <row r="12" spans="1:4">
      <c r="A12" s="421" t="s">
        <v>15</v>
      </c>
      <c r="B12" s="421" t="s">
        <v>1388</v>
      </c>
      <c r="C12" s="421" t="s">
        <v>1389</v>
      </c>
      <c r="D12" s="422" t="s">
        <v>463</v>
      </c>
    </row>
    <row r="13" spans="1:4">
      <c r="A13" s="421" t="s">
        <v>18</v>
      </c>
      <c r="B13" s="421" t="s">
        <v>1390</v>
      </c>
      <c r="C13" s="421" t="s">
        <v>1391</v>
      </c>
      <c r="D13" s="422" t="s">
        <v>463</v>
      </c>
    </row>
    <row r="14" spans="1:4">
      <c r="A14" s="421" t="s">
        <v>20</v>
      </c>
      <c r="B14" s="421" t="s">
        <v>1392</v>
      </c>
      <c r="C14" s="421" t="s">
        <v>1393</v>
      </c>
      <c r="D14" s="422" t="s">
        <v>463</v>
      </c>
    </row>
    <row r="15" spans="1:4">
      <c r="A15" s="421" t="s">
        <v>22</v>
      </c>
      <c r="B15" s="421" t="s">
        <v>1394</v>
      </c>
      <c r="C15" s="421" t="s">
        <v>1395</v>
      </c>
      <c r="D15" s="422" t="s">
        <v>463</v>
      </c>
    </row>
    <row r="16" spans="1:4">
      <c r="A16" s="421" t="s">
        <v>24</v>
      </c>
      <c r="B16" s="421" t="s">
        <v>1396</v>
      </c>
      <c r="C16" s="421" t="s">
        <v>1393</v>
      </c>
      <c r="D16" s="422" t="s">
        <v>463</v>
      </c>
    </row>
    <row r="17" spans="1:4">
      <c r="A17" s="421" t="s">
        <v>26</v>
      </c>
      <c r="B17" s="421" t="s">
        <v>1397</v>
      </c>
      <c r="C17" s="421" t="s">
        <v>1398</v>
      </c>
      <c r="D17" s="422" t="s">
        <v>463</v>
      </c>
    </row>
    <row r="18" spans="1:4">
      <c r="A18" s="421" t="s">
        <v>28</v>
      </c>
      <c r="B18" s="421" t="s">
        <v>1399</v>
      </c>
      <c r="C18" s="421" t="s">
        <v>1398</v>
      </c>
      <c r="D18" s="422" t="s">
        <v>463</v>
      </c>
    </row>
    <row r="19" spans="1:4">
      <c r="A19" s="421" t="s">
        <v>30</v>
      </c>
      <c r="B19" s="421" t="s">
        <v>1400</v>
      </c>
      <c r="C19" s="421" t="s">
        <v>1398</v>
      </c>
      <c r="D19" s="422" t="s">
        <v>463</v>
      </c>
    </row>
    <row r="20" spans="1:4">
      <c r="A20" s="421" t="s">
        <v>32</v>
      </c>
      <c r="B20" s="421" t="s">
        <v>1401</v>
      </c>
      <c r="C20" s="421" t="s">
        <v>1398</v>
      </c>
      <c r="D20" s="422" t="s">
        <v>463</v>
      </c>
    </row>
    <row r="21" spans="1:4">
      <c r="A21" s="421" t="s">
        <v>34</v>
      </c>
      <c r="B21" s="421" t="s">
        <v>1402</v>
      </c>
      <c r="C21" s="421" t="s">
        <v>1398</v>
      </c>
      <c r="D21" s="422" t="s">
        <v>463</v>
      </c>
    </row>
    <row r="22" spans="1:4">
      <c r="A22" s="421" t="s">
        <v>36</v>
      </c>
      <c r="B22" s="421" t="s">
        <v>1403</v>
      </c>
      <c r="C22" s="421" t="s">
        <v>1398</v>
      </c>
      <c r="D22" s="422" t="s">
        <v>463</v>
      </c>
    </row>
    <row r="23" spans="1:4">
      <c r="A23" s="421" t="s">
        <v>38</v>
      </c>
      <c r="B23" s="421" t="s">
        <v>1404</v>
      </c>
      <c r="C23" s="421" t="s">
        <v>1398</v>
      </c>
      <c r="D23" s="422" t="s">
        <v>463</v>
      </c>
    </row>
    <row r="24" spans="1:4">
      <c r="A24" s="421" t="s">
        <v>40</v>
      </c>
      <c r="B24" s="421" t="s">
        <v>1405</v>
      </c>
      <c r="C24" s="421" t="s">
        <v>1406</v>
      </c>
      <c r="D24" s="422" t="s">
        <v>463</v>
      </c>
    </row>
    <row r="26" spans="1:4" ht="18.75" customHeight="1">
      <c r="A26" s="507" t="s">
        <v>1407</v>
      </c>
      <c r="B26" s="494"/>
      <c r="C26" s="494"/>
      <c r="D26" s="494"/>
    </row>
    <row r="27" spans="1:4">
      <c r="A27" s="423" t="s">
        <v>496</v>
      </c>
      <c r="B27" s="421" t="s">
        <v>1408</v>
      </c>
      <c r="C27" s="421" t="s">
        <v>1409</v>
      </c>
    </row>
    <row r="28" spans="1:4">
      <c r="A28" s="423" t="s">
        <v>496</v>
      </c>
      <c r="B28" s="421" t="s">
        <v>1410</v>
      </c>
      <c r="C28" s="421" t="s">
        <v>1409</v>
      </c>
    </row>
    <row r="29" spans="1:4">
      <c r="A29" s="423" t="s">
        <v>496</v>
      </c>
      <c r="B29" s="421" t="s">
        <v>1411</v>
      </c>
      <c r="C29" s="421" t="s">
        <v>1409</v>
      </c>
    </row>
    <row r="30" spans="1:4">
      <c r="A30" s="423" t="s">
        <v>496</v>
      </c>
      <c r="B30" s="421" t="s">
        <v>1412</v>
      </c>
      <c r="C30" s="421" t="s">
        <v>1409</v>
      </c>
    </row>
    <row r="31" spans="1:4">
      <c r="A31" s="421" t="s">
        <v>1413</v>
      </c>
      <c r="B31" s="421" t="s">
        <v>1414</v>
      </c>
      <c r="C31" s="421" t="s">
        <v>1415</v>
      </c>
    </row>
    <row r="32" spans="1:4">
      <c r="A32" s="421" t="s">
        <v>1413</v>
      </c>
      <c r="B32" s="421" t="s">
        <v>1416</v>
      </c>
      <c r="C32" s="421" t="s">
        <v>1415</v>
      </c>
    </row>
    <row r="33" spans="1:4">
      <c r="A33" s="421" t="s">
        <v>1417</v>
      </c>
      <c r="B33" s="421" t="s">
        <v>1418</v>
      </c>
      <c r="C33" s="421" t="s">
        <v>1419</v>
      </c>
    </row>
    <row r="35" spans="1:4" ht="18.75" customHeight="1">
      <c r="A35" s="506" t="s">
        <v>1420</v>
      </c>
      <c r="B35" s="494"/>
      <c r="C35" s="494"/>
      <c r="D35" s="494"/>
    </row>
    <row r="36" spans="1:4">
      <c r="A36" s="420" t="s">
        <v>1421</v>
      </c>
      <c r="B36" s="421" t="s">
        <v>1422</v>
      </c>
    </row>
    <row r="37" spans="1:4">
      <c r="A37" s="420" t="s">
        <v>1423</v>
      </c>
      <c r="B37" s="421" t="s">
        <v>1424</v>
      </c>
    </row>
    <row r="38" spans="1:4">
      <c r="A38" s="420" t="s">
        <v>1425</v>
      </c>
      <c r="B38" s="421" t="s">
        <v>1426</v>
      </c>
    </row>
    <row r="39" spans="1:4">
      <c r="A39" s="420" t="s">
        <v>1427</v>
      </c>
      <c r="B39" s="421" t="s">
        <v>1428</v>
      </c>
    </row>
    <row r="40" spans="1:4">
      <c r="A40" s="420" t="s">
        <v>1429</v>
      </c>
      <c r="B40" s="421" t="s">
        <v>1430</v>
      </c>
    </row>
    <row r="41" spans="1:4">
      <c r="A41" s="420" t="s">
        <v>1431</v>
      </c>
      <c r="B41" s="421" t="s">
        <v>1432</v>
      </c>
    </row>
    <row r="42" spans="1:4">
      <c r="A42" s="420" t="s">
        <v>1433</v>
      </c>
      <c r="B42" s="421" t="s">
        <v>1434</v>
      </c>
    </row>
    <row r="43" spans="1:4">
      <c r="A43" s="420" t="s">
        <v>1435</v>
      </c>
      <c r="B43" s="421" t="s">
        <v>1436</v>
      </c>
    </row>
    <row r="44" spans="1:4">
      <c r="A44" s="420" t="s">
        <v>1437</v>
      </c>
      <c r="B44" s="421" t="s">
        <v>1438</v>
      </c>
    </row>
    <row r="45" spans="1:4">
      <c r="A45" s="420" t="s">
        <v>1439</v>
      </c>
      <c r="B45" s="421" t="s">
        <v>1440</v>
      </c>
    </row>
    <row r="47" spans="1:4" ht="18.75" customHeight="1">
      <c r="A47" s="506" t="s">
        <v>1441</v>
      </c>
      <c r="B47" s="494"/>
      <c r="C47" s="494"/>
      <c r="D47" s="494"/>
    </row>
    <row r="48" spans="1:4">
      <c r="A48" s="424" t="s">
        <v>1442</v>
      </c>
      <c r="B48" s="424" t="s">
        <v>1443</v>
      </c>
      <c r="C48" s="424" t="s">
        <v>1444</v>
      </c>
    </row>
    <row r="49" spans="1:4">
      <c r="A49" s="421" t="s">
        <v>1445</v>
      </c>
      <c r="B49" s="421" t="s">
        <v>1446</v>
      </c>
      <c r="C49" s="421" t="s">
        <v>1447</v>
      </c>
    </row>
    <row r="50" spans="1:4">
      <c r="A50" s="421" t="s">
        <v>1448</v>
      </c>
      <c r="B50" s="421" t="s">
        <v>1449</v>
      </c>
      <c r="C50" s="421" t="s">
        <v>1450</v>
      </c>
    </row>
    <row r="51" spans="1:4">
      <c r="A51" s="421" t="s">
        <v>1451</v>
      </c>
      <c r="B51" s="421" t="s">
        <v>1452</v>
      </c>
      <c r="C51" s="421" t="s">
        <v>1453</v>
      </c>
    </row>
    <row r="52" spans="1:4">
      <c r="A52" s="421" t="s">
        <v>1454</v>
      </c>
      <c r="B52" s="421" t="s">
        <v>1455</v>
      </c>
      <c r="C52" s="421" t="s">
        <v>1456</v>
      </c>
    </row>
    <row r="53" spans="1:4">
      <c r="A53" s="421" t="s">
        <v>1457</v>
      </c>
      <c r="B53" s="421" t="s">
        <v>1458</v>
      </c>
      <c r="C53" s="421" t="s">
        <v>1459</v>
      </c>
    </row>
    <row r="54" spans="1:4">
      <c r="A54" s="421" t="s">
        <v>1460</v>
      </c>
      <c r="B54" s="421" t="s">
        <v>1461</v>
      </c>
      <c r="C54" s="421" t="s">
        <v>1462</v>
      </c>
    </row>
    <row r="55" spans="1:4">
      <c r="A55" s="421" t="s">
        <v>1463</v>
      </c>
      <c r="B55" s="421" t="s">
        <v>667</v>
      </c>
      <c r="C55" s="421" t="s">
        <v>1464</v>
      </c>
    </row>
    <row r="56" spans="1:4">
      <c r="A56" s="421" t="s">
        <v>1465</v>
      </c>
      <c r="B56" s="421" t="s">
        <v>1466</v>
      </c>
      <c r="C56" s="421" t="s">
        <v>1467</v>
      </c>
    </row>
    <row r="57" spans="1:4">
      <c r="A57" s="421" t="s">
        <v>1468</v>
      </c>
      <c r="B57" s="421" t="s">
        <v>1469</v>
      </c>
      <c r="C57" s="421" t="s">
        <v>1470</v>
      </c>
    </row>
    <row r="58" spans="1:4">
      <c r="A58" s="421" t="s">
        <v>1471</v>
      </c>
      <c r="B58" s="421" t="s">
        <v>1472</v>
      </c>
      <c r="C58" s="421" t="s">
        <v>1473</v>
      </c>
    </row>
    <row r="59" spans="1:4">
      <c r="A59" s="421" t="s">
        <v>1474</v>
      </c>
      <c r="B59" s="421" t="s">
        <v>1475</v>
      </c>
      <c r="C59" s="421" t="s">
        <v>1476</v>
      </c>
    </row>
    <row r="60" spans="1:4">
      <c r="A60" s="421" t="s">
        <v>1477</v>
      </c>
      <c r="B60" s="421" t="s">
        <v>1478</v>
      </c>
      <c r="C60" s="421" t="s">
        <v>1479</v>
      </c>
    </row>
    <row r="62" spans="1:4" ht="18.75" customHeight="1">
      <c r="A62" s="506" t="s">
        <v>1480</v>
      </c>
      <c r="B62" s="494"/>
      <c r="C62" s="494"/>
      <c r="D62" s="494"/>
    </row>
    <row r="63" spans="1:4">
      <c r="A63" s="418" t="s">
        <v>1481</v>
      </c>
    </row>
    <row r="64" spans="1:4">
      <c r="A64" s="418" t="s">
        <v>1482</v>
      </c>
    </row>
    <row r="65" spans="1:1">
      <c r="A65" s="418" t="s">
        <v>1483</v>
      </c>
    </row>
    <row r="66" spans="1:1">
      <c r="A66" s="418" t="s">
        <v>1484</v>
      </c>
    </row>
    <row r="67" spans="1:1">
      <c r="A67" s="418" t="s">
        <v>1485</v>
      </c>
    </row>
    <row r="68" spans="1:1">
      <c r="A68" s="418" t="s">
        <v>1486</v>
      </c>
    </row>
    <row r="69" spans="1:1">
      <c r="A69" s="418" t="s">
        <v>1487</v>
      </c>
    </row>
    <row r="70" spans="1:1">
      <c r="A70" s="418" t="s">
        <v>1488</v>
      </c>
    </row>
    <row r="71" spans="1:1">
      <c r="A71" s="418" t="s">
        <v>1489</v>
      </c>
    </row>
  </sheetData>
  <mergeCells count="6">
    <mergeCell ref="A1:D1"/>
    <mergeCell ref="A35:D35"/>
    <mergeCell ref="A62:D62"/>
    <mergeCell ref="A26:D26"/>
    <mergeCell ref="A10:D10"/>
    <mergeCell ref="A47:D47"/>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57"/>
  <sheetViews>
    <sheetView workbookViewId="0">
      <selection sqref="A1:B1"/>
    </sheetView>
  </sheetViews>
  <sheetFormatPr defaultRowHeight="15"/>
  <cols>
    <col min="1" max="1" width="35" customWidth="1"/>
    <col min="2" max="2" width="90" customWidth="1"/>
  </cols>
  <sheetData>
    <row r="1" spans="1:2" ht="18" customHeight="1">
      <c r="A1" s="510" t="s">
        <v>1490</v>
      </c>
      <c r="B1" s="494"/>
    </row>
    <row r="3" spans="1:2" ht="15.75" customHeight="1">
      <c r="A3" s="509" t="s">
        <v>1491</v>
      </c>
      <c r="B3" s="494"/>
    </row>
    <row r="4" spans="1:2">
      <c r="A4" s="408" t="s">
        <v>1492</v>
      </c>
      <c r="B4" s="410" t="s">
        <v>1493</v>
      </c>
    </row>
    <row r="5" spans="1:2">
      <c r="A5" s="408" t="s">
        <v>1494</v>
      </c>
      <c r="B5" s="410" t="s">
        <v>1495</v>
      </c>
    </row>
    <row r="6" spans="1:2">
      <c r="A6" s="408" t="s">
        <v>1496</v>
      </c>
      <c r="B6" s="410" t="s">
        <v>1497</v>
      </c>
    </row>
    <row r="7" spans="1:2">
      <c r="A7" s="408" t="s">
        <v>1498</v>
      </c>
      <c r="B7" s="409" t="s">
        <v>1499</v>
      </c>
    </row>
    <row r="8" spans="1:2">
      <c r="A8" s="408" t="s">
        <v>1500</v>
      </c>
      <c r="B8" s="410" t="s">
        <v>1501</v>
      </c>
    </row>
    <row r="9" spans="1:2">
      <c r="A9" s="408" t="s">
        <v>1502</v>
      </c>
      <c r="B9" s="410" t="s">
        <v>1503</v>
      </c>
    </row>
    <row r="11" spans="1:2" ht="15.75" customHeight="1">
      <c r="A11" s="509" t="s">
        <v>1504</v>
      </c>
      <c r="B11" s="494"/>
    </row>
    <row r="12" spans="1:2">
      <c r="A12" s="408" t="s">
        <v>1505</v>
      </c>
      <c r="B12" s="410" t="s">
        <v>1506</v>
      </c>
    </row>
    <row r="13" spans="1:2">
      <c r="A13" s="408" t="s">
        <v>1507</v>
      </c>
      <c r="B13" s="410" t="s">
        <v>1508</v>
      </c>
    </row>
    <row r="14" spans="1:2">
      <c r="A14" s="408" t="s">
        <v>1509</v>
      </c>
      <c r="B14" s="410" t="s">
        <v>1510</v>
      </c>
    </row>
    <row r="15" spans="1:2">
      <c r="A15" s="408" t="s">
        <v>1511</v>
      </c>
      <c r="B15" s="410" t="s">
        <v>1512</v>
      </c>
    </row>
    <row r="16" spans="1:2">
      <c r="A16" s="408" t="s">
        <v>1513</v>
      </c>
      <c r="B16" s="410" t="s">
        <v>1514</v>
      </c>
    </row>
    <row r="17" spans="1:2">
      <c r="A17" s="408" t="s">
        <v>1515</v>
      </c>
      <c r="B17" s="410" t="s">
        <v>1516</v>
      </c>
    </row>
    <row r="18" spans="1:2">
      <c r="A18" s="408" t="s">
        <v>1517</v>
      </c>
      <c r="B18" s="410" t="s">
        <v>1518</v>
      </c>
    </row>
    <row r="19" spans="1:2">
      <c r="A19" s="408" t="s">
        <v>1519</v>
      </c>
      <c r="B19" s="410" t="s">
        <v>1520</v>
      </c>
    </row>
    <row r="20" spans="1:2">
      <c r="A20" s="408" t="s">
        <v>1521</v>
      </c>
      <c r="B20" s="410" t="s">
        <v>1522</v>
      </c>
    </row>
    <row r="22" spans="1:2" ht="15.75" customHeight="1">
      <c r="A22" s="509" t="s">
        <v>1523</v>
      </c>
      <c r="B22" s="494"/>
    </row>
    <row r="23" spans="1:2">
      <c r="A23" s="408" t="s">
        <v>1524</v>
      </c>
      <c r="B23" s="410" t="s">
        <v>1525</v>
      </c>
    </row>
    <row r="24" spans="1:2">
      <c r="A24" s="408" t="s">
        <v>1526</v>
      </c>
      <c r="B24" s="410" t="s">
        <v>1527</v>
      </c>
    </row>
    <row r="25" spans="1:2">
      <c r="A25" s="408" t="s">
        <v>1528</v>
      </c>
      <c r="B25" s="410" t="s">
        <v>1529</v>
      </c>
    </row>
    <row r="26" spans="1:2">
      <c r="A26" s="408" t="s">
        <v>1530</v>
      </c>
      <c r="B26" s="410" t="s">
        <v>1531</v>
      </c>
    </row>
    <row r="27" spans="1:2">
      <c r="A27" s="408" t="s">
        <v>1532</v>
      </c>
      <c r="B27" s="410" t="s">
        <v>1533</v>
      </c>
    </row>
    <row r="28" spans="1:2">
      <c r="A28" s="408" t="s">
        <v>839</v>
      </c>
      <c r="B28" s="410" t="s">
        <v>1534</v>
      </c>
    </row>
    <row r="29" spans="1:2">
      <c r="A29" s="408" t="s">
        <v>1535</v>
      </c>
      <c r="B29" s="409" t="s">
        <v>1536</v>
      </c>
    </row>
    <row r="30" spans="1:2">
      <c r="A30" s="408" t="s">
        <v>1537</v>
      </c>
      <c r="B30" s="410" t="s">
        <v>1538</v>
      </c>
    </row>
    <row r="32" spans="1:2" ht="15.75" customHeight="1">
      <c r="A32" s="509" t="s">
        <v>1539</v>
      </c>
      <c r="B32" s="494"/>
    </row>
    <row r="33" spans="1:2">
      <c r="A33" s="408" t="s">
        <v>1540</v>
      </c>
      <c r="B33" s="410" t="s">
        <v>1541</v>
      </c>
    </row>
    <row r="34" spans="1:2">
      <c r="A34" s="408" t="s">
        <v>1535</v>
      </c>
      <c r="B34" s="409" t="s">
        <v>1542</v>
      </c>
    </row>
    <row r="35" spans="1:2" ht="26.25" customHeight="1">
      <c r="A35" s="408" t="s">
        <v>1543</v>
      </c>
      <c r="B35" s="410" t="s">
        <v>1544</v>
      </c>
    </row>
    <row r="36" spans="1:2">
      <c r="A36" s="408" t="s">
        <v>1545</v>
      </c>
      <c r="B36" s="410" t="s">
        <v>1546</v>
      </c>
    </row>
    <row r="37" spans="1:2">
      <c r="A37" s="408" t="s">
        <v>1547</v>
      </c>
      <c r="B37" s="410" t="s">
        <v>1548</v>
      </c>
    </row>
    <row r="39" spans="1:2" ht="15.75" customHeight="1">
      <c r="A39" s="509" t="s">
        <v>1549</v>
      </c>
      <c r="B39" s="494"/>
    </row>
    <row r="40" spans="1:2">
      <c r="A40" s="408" t="s">
        <v>1550</v>
      </c>
      <c r="B40" s="409" t="s">
        <v>1551</v>
      </c>
    </row>
    <row r="41" spans="1:2">
      <c r="A41" s="408" t="s">
        <v>1552</v>
      </c>
      <c r="B41" s="409" t="s">
        <v>1553</v>
      </c>
    </row>
    <row r="42" spans="1:2" ht="26.25" customHeight="1">
      <c r="A42" s="408" t="s">
        <v>1554</v>
      </c>
      <c r="B42" s="410" t="s">
        <v>1555</v>
      </c>
    </row>
    <row r="43" spans="1:2">
      <c r="A43" s="408" t="s">
        <v>1556</v>
      </c>
      <c r="B43" s="410" t="s">
        <v>1557</v>
      </c>
    </row>
    <row r="44" spans="1:2">
      <c r="A44" s="408" t="s">
        <v>1558</v>
      </c>
      <c r="B44" s="409" t="s">
        <v>1559</v>
      </c>
    </row>
    <row r="46" spans="1:2" ht="15.75" customHeight="1">
      <c r="A46" s="509" t="s">
        <v>1560</v>
      </c>
      <c r="B46" s="494"/>
    </row>
    <row r="47" spans="1:2">
      <c r="A47" s="408" t="s">
        <v>1561</v>
      </c>
      <c r="B47" s="410" t="s">
        <v>1562</v>
      </c>
    </row>
    <row r="48" spans="1:2">
      <c r="A48" s="408" t="s">
        <v>1563</v>
      </c>
      <c r="B48" s="410" t="s">
        <v>1564</v>
      </c>
    </row>
    <row r="49" spans="1:2">
      <c r="A49" s="408" t="s">
        <v>1565</v>
      </c>
      <c r="B49" s="410" t="s">
        <v>1566</v>
      </c>
    </row>
    <row r="51" spans="1:2">
      <c r="A51" s="460" t="s">
        <v>1567</v>
      </c>
    </row>
    <row r="52" spans="1:2" ht="24" customHeight="1">
      <c r="A52" s="461" t="s">
        <v>1568</v>
      </c>
      <c r="B52" s="461" t="s">
        <v>1569</v>
      </c>
    </row>
    <row r="53" spans="1:2">
      <c r="A53" s="461" t="s">
        <v>1570</v>
      </c>
      <c r="B53" s="461" t="s">
        <v>1571</v>
      </c>
    </row>
    <row r="54" spans="1:2">
      <c r="A54" s="461" t="s">
        <v>1572</v>
      </c>
      <c r="B54" s="461" t="s">
        <v>1573</v>
      </c>
    </row>
    <row r="55" spans="1:2" ht="24" customHeight="1">
      <c r="A55" s="461" t="s">
        <v>1574</v>
      </c>
      <c r="B55" s="461" t="s">
        <v>1575</v>
      </c>
    </row>
    <row r="56" spans="1:2">
      <c r="A56" s="461" t="s">
        <v>1576</v>
      </c>
      <c r="B56" s="461" t="s">
        <v>1577</v>
      </c>
    </row>
    <row r="57" spans="1:2">
      <c r="A57" s="461" t="s">
        <v>309</v>
      </c>
      <c r="B57" s="461" t="s">
        <v>1578</v>
      </c>
    </row>
  </sheetData>
  <mergeCells count="7">
    <mergeCell ref="A22:B22"/>
    <mergeCell ref="A11:B11"/>
    <mergeCell ref="A46:B46"/>
    <mergeCell ref="A32:B32"/>
    <mergeCell ref="A1:B1"/>
    <mergeCell ref="A3:B3"/>
    <mergeCell ref="A39:B39"/>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0"/>
  <sheetViews>
    <sheetView workbookViewId="0">
      <selection sqref="A1:B1"/>
    </sheetView>
  </sheetViews>
  <sheetFormatPr defaultRowHeight="15"/>
  <cols>
    <col min="1" max="1" width="35" customWidth="1"/>
    <col min="2" max="2" width="90" customWidth="1"/>
  </cols>
  <sheetData>
    <row r="1" spans="1:2" ht="18" customHeight="1">
      <c r="A1" s="510" t="s">
        <v>1579</v>
      </c>
      <c r="B1" s="494"/>
    </row>
    <row r="3" spans="1:2" ht="15.75" customHeight="1">
      <c r="A3" s="509" t="s">
        <v>1580</v>
      </c>
      <c r="B3" s="494"/>
    </row>
    <row r="4" spans="1:2">
      <c r="A4" s="408" t="s">
        <v>1581</v>
      </c>
      <c r="B4" s="410" t="s">
        <v>1582</v>
      </c>
    </row>
    <row r="5" spans="1:2">
      <c r="A5" s="408" t="s">
        <v>1583</v>
      </c>
      <c r="B5" s="410" t="s">
        <v>1584</v>
      </c>
    </row>
    <row r="6" spans="1:2">
      <c r="A6" s="408" t="s">
        <v>1585</v>
      </c>
      <c r="B6" s="410" t="s">
        <v>1586</v>
      </c>
    </row>
    <row r="7" spans="1:2">
      <c r="A7" s="408" t="s">
        <v>1587</v>
      </c>
      <c r="B7" s="410" t="s">
        <v>286</v>
      </c>
    </row>
    <row r="9" spans="1:2" ht="15.75" customHeight="1">
      <c r="A9" s="509" t="s">
        <v>1588</v>
      </c>
      <c r="B9" s="494"/>
    </row>
    <row r="10" spans="1:2">
      <c r="A10" s="408" t="s">
        <v>1535</v>
      </c>
      <c r="B10" s="409" t="s">
        <v>1589</v>
      </c>
    </row>
    <row r="11" spans="1:2">
      <c r="A11" s="408" t="s">
        <v>1590</v>
      </c>
      <c r="B11" s="410" t="s">
        <v>1591</v>
      </c>
    </row>
    <row r="12" spans="1:2">
      <c r="A12" s="408" t="s">
        <v>1592</v>
      </c>
      <c r="B12" s="410" t="s">
        <v>1593</v>
      </c>
    </row>
    <row r="13" spans="1:2">
      <c r="A13" s="408" t="s">
        <v>1594</v>
      </c>
      <c r="B13" s="410" t="s">
        <v>1595</v>
      </c>
    </row>
    <row r="14" spans="1:2">
      <c r="A14" s="408" t="s">
        <v>1596</v>
      </c>
      <c r="B14" s="410" t="s">
        <v>1597</v>
      </c>
    </row>
    <row r="16" spans="1:2">
      <c r="A16" s="408" t="s">
        <v>1598</v>
      </c>
      <c r="B16" s="414" t="s">
        <v>1599</v>
      </c>
    </row>
    <row r="17" spans="1:2">
      <c r="A17" s="408" t="s">
        <v>1600</v>
      </c>
      <c r="B17" s="409" t="s">
        <v>1601</v>
      </c>
    </row>
    <row r="19" spans="1:2" ht="26.25" customHeight="1">
      <c r="A19" s="408" t="s">
        <v>1602</v>
      </c>
      <c r="B19" s="410" t="s">
        <v>1603</v>
      </c>
    </row>
    <row r="20" spans="1:2">
      <c r="A20" s="408" t="s">
        <v>1604</v>
      </c>
      <c r="B20" s="410" t="s">
        <v>1605</v>
      </c>
    </row>
    <row r="22" spans="1:2" ht="15.75" customHeight="1">
      <c r="A22" s="509" t="s">
        <v>1606</v>
      </c>
      <c r="B22" s="494"/>
    </row>
    <row r="23" spans="1:2">
      <c r="A23" s="408" t="s">
        <v>1607</v>
      </c>
      <c r="B23" s="410" t="s">
        <v>1608</v>
      </c>
    </row>
    <row r="24" spans="1:2">
      <c r="A24" s="408" t="s">
        <v>1609</v>
      </c>
      <c r="B24" s="410" t="s">
        <v>1610</v>
      </c>
    </row>
    <row r="25" spans="1:2">
      <c r="A25" s="408" t="s">
        <v>1611</v>
      </c>
      <c r="B25" s="410" t="s">
        <v>1612</v>
      </c>
    </row>
    <row r="26" spans="1:2">
      <c r="A26" s="408" t="s">
        <v>1613</v>
      </c>
      <c r="B26" s="410" t="s">
        <v>1614</v>
      </c>
    </row>
    <row r="27" spans="1:2">
      <c r="A27" s="408" t="s">
        <v>1615</v>
      </c>
      <c r="B27" s="409" t="s">
        <v>1616</v>
      </c>
    </row>
    <row r="29" spans="1:2" ht="15.75" customHeight="1">
      <c r="A29" s="509" t="s">
        <v>1617</v>
      </c>
      <c r="B29" s="494"/>
    </row>
    <row r="30" spans="1:2">
      <c r="A30" s="408" t="s">
        <v>1618</v>
      </c>
      <c r="B30" s="409" t="s">
        <v>1619</v>
      </c>
    </row>
    <row r="31" spans="1:2">
      <c r="A31" s="408" t="s">
        <v>1620</v>
      </c>
      <c r="B31" s="410" t="s">
        <v>1621</v>
      </c>
    </row>
    <row r="32" spans="1:2">
      <c r="A32" s="408" t="s">
        <v>1622</v>
      </c>
      <c r="B32" s="410" t="s">
        <v>1623</v>
      </c>
    </row>
    <row r="33" spans="1:2">
      <c r="A33" s="408" t="s">
        <v>1624</v>
      </c>
      <c r="B33" s="409" t="s">
        <v>1625</v>
      </c>
    </row>
    <row r="35" spans="1:2" ht="15.75" customHeight="1">
      <c r="A35" s="509" t="s">
        <v>1626</v>
      </c>
      <c r="B35" s="494"/>
    </row>
    <row r="36" spans="1:2">
      <c r="A36" s="408" t="s">
        <v>1627</v>
      </c>
      <c r="B36" s="410" t="s">
        <v>1628</v>
      </c>
    </row>
    <row r="37" spans="1:2">
      <c r="A37" s="408" t="s">
        <v>1629</v>
      </c>
      <c r="B37" s="410" t="s">
        <v>1630</v>
      </c>
    </row>
    <row r="38" spans="1:2">
      <c r="A38" s="408" t="s">
        <v>1631</v>
      </c>
      <c r="B38" s="410" t="s">
        <v>1632</v>
      </c>
    </row>
    <row r="39" spans="1:2">
      <c r="A39" s="408" t="s">
        <v>1633</v>
      </c>
      <c r="B39" s="410" t="s">
        <v>1634</v>
      </c>
    </row>
    <row r="41" spans="1:2" ht="15.75" customHeight="1">
      <c r="A41" s="509" t="s">
        <v>1635</v>
      </c>
      <c r="B41" s="494"/>
    </row>
    <row r="42" spans="1:2">
      <c r="A42" s="408" t="s">
        <v>1636</v>
      </c>
      <c r="B42" s="410" t="s">
        <v>1637</v>
      </c>
    </row>
    <row r="43" spans="1:2">
      <c r="A43" s="408" t="s">
        <v>1638</v>
      </c>
      <c r="B43" s="410" t="s">
        <v>1639</v>
      </c>
    </row>
    <row r="44" spans="1:2" ht="26.25" customHeight="1">
      <c r="A44" s="408" t="s">
        <v>1640</v>
      </c>
      <c r="B44" s="410" t="s">
        <v>1641</v>
      </c>
    </row>
    <row r="46" spans="1:2" ht="15.75" customHeight="1">
      <c r="A46" s="509" t="s">
        <v>1642</v>
      </c>
      <c r="B46" s="494"/>
    </row>
    <row r="47" spans="1:2">
      <c r="A47" s="408" t="s">
        <v>1643</v>
      </c>
      <c r="B47" s="410" t="s">
        <v>1644</v>
      </c>
    </row>
    <row r="48" spans="1:2">
      <c r="A48" s="408" t="s">
        <v>1645</v>
      </c>
      <c r="B48" s="410" t="s">
        <v>1646</v>
      </c>
    </row>
    <row r="49" spans="1:2">
      <c r="A49" s="408" t="s">
        <v>1647</v>
      </c>
      <c r="B49" s="410" t="s">
        <v>1648</v>
      </c>
    </row>
    <row r="50" spans="1:2">
      <c r="A50" s="408" t="s">
        <v>1649</v>
      </c>
      <c r="B50" s="410" t="s">
        <v>1650</v>
      </c>
    </row>
  </sheetData>
  <mergeCells count="8">
    <mergeCell ref="A29:B29"/>
    <mergeCell ref="A41:B41"/>
    <mergeCell ref="A46:B46"/>
    <mergeCell ref="A1:B1"/>
    <mergeCell ref="A9:B9"/>
    <mergeCell ref="A3:B3"/>
    <mergeCell ref="A22:B22"/>
    <mergeCell ref="A35:B3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21"/>
  <sheetViews>
    <sheetView workbookViewId="0">
      <selection sqref="A1:B1"/>
    </sheetView>
  </sheetViews>
  <sheetFormatPr defaultRowHeight="15"/>
  <cols>
    <col min="1" max="2" width="30" customWidth="1"/>
    <col min="3" max="3" width="20" customWidth="1"/>
    <col min="4" max="4" width="50" customWidth="1"/>
  </cols>
  <sheetData>
    <row r="1" spans="1:4" ht="18" customHeight="1">
      <c r="A1" s="510" t="s">
        <v>1651</v>
      </c>
      <c r="B1" s="494"/>
    </row>
    <row r="3" spans="1:4" ht="15.75" customHeight="1">
      <c r="A3" s="509" t="s">
        <v>1652</v>
      </c>
      <c r="B3" s="494"/>
    </row>
    <row r="4" spans="1:4" ht="51.75" customHeight="1">
      <c r="A4" s="408" t="s">
        <v>1653</v>
      </c>
      <c r="B4" s="409" t="s">
        <v>1654</v>
      </c>
    </row>
    <row r="6" spans="1:4">
      <c r="A6" s="408" t="s">
        <v>1655</v>
      </c>
      <c r="B6" s="408" t="s">
        <v>763</v>
      </c>
      <c r="C6" s="408" t="s">
        <v>1656</v>
      </c>
    </row>
    <row r="7" spans="1:4" ht="90" customHeight="1">
      <c r="A7" s="342" t="s">
        <v>1657</v>
      </c>
      <c r="B7" s="342" t="s">
        <v>1658</v>
      </c>
      <c r="C7" s="410" t="s">
        <v>1659</v>
      </c>
    </row>
    <row r="8" spans="1:4" ht="51.75" customHeight="1">
      <c r="A8" s="342" t="s">
        <v>1660</v>
      </c>
      <c r="B8" s="342" t="s">
        <v>1661</v>
      </c>
      <c r="C8" s="410" t="s">
        <v>1662</v>
      </c>
    </row>
    <row r="9" spans="1:4" ht="64.5" customHeight="1">
      <c r="A9" s="342" t="s">
        <v>1663</v>
      </c>
      <c r="B9" s="342" t="s">
        <v>1664</v>
      </c>
      <c r="C9" s="410" t="s">
        <v>1665</v>
      </c>
    </row>
    <row r="10" spans="1:4" ht="64.5" customHeight="1">
      <c r="A10" s="342" t="s">
        <v>1666</v>
      </c>
      <c r="B10" s="342" t="s">
        <v>1667</v>
      </c>
      <c r="C10" s="410" t="s">
        <v>1668</v>
      </c>
    </row>
    <row r="11" spans="1:4" ht="26.25" customHeight="1">
      <c r="A11" s="342" t="s">
        <v>1669</v>
      </c>
      <c r="B11" s="342" t="s">
        <v>1670</v>
      </c>
      <c r="C11" s="410" t="s">
        <v>1671</v>
      </c>
    </row>
    <row r="12" spans="1:4" ht="26.25" customHeight="1">
      <c r="A12" s="342" t="s">
        <v>1672</v>
      </c>
      <c r="B12" s="342" t="s">
        <v>1673</v>
      </c>
      <c r="C12" s="410" t="s">
        <v>1674</v>
      </c>
    </row>
    <row r="14" spans="1:4" ht="15.75" customHeight="1">
      <c r="A14" s="509" t="s">
        <v>1675</v>
      </c>
      <c r="B14" s="494"/>
    </row>
    <row r="15" spans="1:4">
      <c r="A15" s="408" t="s">
        <v>1655</v>
      </c>
      <c r="B15" s="408" t="s">
        <v>1676</v>
      </c>
      <c r="C15" s="408" t="s">
        <v>1677</v>
      </c>
      <c r="D15" s="408" t="s">
        <v>1678</v>
      </c>
    </row>
    <row r="16" spans="1:4">
      <c r="A16" s="342" t="s">
        <v>1663</v>
      </c>
      <c r="B16" s="415" t="s">
        <v>1679</v>
      </c>
      <c r="C16" s="416" t="s">
        <v>1680</v>
      </c>
      <c r="D16" s="342" t="s">
        <v>1681</v>
      </c>
    </row>
    <row r="17" spans="1:4">
      <c r="A17" s="342" t="s">
        <v>1663</v>
      </c>
      <c r="B17" s="415" t="s">
        <v>1682</v>
      </c>
      <c r="C17" s="416" t="s">
        <v>1683</v>
      </c>
      <c r="D17" s="342" t="s">
        <v>1681</v>
      </c>
    </row>
    <row r="18" spans="1:4">
      <c r="A18" s="342" t="s">
        <v>1663</v>
      </c>
      <c r="B18" s="415" t="s">
        <v>1684</v>
      </c>
      <c r="C18" s="416" t="s">
        <v>1685</v>
      </c>
      <c r="D18" s="342" t="s">
        <v>1686</v>
      </c>
    </row>
    <row r="19" spans="1:4">
      <c r="A19" s="342" t="s">
        <v>1666</v>
      </c>
      <c r="B19" s="415" t="s">
        <v>1687</v>
      </c>
      <c r="C19" s="416" t="s">
        <v>1688</v>
      </c>
      <c r="D19" s="342" t="s">
        <v>1689</v>
      </c>
    </row>
    <row r="20" spans="1:4">
      <c r="A20" s="342" t="s">
        <v>1666</v>
      </c>
      <c r="B20" s="415" t="s">
        <v>1690</v>
      </c>
      <c r="C20" s="416" t="s">
        <v>1691</v>
      </c>
      <c r="D20" s="342" t="s">
        <v>1692</v>
      </c>
    </row>
    <row r="21" spans="1:4">
      <c r="A21" s="342" t="s">
        <v>1657</v>
      </c>
      <c r="B21" s="415" t="s">
        <v>1693</v>
      </c>
      <c r="C21" s="416" t="s">
        <v>1694</v>
      </c>
      <c r="D21" s="342" t="s">
        <v>1695</v>
      </c>
    </row>
  </sheetData>
  <mergeCells count="3">
    <mergeCell ref="A3:B3"/>
    <mergeCell ref="A14:B14"/>
    <mergeCell ref="A1:B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28"/>
  <sheetViews>
    <sheetView workbookViewId="0"/>
  </sheetViews>
  <sheetFormatPr defaultRowHeight="15"/>
  <cols>
    <col min="1" max="1" width="35" customWidth="1"/>
    <col min="2" max="2" width="90" customWidth="1"/>
  </cols>
  <sheetData>
    <row r="1" spans="1:2" ht="18" customHeight="1">
      <c r="A1" s="510" t="s">
        <v>1696</v>
      </c>
      <c r="B1" s="494"/>
    </row>
    <row r="3" spans="1:2" ht="15.75" customHeight="1">
      <c r="A3" s="509" t="s">
        <v>1697</v>
      </c>
      <c r="B3" s="494"/>
    </row>
    <row r="4" spans="1:2" ht="26.25" customHeight="1">
      <c r="A4" s="408" t="s">
        <v>1698</v>
      </c>
      <c r="B4" s="409" t="s">
        <v>1699</v>
      </c>
    </row>
    <row r="5" spans="1:2">
      <c r="A5" s="408" t="s">
        <v>1700</v>
      </c>
      <c r="B5" s="409" t="s">
        <v>1701</v>
      </c>
    </row>
    <row r="6" spans="1:2">
      <c r="A6" s="408" t="s">
        <v>1702</v>
      </c>
      <c r="B6" s="410" t="s">
        <v>1703</v>
      </c>
    </row>
    <row r="7" spans="1:2" ht="26.25" customHeight="1">
      <c r="A7" s="408" t="s">
        <v>1704</v>
      </c>
      <c r="B7" s="410" t="s">
        <v>1705</v>
      </c>
    </row>
    <row r="8" spans="1:2">
      <c r="A8" s="408" t="s">
        <v>1706</v>
      </c>
      <c r="B8" s="410" t="s">
        <v>1707</v>
      </c>
    </row>
    <row r="10" spans="1:2" ht="15.75" customHeight="1">
      <c r="A10" s="509" t="s">
        <v>1708</v>
      </c>
      <c r="B10" s="494"/>
    </row>
    <row r="11" spans="1:2">
      <c r="A11" s="408" t="s">
        <v>737</v>
      </c>
      <c r="B11" s="410" t="s">
        <v>1709</v>
      </c>
    </row>
    <row r="12" spans="1:2">
      <c r="A12" s="408" t="s">
        <v>1710</v>
      </c>
      <c r="B12" s="410" t="s">
        <v>1711</v>
      </c>
    </row>
    <row r="13" spans="1:2">
      <c r="A13" s="408" t="s">
        <v>1712</v>
      </c>
      <c r="B13" s="410" t="s">
        <v>1713</v>
      </c>
    </row>
    <row r="14" spans="1:2">
      <c r="A14" s="408" t="s">
        <v>1714</v>
      </c>
      <c r="B14" s="410" t="s">
        <v>1715</v>
      </c>
    </row>
    <row r="16" spans="1:2" ht="15.75" customHeight="1">
      <c r="A16" s="509" t="s">
        <v>1716</v>
      </c>
      <c r="B16" s="494"/>
    </row>
    <row r="17" spans="1:2" ht="26.25" customHeight="1">
      <c r="A17" s="408" t="s">
        <v>1717</v>
      </c>
      <c r="B17" s="409" t="s">
        <v>1718</v>
      </c>
    </row>
    <row r="18" spans="1:2" ht="26.25" customHeight="1">
      <c r="A18" s="408" t="s">
        <v>1719</v>
      </c>
      <c r="B18" s="409" t="s">
        <v>1720</v>
      </c>
    </row>
    <row r="19" spans="1:2" ht="26.25" customHeight="1">
      <c r="A19" s="408" t="s">
        <v>1721</v>
      </c>
      <c r="B19" s="409" t="s">
        <v>1722</v>
      </c>
    </row>
    <row r="20" spans="1:2">
      <c r="A20" s="408" t="s">
        <v>1723</v>
      </c>
      <c r="B20" s="409" t="s">
        <v>1724</v>
      </c>
    </row>
    <row r="22" spans="1:2" ht="15.75" customHeight="1">
      <c r="A22" s="509" t="s">
        <v>1725</v>
      </c>
      <c r="B22" s="494"/>
    </row>
    <row r="23" spans="1:2">
      <c r="A23" s="408" t="s">
        <v>1726</v>
      </c>
      <c r="B23" s="410" t="s">
        <v>1727</v>
      </c>
    </row>
    <row r="24" spans="1:2">
      <c r="A24" s="408" t="s">
        <v>1728</v>
      </c>
      <c r="B24" s="410" t="s">
        <v>1729</v>
      </c>
    </row>
    <row r="25" spans="1:2">
      <c r="A25" s="408" t="s">
        <v>1730</v>
      </c>
      <c r="B25" s="410" t="s">
        <v>1731</v>
      </c>
    </row>
    <row r="26" spans="1:2">
      <c r="A26" s="408" t="s">
        <v>1732</v>
      </c>
      <c r="B26" s="410" t="s">
        <v>1733</v>
      </c>
    </row>
    <row r="27" spans="1:2">
      <c r="A27" s="408" t="s">
        <v>314</v>
      </c>
      <c r="B27" s="410" t="s">
        <v>1734</v>
      </c>
    </row>
    <row r="28" spans="1:2">
      <c r="A28" s="408" t="s">
        <v>1735</v>
      </c>
      <c r="B28" s="409" t="s">
        <v>1736</v>
      </c>
    </row>
  </sheetData>
  <mergeCells count="5">
    <mergeCell ref="A16:B16"/>
    <mergeCell ref="A10:B10"/>
    <mergeCell ref="A1:B1"/>
    <mergeCell ref="A3:B3"/>
    <mergeCell ref="A22:B22"/>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72"/>
  <sheetViews>
    <sheetView workbookViewId="0"/>
  </sheetViews>
  <sheetFormatPr defaultRowHeight="15"/>
  <cols>
    <col min="1" max="1" width="35" customWidth="1"/>
    <col min="2" max="2" width="15" customWidth="1"/>
    <col min="3" max="3" width="60" customWidth="1"/>
  </cols>
  <sheetData>
    <row r="1" spans="1:3" ht="18" customHeight="1">
      <c r="A1" s="512" t="s">
        <v>1737</v>
      </c>
      <c r="B1" s="494"/>
    </row>
    <row r="3" spans="1:3" ht="15.75" customHeight="1">
      <c r="A3" s="509" t="s">
        <v>1738</v>
      </c>
      <c r="B3" s="494"/>
    </row>
    <row r="4" spans="1:3">
      <c r="A4" s="408" t="s">
        <v>1739</v>
      </c>
      <c r="B4" s="408" t="s">
        <v>14</v>
      </c>
      <c r="C4" s="408" t="s">
        <v>598</v>
      </c>
    </row>
    <row r="5" spans="1:3">
      <c r="A5" s="342" t="s">
        <v>1740</v>
      </c>
      <c r="B5" s="411" t="s">
        <v>1741</v>
      </c>
      <c r="C5" s="342"/>
    </row>
    <row r="6" spans="1:3">
      <c r="A6" s="342" t="s">
        <v>1742</v>
      </c>
      <c r="B6" s="411" t="s">
        <v>1741</v>
      </c>
      <c r="C6" s="342"/>
    </row>
    <row r="7" spans="1:3">
      <c r="A7" s="342" t="s">
        <v>1743</v>
      </c>
      <c r="B7" s="411" t="s">
        <v>1741</v>
      </c>
      <c r="C7" s="342"/>
    </row>
    <row r="8" spans="1:3">
      <c r="A8" s="342" t="s">
        <v>1744</v>
      </c>
      <c r="B8" s="411" t="s">
        <v>1741</v>
      </c>
      <c r="C8" s="342"/>
    </row>
    <row r="9" spans="1:3">
      <c r="A9" s="342" t="s">
        <v>1745</v>
      </c>
      <c r="B9" s="411" t="s">
        <v>1741</v>
      </c>
      <c r="C9" s="342"/>
    </row>
    <row r="10" spans="1:3">
      <c r="A10" s="342" t="s">
        <v>1746</v>
      </c>
      <c r="B10" s="412" t="s">
        <v>1747</v>
      </c>
      <c r="C10" s="342" t="s">
        <v>1748</v>
      </c>
    </row>
    <row r="11" spans="1:3">
      <c r="A11" s="342" t="s">
        <v>1749</v>
      </c>
      <c r="B11" s="412" t="s">
        <v>1747</v>
      </c>
      <c r="C11" s="342" t="s">
        <v>1750</v>
      </c>
    </row>
    <row r="12" spans="1:3">
      <c r="A12" s="342" t="s">
        <v>1751</v>
      </c>
      <c r="B12" s="413" t="s">
        <v>1752</v>
      </c>
      <c r="C12" s="342" t="s">
        <v>1753</v>
      </c>
    </row>
    <row r="13" spans="1:3">
      <c r="A13" s="342" t="s">
        <v>1754</v>
      </c>
      <c r="B13" s="412" t="s">
        <v>1747</v>
      </c>
      <c r="C13" s="342" t="s">
        <v>1755</v>
      </c>
    </row>
    <row r="14" spans="1:3">
      <c r="A14" s="342" t="s">
        <v>1756</v>
      </c>
      <c r="B14" s="412" t="s">
        <v>1747</v>
      </c>
      <c r="C14" s="342" t="s">
        <v>1757</v>
      </c>
    </row>
    <row r="16" spans="1:3" ht="15.75" customHeight="1">
      <c r="A16" s="509" t="s">
        <v>1758</v>
      </c>
      <c r="B16" s="494"/>
    </row>
    <row r="17" spans="1:3">
      <c r="A17" s="408" t="s">
        <v>1739</v>
      </c>
      <c r="B17" s="408" t="s">
        <v>14</v>
      </c>
      <c r="C17" s="408" t="s">
        <v>598</v>
      </c>
    </row>
    <row r="18" spans="1:3">
      <c r="A18" s="342" t="s">
        <v>1759</v>
      </c>
      <c r="B18" s="411" t="s">
        <v>1741</v>
      </c>
      <c r="C18" s="342" t="s">
        <v>1760</v>
      </c>
    </row>
    <row r="19" spans="1:3">
      <c r="A19" s="342" t="s">
        <v>1761</v>
      </c>
      <c r="B19" s="411" t="s">
        <v>1741</v>
      </c>
      <c r="C19" s="342" t="s">
        <v>1762</v>
      </c>
    </row>
    <row r="20" spans="1:3">
      <c r="A20" s="342" t="s">
        <v>1763</v>
      </c>
      <c r="B20" s="411" t="s">
        <v>1741</v>
      </c>
      <c r="C20" s="342"/>
    </row>
    <row r="21" spans="1:3">
      <c r="A21" s="342" t="s">
        <v>1764</v>
      </c>
      <c r="B21" s="411" t="s">
        <v>1741</v>
      </c>
      <c r="C21" s="342"/>
    </row>
    <row r="22" spans="1:3">
      <c r="A22" s="342" t="s">
        <v>1765</v>
      </c>
      <c r="B22" s="412" t="s">
        <v>1747</v>
      </c>
      <c r="C22" s="342" t="s">
        <v>1766</v>
      </c>
    </row>
    <row r="23" spans="1:3">
      <c r="A23" s="342" t="s">
        <v>1767</v>
      </c>
      <c r="B23" s="413" t="s">
        <v>1752</v>
      </c>
      <c r="C23" s="342" t="s">
        <v>1768</v>
      </c>
    </row>
    <row r="25" spans="1:3" ht="15.75" customHeight="1">
      <c r="A25" s="509" t="s">
        <v>1769</v>
      </c>
      <c r="B25" s="494"/>
    </row>
    <row r="26" spans="1:3">
      <c r="A26" s="408" t="s">
        <v>1739</v>
      </c>
      <c r="B26" s="408" t="s">
        <v>14</v>
      </c>
      <c r="C26" s="408" t="s">
        <v>598</v>
      </c>
    </row>
    <row r="27" spans="1:3">
      <c r="A27" s="342" t="s">
        <v>1770</v>
      </c>
      <c r="B27" s="411" t="s">
        <v>1741</v>
      </c>
      <c r="C27" s="342" t="s">
        <v>1771</v>
      </c>
    </row>
    <row r="28" spans="1:3">
      <c r="A28" s="342" t="s">
        <v>1772</v>
      </c>
      <c r="B28" s="411" t="s">
        <v>1741</v>
      </c>
      <c r="C28" s="342" t="s">
        <v>1773</v>
      </c>
    </row>
    <row r="29" spans="1:3">
      <c r="A29" s="342" t="s">
        <v>1774</v>
      </c>
      <c r="B29" s="411" t="s">
        <v>1741</v>
      </c>
      <c r="C29" s="342" t="s">
        <v>1775</v>
      </c>
    </row>
    <row r="30" spans="1:3">
      <c r="A30" s="342" t="s">
        <v>1776</v>
      </c>
      <c r="B30" s="413" t="s">
        <v>1777</v>
      </c>
      <c r="C30" s="342" t="s">
        <v>1778</v>
      </c>
    </row>
    <row r="32" spans="1:3" ht="15.75" customHeight="1">
      <c r="A32" s="509" t="s">
        <v>1779</v>
      </c>
      <c r="B32" s="494"/>
    </row>
    <row r="33" spans="1:3">
      <c r="A33" s="408" t="s">
        <v>12</v>
      </c>
      <c r="B33" s="408" t="s">
        <v>13</v>
      </c>
      <c r="C33" s="408" t="s">
        <v>1780</v>
      </c>
    </row>
    <row r="34" spans="1:3" ht="26.25" customHeight="1">
      <c r="A34" s="342" t="s">
        <v>15</v>
      </c>
      <c r="B34" s="408" t="s">
        <v>1781</v>
      </c>
      <c r="C34" s="410" t="s">
        <v>1782</v>
      </c>
    </row>
    <row r="35" spans="1:3" ht="39" customHeight="1">
      <c r="A35" s="342" t="s">
        <v>18</v>
      </c>
      <c r="B35" s="408" t="s">
        <v>1783</v>
      </c>
      <c r="C35" s="410" t="s">
        <v>1784</v>
      </c>
    </row>
    <row r="36" spans="1:3" ht="26.25" customHeight="1">
      <c r="A36" s="342" t="s">
        <v>20</v>
      </c>
      <c r="B36" s="408" t="s">
        <v>1785</v>
      </c>
      <c r="C36" s="410" t="s">
        <v>1786</v>
      </c>
    </row>
    <row r="37" spans="1:3" ht="26.25" customHeight="1">
      <c r="A37" s="342" t="s">
        <v>22</v>
      </c>
      <c r="B37" s="408" t="s">
        <v>1787</v>
      </c>
      <c r="C37" s="410" t="s">
        <v>1788</v>
      </c>
    </row>
    <row r="38" spans="1:3">
      <c r="A38" s="342" t="s">
        <v>24</v>
      </c>
      <c r="B38" s="408" t="s">
        <v>1789</v>
      </c>
      <c r="C38" s="410" t="s">
        <v>1790</v>
      </c>
    </row>
    <row r="40" spans="1:3" ht="15.75" customHeight="1">
      <c r="A40" s="509" t="s">
        <v>1791</v>
      </c>
      <c r="B40" s="494"/>
      <c r="C40" s="494"/>
    </row>
    <row r="41" spans="1:3" ht="115.5" customHeight="1">
      <c r="A41" s="408" t="s">
        <v>1792</v>
      </c>
      <c r="B41" s="408" t="s">
        <v>1793</v>
      </c>
      <c r="C41" s="410" t="s">
        <v>1794</v>
      </c>
    </row>
    <row r="43" spans="1:3" ht="15.75" customHeight="1">
      <c r="A43" s="509" t="s">
        <v>1795</v>
      </c>
      <c r="B43" s="494"/>
      <c r="C43" s="494"/>
    </row>
    <row r="44" spans="1:3">
      <c r="A44" s="408" t="s">
        <v>13</v>
      </c>
      <c r="B44" s="408" t="s">
        <v>1443</v>
      </c>
      <c r="C44" s="408" t="s">
        <v>598</v>
      </c>
    </row>
    <row r="45" spans="1:3" ht="26.25" customHeight="1">
      <c r="A45" s="342" t="s">
        <v>1796</v>
      </c>
      <c r="B45" s="342" t="s">
        <v>1797</v>
      </c>
      <c r="C45" s="410" t="s">
        <v>1798</v>
      </c>
    </row>
    <row r="46" spans="1:3">
      <c r="A46" s="342" t="s">
        <v>1799</v>
      </c>
      <c r="B46" s="342" t="s">
        <v>1800</v>
      </c>
      <c r="C46" s="410" t="s">
        <v>1801</v>
      </c>
    </row>
    <row r="47" spans="1:3" ht="26.25" customHeight="1">
      <c r="A47" s="342" t="s">
        <v>1802</v>
      </c>
      <c r="B47" s="342" t="s">
        <v>1803</v>
      </c>
      <c r="C47" s="410" t="s">
        <v>1804</v>
      </c>
    </row>
    <row r="48" spans="1:3" ht="26.25" customHeight="1">
      <c r="A48" s="342" t="s">
        <v>1202</v>
      </c>
      <c r="B48" s="416" t="s">
        <v>1741</v>
      </c>
      <c r="C48" s="410" t="s">
        <v>1805</v>
      </c>
    </row>
    <row r="49" spans="1:3">
      <c r="A49" s="342" t="s">
        <v>1806</v>
      </c>
      <c r="B49" s="416" t="s">
        <v>1741</v>
      </c>
      <c r="C49" s="410" t="s">
        <v>1807</v>
      </c>
    </row>
    <row r="50" spans="1:3" ht="26.25" customHeight="1">
      <c r="A50" s="342" t="s">
        <v>1808</v>
      </c>
      <c r="B50" s="416" t="s">
        <v>1741</v>
      </c>
      <c r="C50" s="410" t="s">
        <v>1809</v>
      </c>
    </row>
    <row r="51" spans="1:3" ht="26.25" customHeight="1">
      <c r="A51" s="342" t="s">
        <v>1224</v>
      </c>
      <c r="B51" s="416" t="s">
        <v>1741</v>
      </c>
      <c r="C51" s="410" t="s">
        <v>1810</v>
      </c>
    </row>
    <row r="52" spans="1:3" ht="26.25" customHeight="1">
      <c r="A52" s="342" t="s">
        <v>1811</v>
      </c>
      <c r="B52" s="416" t="s">
        <v>1741</v>
      </c>
      <c r="C52" s="410" t="s">
        <v>1812</v>
      </c>
    </row>
    <row r="53" spans="1:3">
      <c r="A53" s="342" t="s">
        <v>816</v>
      </c>
      <c r="B53" s="417" t="s">
        <v>1813</v>
      </c>
      <c r="C53" s="410" t="s">
        <v>1814</v>
      </c>
    </row>
    <row r="54" spans="1:3" ht="26.25" customHeight="1">
      <c r="A54" s="342" t="s">
        <v>1815</v>
      </c>
      <c r="B54" s="416" t="s">
        <v>463</v>
      </c>
      <c r="C54" s="410" t="s">
        <v>1816</v>
      </c>
    </row>
    <row r="55" spans="1:3" ht="26.25" customHeight="1">
      <c r="A55" s="342" t="s">
        <v>1817</v>
      </c>
      <c r="B55" s="342" t="s">
        <v>400</v>
      </c>
      <c r="C55" s="410" t="s">
        <v>1818</v>
      </c>
    </row>
    <row r="57" spans="1:3">
      <c r="A57" s="511" t="s">
        <v>1819</v>
      </c>
      <c r="B57" s="494"/>
      <c r="C57" s="494"/>
    </row>
    <row r="58" spans="1:3" ht="15.75" customHeight="1">
      <c r="A58" s="509" t="s">
        <v>419</v>
      </c>
      <c r="B58" s="494"/>
      <c r="C58" s="494"/>
    </row>
    <row r="59" spans="1:3" ht="26.25" customHeight="1">
      <c r="A59" s="342" t="s">
        <v>15</v>
      </c>
      <c r="B59" s="408" t="s">
        <v>1820</v>
      </c>
      <c r="C59" s="410" t="s">
        <v>1821</v>
      </c>
    </row>
    <row r="60" spans="1:3" ht="26.25" customHeight="1">
      <c r="A60" s="342" t="s">
        <v>18</v>
      </c>
      <c r="B60" s="408" t="s">
        <v>1822</v>
      </c>
      <c r="C60" s="410" t="s">
        <v>1823</v>
      </c>
    </row>
    <row r="61" spans="1:3">
      <c r="A61" s="342" t="s">
        <v>20</v>
      </c>
      <c r="B61" s="408" t="s">
        <v>1824</v>
      </c>
      <c r="C61" s="410" t="s">
        <v>1825</v>
      </c>
    </row>
    <row r="62" spans="1:3" ht="26.25" customHeight="1">
      <c r="A62" s="342" t="s">
        <v>22</v>
      </c>
      <c r="B62" s="408" t="s">
        <v>1826</v>
      </c>
      <c r="C62" s="410" t="s">
        <v>1827</v>
      </c>
    </row>
    <row r="63" spans="1:3">
      <c r="A63" s="342" t="s">
        <v>24</v>
      </c>
      <c r="B63" s="408" t="s">
        <v>1828</v>
      </c>
      <c r="C63" s="410" t="s">
        <v>1829</v>
      </c>
    </row>
    <row r="64" spans="1:3" ht="26.25" customHeight="1">
      <c r="A64" s="342" t="s">
        <v>26</v>
      </c>
      <c r="B64" s="408" t="s">
        <v>1830</v>
      </c>
      <c r="C64" s="410" t="s">
        <v>1831</v>
      </c>
    </row>
    <row r="66" spans="1:3">
      <c r="A66" s="460" t="s">
        <v>1832</v>
      </c>
    </row>
    <row r="67" spans="1:3" ht="24" customHeight="1">
      <c r="A67" s="461" t="s">
        <v>1833</v>
      </c>
      <c r="B67" s="461" t="s">
        <v>1834</v>
      </c>
      <c r="C67" s="461" t="s">
        <v>1835</v>
      </c>
    </row>
    <row r="68" spans="1:3" ht="36" customHeight="1">
      <c r="A68" s="461" t="s">
        <v>1572</v>
      </c>
      <c r="B68" s="461" t="s">
        <v>1836</v>
      </c>
      <c r="C68" s="461" t="s">
        <v>1837</v>
      </c>
    </row>
    <row r="69" spans="1:3">
      <c r="A69" s="461" t="s">
        <v>1838</v>
      </c>
      <c r="B69" s="461" t="s">
        <v>1839</v>
      </c>
      <c r="C69" s="461" t="s">
        <v>1840</v>
      </c>
    </row>
    <row r="70" spans="1:3" ht="36" customHeight="1">
      <c r="A70" s="461" t="s">
        <v>1841</v>
      </c>
      <c r="B70" s="461" t="s">
        <v>1842</v>
      </c>
      <c r="C70" s="461" t="s">
        <v>1843</v>
      </c>
    </row>
    <row r="71" spans="1:3" ht="24" customHeight="1">
      <c r="A71" s="461" t="s">
        <v>1844</v>
      </c>
      <c r="B71" s="461" t="s">
        <v>1845</v>
      </c>
      <c r="C71" s="461" t="s">
        <v>1846</v>
      </c>
    </row>
    <row r="72" spans="1:3" ht="48" customHeight="1">
      <c r="A72" s="461" t="s">
        <v>1568</v>
      </c>
      <c r="B72" s="461" t="s">
        <v>1847</v>
      </c>
      <c r="C72" s="461" t="s">
        <v>1848</v>
      </c>
    </row>
  </sheetData>
  <mergeCells count="9">
    <mergeCell ref="A1:B1"/>
    <mergeCell ref="A43:C43"/>
    <mergeCell ref="A3:B3"/>
    <mergeCell ref="A16:B16"/>
    <mergeCell ref="A25:B25"/>
    <mergeCell ref="A57:C57"/>
    <mergeCell ref="A58:C58"/>
    <mergeCell ref="A40:C40"/>
    <mergeCell ref="A32:B32"/>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12"/>
  <sheetViews>
    <sheetView workbookViewId="0"/>
  </sheetViews>
  <sheetFormatPr defaultRowHeight="15"/>
  <cols>
    <col min="1" max="1" width="5" customWidth="1"/>
    <col min="2" max="2" width="100" customWidth="1"/>
  </cols>
  <sheetData>
    <row r="1" spans="1:2" ht="18" customHeight="1">
      <c r="A1" s="510" t="s">
        <v>1849</v>
      </c>
      <c r="B1" s="494"/>
    </row>
    <row r="3" spans="1:2" ht="30" customHeight="1">
      <c r="A3" s="408" t="s">
        <v>15</v>
      </c>
      <c r="B3" s="410" t="s">
        <v>1850</v>
      </c>
    </row>
    <row r="4" spans="1:2" ht="30" customHeight="1">
      <c r="A4" s="408" t="s">
        <v>18</v>
      </c>
      <c r="B4" s="410" t="s">
        <v>1851</v>
      </c>
    </row>
    <row r="5" spans="1:2" ht="30" customHeight="1">
      <c r="A5" s="408" t="s">
        <v>20</v>
      </c>
      <c r="B5" s="410" t="s">
        <v>1852</v>
      </c>
    </row>
    <row r="6" spans="1:2" ht="30" customHeight="1">
      <c r="A6" s="408" t="s">
        <v>22</v>
      </c>
      <c r="B6" s="410" t="s">
        <v>1853</v>
      </c>
    </row>
    <row r="7" spans="1:2" ht="30" customHeight="1">
      <c r="A7" s="408" t="s">
        <v>24</v>
      </c>
      <c r="B7" s="410" t="s">
        <v>1854</v>
      </c>
    </row>
    <row r="8" spans="1:2" ht="30" customHeight="1">
      <c r="A8" s="408" t="s">
        <v>26</v>
      </c>
      <c r="B8" s="410" t="s">
        <v>1855</v>
      </c>
    </row>
    <row r="9" spans="1:2" ht="30" customHeight="1">
      <c r="A9" s="408" t="s">
        <v>28</v>
      </c>
      <c r="B9" s="410" t="s">
        <v>1856</v>
      </c>
    </row>
    <row r="10" spans="1:2" ht="30" customHeight="1">
      <c r="A10" s="408" t="s">
        <v>30</v>
      </c>
      <c r="B10" s="410" t="s">
        <v>1857</v>
      </c>
    </row>
    <row r="11" spans="1:2" ht="30" customHeight="1">
      <c r="A11" s="408" t="s">
        <v>32</v>
      </c>
      <c r="B11" s="410" t="s">
        <v>1858</v>
      </c>
    </row>
    <row r="12" spans="1:2" ht="30" customHeight="1">
      <c r="A12" s="408" t="s">
        <v>34</v>
      </c>
      <c r="B12" s="410" t="s">
        <v>1859</v>
      </c>
    </row>
  </sheetData>
  <mergeCells count="1">
    <mergeCell ref="A1:B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65"/>
  <sheetViews>
    <sheetView workbookViewId="0"/>
  </sheetViews>
  <sheetFormatPr defaultRowHeight="15"/>
  <cols>
    <col min="1" max="1" width="30" customWidth="1"/>
    <col min="2" max="2" width="25" customWidth="1"/>
    <col min="3" max="3" width="20" customWidth="1"/>
    <col min="4" max="4" width="50" customWidth="1"/>
  </cols>
  <sheetData>
    <row r="1" spans="1:4" ht="18" customHeight="1">
      <c r="A1" s="510" t="s">
        <v>1860</v>
      </c>
      <c r="B1" s="494"/>
      <c r="C1" s="494"/>
      <c r="D1" s="494"/>
    </row>
    <row r="3" spans="1:4">
      <c r="A3" s="515" t="s">
        <v>1861</v>
      </c>
      <c r="B3" s="494"/>
      <c r="C3" s="494"/>
      <c r="D3" s="494"/>
    </row>
    <row r="5" spans="1:4" ht="15.75" customHeight="1">
      <c r="A5" s="509" t="s">
        <v>1862</v>
      </c>
      <c r="B5" s="494"/>
      <c r="C5" s="494"/>
      <c r="D5" s="494"/>
    </row>
    <row r="6" spans="1:4">
      <c r="A6" s="408" t="s">
        <v>1863</v>
      </c>
      <c r="B6" s="408" t="s">
        <v>1864</v>
      </c>
      <c r="C6" s="408" t="s">
        <v>1865</v>
      </c>
      <c r="D6" s="408" t="s">
        <v>14</v>
      </c>
    </row>
    <row r="7" spans="1:4" ht="39" customHeight="1">
      <c r="A7" s="342" t="s">
        <v>1866</v>
      </c>
      <c r="B7" s="410" t="s">
        <v>1867</v>
      </c>
      <c r="C7" s="342" t="s">
        <v>1868</v>
      </c>
      <c r="D7" s="417" t="s">
        <v>1869</v>
      </c>
    </row>
    <row r="8" spans="1:4" ht="26.25" customHeight="1">
      <c r="A8" s="342" t="s">
        <v>1870</v>
      </c>
      <c r="B8" s="410" t="s">
        <v>1871</v>
      </c>
      <c r="C8" s="342" t="s">
        <v>1872</v>
      </c>
      <c r="D8" s="417" t="s">
        <v>1869</v>
      </c>
    </row>
    <row r="9" spans="1:4" ht="64.5" customHeight="1">
      <c r="A9" s="342" t="s">
        <v>1873</v>
      </c>
      <c r="B9" s="410" t="s">
        <v>1874</v>
      </c>
      <c r="C9" s="342" t="s">
        <v>1875</v>
      </c>
      <c r="D9" s="417" t="s">
        <v>1869</v>
      </c>
    </row>
    <row r="10" spans="1:4" ht="39" customHeight="1">
      <c r="A10" s="342" t="s">
        <v>1876</v>
      </c>
      <c r="B10" s="410" t="s">
        <v>1877</v>
      </c>
      <c r="C10" s="342" t="s">
        <v>1878</v>
      </c>
      <c r="D10" s="417" t="s">
        <v>1869</v>
      </c>
    </row>
    <row r="11" spans="1:4" ht="51.75" customHeight="1">
      <c r="A11" s="342" t="s">
        <v>1879</v>
      </c>
      <c r="B11" s="410" t="s">
        <v>1880</v>
      </c>
      <c r="C11" s="342" t="s">
        <v>1881</v>
      </c>
      <c r="D11" s="417" t="s">
        <v>1869</v>
      </c>
    </row>
    <row r="12" spans="1:4" ht="39" customHeight="1">
      <c r="A12" s="342" t="s">
        <v>1882</v>
      </c>
      <c r="B12" s="410" t="s">
        <v>1883</v>
      </c>
      <c r="C12" s="342" t="s">
        <v>1884</v>
      </c>
      <c r="D12" s="417" t="s">
        <v>1869</v>
      </c>
    </row>
    <row r="13" spans="1:4" ht="39" customHeight="1">
      <c r="A13" s="342" t="s">
        <v>1885</v>
      </c>
      <c r="B13" s="410" t="s">
        <v>1886</v>
      </c>
      <c r="C13" s="342" t="s">
        <v>1887</v>
      </c>
      <c r="D13" s="417" t="s">
        <v>1869</v>
      </c>
    </row>
    <row r="14" spans="1:4" ht="39" customHeight="1">
      <c r="A14" s="342" t="s">
        <v>1888</v>
      </c>
      <c r="B14" s="410" t="s">
        <v>1889</v>
      </c>
      <c r="C14" s="342" t="s">
        <v>1890</v>
      </c>
      <c r="D14" s="417" t="s">
        <v>1869</v>
      </c>
    </row>
    <row r="15" spans="1:4" ht="51.75" customHeight="1">
      <c r="A15" s="342" t="s">
        <v>1891</v>
      </c>
      <c r="B15" s="410" t="s">
        <v>1892</v>
      </c>
      <c r="C15" s="342" t="s">
        <v>1893</v>
      </c>
      <c r="D15" s="417" t="s">
        <v>1869</v>
      </c>
    </row>
    <row r="16" spans="1:4" ht="39" customHeight="1">
      <c r="A16" s="342" t="s">
        <v>1894</v>
      </c>
      <c r="B16" s="410" t="s">
        <v>1895</v>
      </c>
      <c r="C16" s="342" t="s">
        <v>1896</v>
      </c>
      <c r="D16" s="417" t="s">
        <v>1869</v>
      </c>
    </row>
    <row r="18" spans="1:4" ht="15.75" customHeight="1">
      <c r="A18" s="509" t="s">
        <v>1897</v>
      </c>
      <c r="B18" s="494"/>
      <c r="C18" s="494"/>
      <c r="D18" s="494"/>
    </row>
    <row r="19" spans="1:4">
      <c r="A19" s="408" t="s">
        <v>1898</v>
      </c>
      <c r="B19" s="513" t="s">
        <v>1899</v>
      </c>
      <c r="C19" s="494"/>
      <c r="D19" s="494"/>
    </row>
    <row r="20" spans="1:4">
      <c r="A20" s="408" t="s">
        <v>1900</v>
      </c>
      <c r="B20" s="513" t="s">
        <v>1901</v>
      </c>
      <c r="C20" s="494"/>
      <c r="D20" s="494"/>
    </row>
    <row r="21" spans="1:4">
      <c r="A21" s="408" t="s">
        <v>815</v>
      </c>
      <c r="B21" s="513" t="s">
        <v>1902</v>
      </c>
      <c r="C21" s="494"/>
      <c r="D21" s="494"/>
    </row>
    <row r="22" spans="1:4">
      <c r="A22" s="408" t="s">
        <v>817</v>
      </c>
      <c r="B22" s="513" t="s">
        <v>1903</v>
      </c>
      <c r="C22" s="494"/>
      <c r="D22" s="494"/>
    </row>
    <row r="23" spans="1:4">
      <c r="A23" s="408" t="s">
        <v>1904</v>
      </c>
      <c r="B23" s="513" t="s">
        <v>1905</v>
      </c>
      <c r="C23" s="494"/>
      <c r="D23" s="494"/>
    </row>
    <row r="25" spans="1:4" ht="15.75" customHeight="1">
      <c r="A25" s="509" t="s">
        <v>1906</v>
      </c>
      <c r="B25" s="494"/>
      <c r="C25" s="494"/>
      <c r="D25" s="494"/>
    </row>
    <row r="26" spans="1:4">
      <c r="A26" s="418" t="s">
        <v>1907</v>
      </c>
      <c r="B26" s="514" t="s">
        <v>1908</v>
      </c>
      <c r="C26" s="494"/>
      <c r="D26" s="494"/>
    </row>
    <row r="27" spans="1:4">
      <c r="A27" s="418" t="s">
        <v>1909</v>
      </c>
      <c r="B27" s="514" t="s">
        <v>1910</v>
      </c>
      <c r="C27" s="494"/>
      <c r="D27" s="494"/>
    </row>
    <row r="28" spans="1:4">
      <c r="A28" s="418" t="s">
        <v>1911</v>
      </c>
      <c r="B28" s="514" t="s">
        <v>1912</v>
      </c>
      <c r="C28" s="494"/>
      <c r="D28" s="494"/>
    </row>
    <row r="29" spans="1:4">
      <c r="A29" s="418" t="s">
        <v>1913</v>
      </c>
      <c r="B29" s="514" t="s">
        <v>1914</v>
      </c>
      <c r="C29" s="494"/>
      <c r="D29" s="494"/>
    </row>
    <row r="30" spans="1:4">
      <c r="A30" s="418" t="s">
        <v>1915</v>
      </c>
      <c r="B30" s="514" t="s">
        <v>1916</v>
      </c>
      <c r="C30" s="494"/>
      <c r="D30" s="494"/>
    </row>
    <row r="31" spans="1:4">
      <c r="A31" s="418" t="s">
        <v>1917</v>
      </c>
      <c r="B31" s="514" t="s">
        <v>1918</v>
      </c>
      <c r="C31" s="494"/>
      <c r="D31" s="494"/>
    </row>
    <row r="32" spans="1:4">
      <c r="A32" s="418" t="s">
        <v>1919</v>
      </c>
      <c r="B32" s="514" t="s">
        <v>1920</v>
      </c>
      <c r="C32" s="494"/>
      <c r="D32" s="494"/>
    </row>
    <row r="33" spans="1:4">
      <c r="A33" s="418" t="s">
        <v>1921</v>
      </c>
      <c r="B33" s="514" t="s">
        <v>1922</v>
      </c>
      <c r="C33" s="494"/>
      <c r="D33" s="494"/>
    </row>
    <row r="34" spans="1:4">
      <c r="A34" s="418" t="s">
        <v>1923</v>
      </c>
      <c r="B34" s="514" t="s">
        <v>1924</v>
      </c>
      <c r="C34" s="494"/>
      <c r="D34" s="494"/>
    </row>
    <row r="36" spans="1:4" ht="15.75" customHeight="1">
      <c r="A36" s="509" t="s">
        <v>1925</v>
      </c>
      <c r="B36" s="494"/>
      <c r="C36" s="494"/>
      <c r="D36" s="494"/>
    </row>
    <row r="37" spans="1:4">
      <c r="A37" s="419" t="s">
        <v>1926</v>
      </c>
      <c r="B37" s="342" t="s">
        <v>1927</v>
      </c>
    </row>
    <row r="38" spans="1:4">
      <c r="A38" s="419" t="s">
        <v>1928</v>
      </c>
      <c r="B38" s="342" t="s">
        <v>1929</v>
      </c>
    </row>
    <row r="39" spans="1:4">
      <c r="A39" s="419" t="s">
        <v>1930</v>
      </c>
      <c r="B39" s="342" t="s">
        <v>1931</v>
      </c>
    </row>
    <row r="40" spans="1:4">
      <c r="A40" s="419" t="s">
        <v>1932</v>
      </c>
      <c r="B40" s="342" t="s">
        <v>1933</v>
      </c>
    </row>
    <row r="41" spans="1:4">
      <c r="A41" s="419" t="s">
        <v>1934</v>
      </c>
      <c r="B41" s="342" t="s">
        <v>1935</v>
      </c>
    </row>
    <row r="42" spans="1:4">
      <c r="A42" s="419" t="s">
        <v>1936</v>
      </c>
      <c r="B42" s="342" t="s">
        <v>1937</v>
      </c>
    </row>
    <row r="43" spans="1:4">
      <c r="A43" s="419" t="s">
        <v>1938</v>
      </c>
      <c r="B43" s="342" t="s">
        <v>1939</v>
      </c>
    </row>
    <row r="44" spans="1:4">
      <c r="A44" s="419" t="s">
        <v>1940</v>
      </c>
      <c r="B44" s="342" t="s">
        <v>1941</v>
      </c>
    </row>
    <row r="45" spans="1:4">
      <c r="A45" s="419" t="s">
        <v>1942</v>
      </c>
      <c r="B45" s="342" t="s">
        <v>1943</v>
      </c>
    </row>
    <row r="46" spans="1:4">
      <c r="A46" s="419" t="s">
        <v>1944</v>
      </c>
      <c r="B46" s="342" t="s">
        <v>1945</v>
      </c>
    </row>
    <row r="47" spans="1:4">
      <c r="A47" s="419" t="s">
        <v>1946</v>
      </c>
      <c r="B47" s="342" t="s">
        <v>1947</v>
      </c>
    </row>
    <row r="48" spans="1:4">
      <c r="A48" s="419" t="s">
        <v>1948</v>
      </c>
      <c r="B48" s="342" t="s">
        <v>1949</v>
      </c>
    </row>
    <row r="50" spans="1:4" ht="15.75" customHeight="1">
      <c r="A50" s="509" t="s">
        <v>1950</v>
      </c>
      <c r="B50" s="494"/>
      <c r="C50" s="494"/>
      <c r="D50" s="494"/>
    </row>
    <row r="51" spans="1:4">
      <c r="A51" s="342" t="s">
        <v>1951</v>
      </c>
    </row>
    <row r="52" spans="1:4">
      <c r="A52" s="342" t="s">
        <v>646</v>
      </c>
    </row>
    <row r="53" spans="1:4">
      <c r="A53" s="342" t="s">
        <v>1952</v>
      </c>
    </row>
    <row r="54" spans="1:4">
      <c r="A54" s="342" t="s">
        <v>1953</v>
      </c>
    </row>
    <row r="55" spans="1:4">
      <c r="A55" s="342" t="s">
        <v>1954</v>
      </c>
    </row>
    <row r="56" spans="1:4">
      <c r="A56" s="342" t="s">
        <v>643</v>
      </c>
    </row>
    <row r="57" spans="1:4">
      <c r="A57" s="342" t="s">
        <v>661</v>
      </c>
    </row>
    <row r="58" spans="1:4">
      <c r="A58" s="342" t="s">
        <v>683</v>
      </c>
    </row>
    <row r="59" spans="1:4">
      <c r="A59" s="342" t="s">
        <v>676</v>
      </c>
    </row>
    <row r="60" spans="1:4">
      <c r="A60" s="342" t="s">
        <v>1955</v>
      </c>
    </row>
    <row r="61" spans="1:4">
      <c r="A61" s="342" t="s">
        <v>1956</v>
      </c>
    </row>
    <row r="62" spans="1:4">
      <c r="A62" s="342" t="s">
        <v>1957</v>
      </c>
    </row>
    <row r="63" spans="1:4">
      <c r="A63" s="342" t="s">
        <v>1958</v>
      </c>
    </row>
    <row r="64" spans="1:4">
      <c r="A64" s="342" t="s">
        <v>1959</v>
      </c>
    </row>
    <row r="65" spans="1:1">
      <c r="A65" s="342" t="s">
        <v>1960</v>
      </c>
    </row>
  </sheetData>
  <mergeCells count="21">
    <mergeCell ref="A50:D50"/>
    <mergeCell ref="B22:D22"/>
    <mergeCell ref="A3:D3"/>
    <mergeCell ref="B27:D27"/>
    <mergeCell ref="B21:D21"/>
    <mergeCell ref="A36:D36"/>
    <mergeCell ref="B20:D20"/>
    <mergeCell ref="B33:D33"/>
    <mergeCell ref="A1:D1"/>
    <mergeCell ref="B32:D32"/>
    <mergeCell ref="B26:D26"/>
    <mergeCell ref="A25:D25"/>
    <mergeCell ref="A18:D18"/>
    <mergeCell ref="B31:D31"/>
    <mergeCell ref="A5:D5"/>
    <mergeCell ref="B23:D23"/>
    <mergeCell ref="B29:D29"/>
    <mergeCell ref="B34:D34"/>
    <mergeCell ref="B28:D28"/>
    <mergeCell ref="B19:D19"/>
    <mergeCell ref="B30:D30"/>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61"/>
  <sheetViews>
    <sheetView workbookViewId="0"/>
  </sheetViews>
  <sheetFormatPr defaultRowHeight="15"/>
  <cols>
    <col min="1" max="1" width="35" customWidth="1"/>
    <col min="2" max="2" width="40" customWidth="1"/>
    <col min="3" max="3" width="50" customWidth="1"/>
  </cols>
  <sheetData>
    <row r="1" spans="1:3" ht="18" customHeight="1">
      <c r="A1" s="510" t="s">
        <v>1961</v>
      </c>
      <c r="B1" s="494"/>
      <c r="C1" s="494"/>
    </row>
    <row r="3" spans="1:3">
      <c r="A3" s="516" t="s">
        <v>1962</v>
      </c>
      <c r="B3" s="494"/>
      <c r="C3" s="494"/>
    </row>
    <row r="5" spans="1:3" ht="15.75" customHeight="1">
      <c r="A5" s="509" t="s">
        <v>1963</v>
      </c>
      <c r="B5" s="494"/>
      <c r="C5" s="494"/>
    </row>
    <row r="6" spans="1:3">
      <c r="A6" s="408" t="s">
        <v>1964</v>
      </c>
      <c r="B6" s="408" t="s">
        <v>1965</v>
      </c>
      <c r="C6" s="408" t="s">
        <v>1966</v>
      </c>
    </row>
    <row r="7" spans="1:3" ht="39" customHeight="1">
      <c r="A7" s="342" t="s">
        <v>1967</v>
      </c>
      <c r="B7" s="418" t="s">
        <v>1909</v>
      </c>
      <c r="C7" s="410" t="s">
        <v>1968</v>
      </c>
    </row>
    <row r="8" spans="1:3" ht="39" customHeight="1">
      <c r="A8" s="342" t="s">
        <v>1969</v>
      </c>
      <c r="B8" s="418" t="s">
        <v>1919</v>
      </c>
      <c r="C8" s="410" t="s">
        <v>1970</v>
      </c>
    </row>
    <row r="9" spans="1:3" ht="39" customHeight="1">
      <c r="A9" s="342" t="s">
        <v>1971</v>
      </c>
      <c r="B9" s="418" t="s">
        <v>1972</v>
      </c>
      <c r="C9" s="410" t="s">
        <v>1973</v>
      </c>
    </row>
    <row r="10" spans="1:3" ht="39" customHeight="1">
      <c r="A10" s="342" t="s">
        <v>1974</v>
      </c>
      <c r="B10" s="418" t="s">
        <v>1975</v>
      </c>
      <c r="C10" s="410" t="s">
        <v>1976</v>
      </c>
    </row>
    <row r="11" spans="1:3" ht="51.75" customHeight="1">
      <c r="A11" s="342" t="s">
        <v>1977</v>
      </c>
      <c r="B11" s="418" t="s">
        <v>1915</v>
      </c>
      <c r="C11" s="410" t="s">
        <v>1978</v>
      </c>
    </row>
    <row r="12" spans="1:3" ht="26.25" customHeight="1">
      <c r="A12" s="342" t="s">
        <v>1979</v>
      </c>
      <c r="B12" s="418" t="s">
        <v>1907</v>
      </c>
      <c r="C12" s="410" t="s">
        <v>1980</v>
      </c>
    </row>
    <row r="13" spans="1:3" ht="39" customHeight="1">
      <c r="A13" s="342" t="s">
        <v>1981</v>
      </c>
      <c r="B13" s="418" t="s">
        <v>1921</v>
      </c>
      <c r="C13" s="410" t="s">
        <v>1982</v>
      </c>
    </row>
    <row r="14" spans="1:3" ht="26.25" customHeight="1">
      <c r="A14" s="342" t="s">
        <v>1983</v>
      </c>
      <c r="B14" s="418" t="s">
        <v>1984</v>
      </c>
      <c r="C14" s="410" t="s">
        <v>1985</v>
      </c>
    </row>
    <row r="15" spans="1:3">
      <c r="A15" s="342" t="s">
        <v>1986</v>
      </c>
      <c r="B15" s="418" t="s">
        <v>1987</v>
      </c>
      <c r="C15" s="410" t="s">
        <v>1988</v>
      </c>
    </row>
    <row r="16" spans="1:3">
      <c r="A16" s="342" t="s">
        <v>1989</v>
      </c>
      <c r="B16" s="418" t="s">
        <v>1990</v>
      </c>
      <c r="C16" s="410" t="s">
        <v>1991</v>
      </c>
    </row>
    <row r="18" spans="1:3" ht="15.75" customHeight="1">
      <c r="A18" s="509" t="s">
        <v>1992</v>
      </c>
      <c r="B18" s="494"/>
      <c r="C18" s="494"/>
    </row>
    <row r="19" spans="1:3">
      <c r="A19" s="408" t="s">
        <v>1993</v>
      </c>
      <c r="B19" s="513" t="s">
        <v>1994</v>
      </c>
      <c r="C19" s="494"/>
    </row>
    <row r="20" spans="1:3">
      <c r="A20" s="408" t="s">
        <v>1995</v>
      </c>
      <c r="B20" s="513" t="s">
        <v>1996</v>
      </c>
      <c r="C20" s="494"/>
    </row>
    <row r="21" spans="1:3">
      <c r="A21" s="408" t="s">
        <v>1997</v>
      </c>
      <c r="B21" s="513" t="s">
        <v>1998</v>
      </c>
      <c r="C21" s="494"/>
    </row>
    <row r="22" spans="1:3">
      <c r="A22" s="408" t="s">
        <v>1999</v>
      </c>
      <c r="B22" s="513" t="s">
        <v>2000</v>
      </c>
      <c r="C22" s="494"/>
    </row>
    <row r="23" spans="1:3">
      <c r="A23" s="408" t="s">
        <v>2001</v>
      </c>
      <c r="B23" s="513" t="s">
        <v>2002</v>
      </c>
      <c r="C23" s="494"/>
    </row>
    <row r="24" spans="1:3">
      <c r="A24" s="408" t="s">
        <v>2003</v>
      </c>
      <c r="B24" s="513" t="s">
        <v>2004</v>
      </c>
      <c r="C24" s="494"/>
    </row>
    <row r="25" spans="1:3">
      <c r="A25" s="408" t="s">
        <v>2005</v>
      </c>
      <c r="B25" s="513" t="s">
        <v>2006</v>
      </c>
      <c r="C25" s="494"/>
    </row>
    <row r="26" spans="1:3">
      <c r="A26" s="408" t="s">
        <v>2007</v>
      </c>
      <c r="B26" s="513" t="s">
        <v>2008</v>
      </c>
      <c r="C26" s="494"/>
    </row>
    <row r="27" spans="1:3">
      <c r="A27" s="417" t="s">
        <v>2009</v>
      </c>
      <c r="B27" s="513" t="s">
        <v>2010</v>
      </c>
      <c r="C27" s="494"/>
    </row>
    <row r="29" spans="1:3" ht="15.75" customHeight="1">
      <c r="A29" s="509" t="s">
        <v>2011</v>
      </c>
      <c r="B29" s="494"/>
      <c r="C29" s="494"/>
    </row>
    <row r="30" spans="1:3" ht="39" customHeight="1">
      <c r="A30" s="408" t="s">
        <v>2012</v>
      </c>
      <c r="B30" s="418" t="s">
        <v>1907</v>
      </c>
      <c r="C30" s="410" t="s">
        <v>2013</v>
      </c>
    </row>
    <row r="31" spans="1:3" ht="39" customHeight="1">
      <c r="A31" s="408" t="s">
        <v>2014</v>
      </c>
      <c r="B31" s="418" t="s">
        <v>1909</v>
      </c>
      <c r="C31" s="410" t="s">
        <v>2015</v>
      </c>
    </row>
    <row r="32" spans="1:3" ht="26.25" customHeight="1">
      <c r="A32" s="408" t="s">
        <v>2016</v>
      </c>
      <c r="B32" s="418" t="s">
        <v>1909</v>
      </c>
      <c r="C32" s="410" t="s">
        <v>2017</v>
      </c>
    </row>
    <row r="34" spans="1:3" ht="15.75" customHeight="1">
      <c r="A34" s="509" t="s">
        <v>2018</v>
      </c>
      <c r="B34" s="494"/>
      <c r="C34" s="494"/>
    </row>
    <row r="35" spans="1:3" ht="26.25" customHeight="1">
      <c r="A35" s="408" t="s">
        <v>2019</v>
      </c>
      <c r="B35" s="418" t="s">
        <v>1917</v>
      </c>
      <c r="C35" s="410" t="s">
        <v>2020</v>
      </c>
    </row>
    <row r="36" spans="1:3" ht="39" customHeight="1">
      <c r="A36" s="408" t="s">
        <v>2021</v>
      </c>
      <c r="B36" s="418" t="s">
        <v>1909</v>
      </c>
      <c r="C36" s="410" t="s">
        <v>2022</v>
      </c>
    </row>
    <row r="37" spans="1:3">
      <c r="A37" s="408" t="s">
        <v>2023</v>
      </c>
      <c r="B37" s="418" t="s">
        <v>2024</v>
      </c>
      <c r="C37" s="410" t="s">
        <v>2025</v>
      </c>
    </row>
    <row r="39" spans="1:3" ht="15.75" customHeight="1">
      <c r="A39" s="509" t="s">
        <v>2026</v>
      </c>
      <c r="B39" s="494"/>
      <c r="C39" s="494"/>
    </row>
    <row r="40" spans="1:3">
      <c r="A40" s="408" t="s">
        <v>2027</v>
      </c>
      <c r="B40" s="513" t="s">
        <v>2028</v>
      </c>
      <c r="C40" s="494"/>
    </row>
    <row r="41" spans="1:3">
      <c r="A41" s="408" t="s">
        <v>2029</v>
      </c>
      <c r="B41" s="513" t="s">
        <v>2030</v>
      </c>
      <c r="C41" s="494"/>
    </row>
    <row r="42" spans="1:3">
      <c r="A42" s="408" t="s">
        <v>2031</v>
      </c>
      <c r="B42" s="513" t="s">
        <v>2032</v>
      </c>
      <c r="C42" s="494"/>
    </row>
    <row r="43" spans="1:3">
      <c r="A43" s="408" t="s">
        <v>2033</v>
      </c>
      <c r="B43" s="513" t="s">
        <v>2034</v>
      </c>
      <c r="C43" s="494"/>
    </row>
    <row r="45" spans="1:3" ht="15.75" customHeight="1">
      <c r="A45" s="509" t="s">
        <v>2035</v>
      </c>
      <c r="B45" s="494"/>
      <c r="C45" s="494"/>
    </row>
    <row r="46" spans="1:3">
      <c r="A46" s="408" t="s">
        <v>2036</v>
      </c>
      <c r="B46" s="408" t="s">
        <v>2037</v>
      </c>
      <c r="C46" s="408" t="s">
        <v>2038</v>
      </c>
    </row>
    <row r="47" spans="1:3">
      <c r="A47" s="342" t="s">
        <v>1202</v>
      </c>
      <c r="B47" s="418" t="s">
        <v>2039</v>
      </c>
      <c r="C47" s="342" t="s">
        <v>2040</v>
      </c>
    </row>
    <row r="48" spans="1:3">
      <c r="A48" s="342" t="s">
        <v>821</v>
      </c>
      <c r="B48" s="418" t="s">
        <v>2041</v>
      </c>
      <c r="C48" s="342" t="s">
        <v>2042</v>
      </c>
    </row>
    <row r="49" spans="1:3">
      <c r="A49" s="342" t="s">
        <v>817</v>
      </c>
      <c r="B49" s="418" t="s">
        <v>2043</v>
      </c>
      <c r="C49" s="342" t="s">
        <v>2044</v>
      </c>
    </row>
    <row r="50" spans="1:3">
      <c r="A50" s="342" t="s">
        <v>816</v>
      </c>
      <c r="B50" s="418" t="s">
        <v>2045</v>
      </c>
      <c r="C50" s="342" t="s">
        <v>2046</v>
      </c>
    </row>
    <row r="51" spans="1:3">
      <c r="A51" s="342" t="s">
        <v>1294</v>
      </c>
      <c r="B51" s="418" t="s">
        <v>2047</v>
      </c>
      <c r="C51" s="342" t="s">
        <v>2048</v>
      </c>
    </row>
    <row r="52" spans="1:3">
      <c r="A52" s="342" t="s">
        <v>815</v>
      </c>
      <c r="B52" s="418" t="s">
        <v>2049</v>
      </c>
      <c r="C52" s="342" t="s">
        <v>2050</v>
      </c>
    </row>
    <row r="53" spans="1:3">
      <c r="A53" s="342" t="s">
        <v>2051</v>
      </c>
      <c r="B53" s="418" t="s">
        <v>2052</v>
      </c>
      <c r="C53" s="342" t="s">
        <v>2053</v>
      </c>
    </row>
    <row r="55" spans="1:3" ht="15.75" customHeight="1">
      <c r="A55" s="509" t="s">
        <v>2054</v>
      </c>
      <c r="B55" s="494"/>
      <c r="C55" s="494"/>
    </row>
    <row r="56" spans="1:3">
      <c r="A56" s="514" t="s">
        <v>2055</v>
      </c>
      <c r="B56" s="494"/>
      <c r="C56" s="494"/>
    </row>
    <row r="57" spans="1:3">
      <c r="A57" s="514" t="s">
        <v>2056</v>
      </c>
      <c r="B57" s="494"/>
      <c r="C57" s="494"/>
    </row>
    <row r="58" spans="1:3">
      <c r="A58" s="514" t="s">
        <v>2057</v>
      </c>
      <c r="B58" s="494"/>
      <c r="C58" s="494"/>
    </row>
    <row r="59" spans="1:3">
      <c r="A59" s="514" t="s">
        <v>2058</v>
      </c>
      <c r="B59" s="494"/>
      <c r="C59" s="494"/>
    </row>
    <row r="60" spans="1:3">
      <c r="A60" s="514" t="s">
        <v>2059</v>
      </c>
      <c r="B60" s="494"/>
      <c r="C60" s="494"/>
    </row>
    <row r="61" spans="1:3">
      <c r="A61" s="514" t="s">
        <v>2060</v>
      </c>
      <c r="B61" s="494"/>
      <c r="C61" s="494"/>
    </row>
  </sheetData>
  <mergeCells count="28">
    <mergeCell ref="A61:C61"/>
    <mergeCell ref="B26:C26"/>
    <mergeCell ref="B41:C41"/>
    <mergeCell ref="A60:C60"/>
    <mergeCell ref="B24:C24"/>
    <mergeCell ref="A1:C1"/>
    <mergeCell ref="A45:C45"/>
    <mergeCell ref="B20:C20"/>
    <mergeCell ref="A58:C58"/>
    <mergeCell ref="A39:C39"/>
    <mergeCell ref="B40:C40"/>
    <mergeCell ref="A34:C34"/>
    <mergeCell ref="A59:C59"/>
    <mergeCell ref="A57:C57"/>
    <mergeCell ref="B43:C43"/>
    <mergeCell ref="B21:C21"/>
    <mergeCell ref="A5:C5"/>
    <mergeCell ref="B42:C42"/>
    <mergeCell ref="B23:C23"/>
    <mergeCell ref="A29:C29"/>
    <mergeCell ref="B19:C19"/>
    <mergeCell ref="B25:C25"/>
    <mergeCell ref="A18:C18"/>
    <mergeCell ref="B22:C22"/>
    <mergeCell ref="A56:C56"/>
    <mergeCell ref="A3:C3"/>
    <mergeCell ref="A55:C55"/>
    <mergeCell ref="B27:C27"/>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59669"/>
  </sheetPr>
  <dimension ref="A1:C40"/>
  <sheetViews>
    <sheetView workbookViewId="0"/>
  </sheetViews>
  <sheetFormatPr defaultRowHeight="15"/>
  <cols>
    <col min="1" max="1" width="28" customWidth="1"/>
    <col min="2" max="2" width="22" customWidth="1"/>
    <col min="3" max="3" width="80" customWidth="1"/>
  </cols>
  <sheetData>
    <row r="1" spans="1:3" ht="18" customHeight="1">
      <c r="A1" s="399" t="s">
        <v>2061</v>
      </c>
    </row>
    <row r="2" spans="1:3">
      <c r="A2" s="400"/>
    </row>
    <row r="3" spans="1:3">
      <c r="A3" s="400" t="s">
        <v>309</v>
      </c>
      <c r="B3" s="400" t="s">
        <v>2062</v>
      </c>
    </row>
    <row r="4" spans="1:3">
      <c r="A4" s="400" t="s">
        <v>311</v>
      </c>
      <c r="B4" s="400" t="s">
        <v>2063</v>
      </c>
    </row>
    <row r="5" spans="1:3">
      <c r="A5" s="400" t="s">
        <v>184</v>
      </c>
      <c r="B5" s="400" t="s">
        <v>15</v>
      </c>
    </row>
    <row r="6" spans="1:3">
      <c r="A6" s="400" t="s">
        <v>2064</v>
      </c>
      <c r="B6" s="400" t="s">
        <v>2065</v>
      </c>
    </row>
    <row r="7" spans="1:3">
      <c r="A7" s="400"/>
    </row>
    <row r="8" spans="1:3">
      <c r="A8" s="401" t="s">
        <v>2066</v>
      </c>
    </row>
    <row r="9" spans="1:3">
      <c r="A9" s="402" t="s">
        <v>13</v>
      </c>
      <c r="B9" s="402" t="s">
        <v>14</v>
      </c>
      <c r="C9" s="402" t="s">
        <v>189</v>
      </c>
    </row>
    <row r="10" spans="1:3">
      <c r="A10" s="400" t="s">
        <v>2067</v>
      </c>
      <c r="B10" s="405" t="s">
        <v>2068</v>
      </c>
      <c r="C10" s="400" t="s">
        <v>2069</v>
      </c>
    </row>
    <row r="11" spans="1:3">
      <c r="A11" s="400" t="s">
        <v>1645</v>
      </c>
      <c r="B11" s="405" t="s">
        <v>2068</v>
      </c>
      <c r="C11" s="400" t="s">
        <v>2070</v>
      </c>
    </row>
    <row r="12" spans="1:3">
      <c r="A12" s="400" t="s">
        <v>2071</v>
      </c>
      <c r="B12" s="405" t="s">
        <v>472</v>
      </c>
      <c r="C12" s="400" t="s">
        <v>2072</v>
      </c>
    </row>
    <row r="13" spans="1:3">
      <c r="A13" s="400" t="s">
        <v>2073</v>
      </c>
      <c r="B13" s="405" t="s">
        <v>2074</v>
      </c>
      <c r="C13" s="400" t="s">
        <v>2075</v>
      </c>
    </row>
    <row r="14" spans="1:3">
      <c r="A14" s="400"/>
    </row>
    <row r="15" spans="1:3">
      <c r="A15" s="401" t="s">
        <v>2076</v>
      </c>
    </row>
    <row r="16" spans="1:3">
      <c r="A16" s="402" t="s">
        <v>13</v>
      </c>
      <c r="B16" s="402" t="s">
        <v>14</v>
      </c>
      <c r="C16" s="402" t="s">
        <v>189</v>
      </c>
    </row>
    <row r="17" spans="1:3">
      <c r="A17" s="400" t="s">
        <v>2077</v>
      </c>
      <c r="B17" s="405" t="s">
        <v>17</v>
      </c>
      <c r="C17" s="400" t="s">
        <v>2078</v>
      </c>
    </row>
    <row r="18" spans="1:3">
      <c r="A18" s="400" t="s">
        <v>2079</v>
      </c>
      <c r="B18" s="405" t="s">
        <v>17</v>
      </c>
      <c r="C18" s="400" t="s">
        <v>2080</v>
      </c>
    </row>
    <row r="19" spans="1:3">
      <c r="A19" s="400" t="s">
        <v>2081</v>
      </c>
      <c r="B19" s="405" t="s">
        <v>17</v>
      </c>
      <c r="C19" s="400" t="s">
        <v>2082</v>
      </c>
    </row>
    <row r="20" spans="1:3">
      <c r="A20" s="400" t="s">
        <v>2083</v>
      </c>
      <c r="B20" s="405" t="s">
        <v>1324</v>
      </c>
      <c r="C20" s="400" t="s">
        <v>2084</v>
      </c>
    </row>
    <row r="21" spans="1:3">
      <c r="A21" s="400" t="s">
        <v>2085</v>
      </c>
      <c r="B21" s="405" t="s">
        <v>2086</v>
      </c>
      <c r="C21" s="400" t="s">
        <v>2087</v>
      </c>
    </row>
    <row r="22" spans="1:3">
      <c r="A22" s="400"/>
    </row>
    <row r="23" spans="1:3">
      <c r="A23" s="401" t="s">
        <v>2088</v>
      </c>
    </row>
    <row r="24" spans="1:3">
      <c r="A24" s="402" t="s">
        <v>13</v>
      </c>
      <c r="B24" s="402" t="s">
        <v>14</v>
      </c>
      <c r="C24" s="402" t="s">
        <v>189</v>
      </c>
    </row>
    <row r="25" spans="1:3">
      <c r="A25" s="400" t="s">
        <v>2089</v>
      </c>
      <c r="B25" s="405" t="s">
        <v>463</v>
      </c>
      <c r="C25" s="400" t="s">
        <v>2090</v>
      </c>
    </row>
    <row r="26" spans="1:3">
      <c r="A26" s="400" t="s">
        <v>2091</v>
      </c>
      <c r="B26" s="405" t="s">
        <v>477</v>
      </c>
      <c r="C26" s="400" t="s">
        <v>2092</v>
      </c>
    </row>
    <row r="27" spans="1:3">
      <c r="A27" s="400" t="s">
        <v>2093</v>
      </c>
      <c r="B27" s="405" t="s">
        <v>2094</v>
      </c>
      <c r="C27" s="400" t="s">
        <v>2095</v>
      </c>
    </row>
    <row r="28" spans="1:3">
      <c r="A28" s="400" t="s">
        <v>2096</v>
      </c>
      <c r="B28" s="405" t="s">
        <v>2086</v>
      </c>
      <c r="C28" s="400" t="s">
        <v>2097</v>
      </c>
    </row>
    <row r="29" spans="1:3">
      <c r="A29" s="400"/>
    </row>
    <row r="30" spans="1:3">
      <c r="A30" s="401" t="s">
        <v>2098</v>
      </c>
    </row>
    <row r="31" spans="1:3">
      <c r="A31" s="402" t="s">
        <v>13</v>
      </c>
      <c r="B31" s="402" t="s">
        <v>14</v>
      </c>
      <c r="C31" s="402" t="s">
        <v>189</v>
      </c>
    </row>
    <row r="32" spans="1:3">
      <c r="A32" s="400" t="s">
        <v>2099</v>
      </c>
      <c r="B32" s="405" t="s">
        <v>2100</v>
      </c>
      <c r="C32" s="400" t="s">
        <v>2101</v>
      </c>
    </row>
    <row r="33" spans="1:3">
      <c r="A33" s="401"/>
    </row>
    <row r="34" spans="1:3">
      <c r="A34" s="402" t="s">
        <v>1747</v>
      </c>
    </row>
    <row r="35" spans="1:3">
      <c r="A35" s="400" t="s">
        <v>13</v>
      </c>
      <c r="B35" s="400" t="s">
        <v>14</v>
      </c>
      <c r="C35" s="400" t="s">
        <v>189</v>
      </c>
    </row>
    <row r="36" spans="1:3">
      <c r="A36" s="400" t="s">
        <v>2102</v>
      </c>
      <c r="B36" s="406" t="s">
        <v>2103</v>
      </c>
      <c r="C36" s="400" t="s">
        <v>2104</v>
      </c>
    </row>
    <row r="37" spans="1:3">
      <c r="A37" s="401"/>
    </row>
    <row r="38" spans="1:3">
      <c r="A38" s="402" t="s">
        <v>2105</v>
      </c>
    </row>
    <row r="39" spans="1:3">
      <c r="A39" s="400" t="s">
        <v>13</v>
      </c>
      <c r="B39" s="400" t="s">
        <v>14</v>
      </c>
      <c r="C39" s="400" t="s">
        <v>189</v>
      </c>
    </row>
    <row r="40" spans="1:3">
      <c r="A40" s="400" t="s">
        <v>2106</v>
      </c>
      <c r="B40" s="405" t="s">
        <v>2107</v>
      </c>
      <c r="C40" s="400" t="s">
        <v>2108</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D4722C"/>
  </sheetPr>
  <dimension ref="A1:E29"/>
  <sheetViews>
    <sheetView workbookViewId="0"/>
  </sheetViews>
  <sheetFormatPr defaultRowHeight="15"/>
  <cols>
    <col min="1" max="1" width="18" customWidth="1"/>
    <col min="2" max="2" width="42" customWidth="1"/>
    <col min="3" max="3" width="14" customWidth="1"/>
    <col min="4" max="4" width="65" customWidth="1"/>
    <col min="5" max="5" width="20" customWidth="1"/>
  </cols>
  <sheetData>
    <row r="1" spans="1:5" ht="18" customHeight="1">
      <c r="A1" s="399" t="s">
        <v>2109</v>
      </c>
      <c r="B1" s="399"/>
      <c r="C1" s="399"/>
      <c r="D1" s="399"/>
      <c r="E1" s="399"/>
    </row>
    <row r="2" spans="1:5">
      <c r="A2" s="400"/>
    </row>
    <row r="3" spans="1:5">
      <c r="A3" s="400" t="s">
        <v>1</v>
      </c>
      <c r="B3" s="400" t="s">
        <v>2110</v>
      </c>
    </row>
    <row r="4" spans="1:5">
      <c r="A4" s="400" t="s">
        <v>1382</v>
      </c>
      <c r="B4" s="400" t="s">
        <v>2111</v>
      </c>
    </row>
    <row r="5" spans="1:5">
      <c r="A5" s="400" t="s">
        <v>2112</v>
      </c>
      <c r="B5" s="400" t="s">
        <v>2113</v>
      </c>
    </row>
    <row r="6" spans="1:5">
      <c r="A6" s="400" t="s">
        <v>2114</v>
      </c>
      <c r="B6" s="400" t="s">
        <v>2115</v>
      </c>
    </row>
    <row r="7" spans="1:5">
      <c r="A7" s="400" t="s">
        <v>2116</v>
      </c>
      <c r="B7" s="400" t="s">
        <v>2117</v>
      </c>
    </row>
    <row r="8" spans="1:5">
      <c r="A8" s="400" t="s">
        <v>2118</v>
      </c>
      <c r="B8" s="400" t="s">
        <v>2119</v>
      </c>
    </row>
    <row r="9" spans="1:5">
      <c r="A9" s="400"/>
    </row>
    <row r="10" spans="1:5">
      <c r="A10" s="401" t="s">
        <v>459</v>
      </c>
    </row>
    <row r="11" spans="1:5">
      <c r="A11" s="402" t="s">
        <v>12</v>
      </c>
      <c r="B11" s="402" t="s">
        <v>2120</v>
      </c>
      <c r="C11" s="402" t="s">
        <v>595</v>
      </c>
      <c r="D11" s="402" t="s">
        <v>260</v>
      </c>
      <c r="E11" s="402" t="s">
        <v>2121</v>
      </c>
    </row>
    <row r="12" spans="1:5">
      <c r="A12" s="400" t="s">
        <v>15</v>
      </c>
      <c r="B12" s="400" t="s">
        <v>2122</v>
      </c>
      <c r="C12" s="400" t="s">
        <v>2123</v>
      </c>
      <c r="D12" s="400" t="s">
        <v>2124</v>
      </c>
      <c r="E12" s="400" t="s">
        <v>2125</v>
      </c>
    </row>
    <row r="13" spans="1:5">
      <c r="A13" s="400" t="s">
        <v>18</v>
      </c>
      <c r="B13" s="400" t="s">
        <v>2126</v>
      </c>
      <c r="C13" s="400" t="s">
        <v>2127</v>
      </c>
      <c r="D13" s="400" t="s">
        <v>2128</v>
      </c>
      <c r="E13" s="403" t="s">
        <v>74</v>
      </c>
    </row>
    <row r="14" spans="1:5">
      <c r="A14" s="400" t="s">
        <v>20</v>
      </c>
      <c r="B14" s="400" t="s">
        <v>2129</v>
      </c>
      <c r="C14" s="400" t="s">
        <v>2130</v>
      </c>
      <c r="D14" s="400" t="s">
        <v>2131</v>
      </c>
      <c r="E14" s="403" t="s">
        <v>74</v>
      </c>
    </row>
    <row r="15" spans="1:5">
      <c r="A15" s="400" t="s">
        <v>22</v>
      </c>
      <c r="B15" s="400" t="s">
        <v>2132</v>
      </c>
      <c r="C15" s="400" t="s">
        <v>2123</v>
      </c>
      <c r="D15" s="400" t="s">
        <v>2133</v>
      </c>
      <c r="E15" s="403" t="s">
        <v>74</v>
      </c>
    </row>
    <row r="16" spans="1:5">
      <c r="A16" s="400" t="s">
        <v>24</v>
      </c>
      <c r="B16" s="400" t="s">
        <v>2134</v>
      </c>
      <c r="C16" s="400" t="s">
        <v>2123</v>
      </c>
      <c r="D16" s="400" t="s">
        <v>2135</v>
      </c>
      <c r="E16" s="403" t="s">
        <v>74</v>
      </c>
    </row>
    <row r="17" spans="1:5">
      <c r="A17" s="400" t="s">
        <v>26</v>
      </c>
      <c r="B17" s="400" t="s">
        <v>2136</v>
      </c>
      <c r="C17" s="400" t="s">
        <v>2137</v>
      </c>
      <c r="D17" s="400" t="s">
        <v>2138</v>
      </c>
      <c r="E17" s="403" t="s">
        <v>74</v>
      </c>
    </row>
    <row r="18" spans="1:5">
      <c r="A18" s="400" t="s">
        <v>28</v>
      </c>
      <c r="B18" s="400" t="s">
        <v>2139</v>
      </c>
      <c r="C18" s="400" t="s">
        <v>2123</v>
      </c>
      <c r="D18" s="400" t="s">
        <v>2140</v>
      </c>
      <c r="E18" s="403" t="s">
        <v>2141</v>
      </c>
    </row>
    <row r="19" spans="1:5">
      <c r="A19" s="400" t="s">
        <v>30</v>
      </c>
      <c r="B19" s="400" t="s">
        <v>2142</v>
      </c>
      <c r="C19" s="400" t="s">
        <v>2143</v>
      </c>
      <c r="D19" s="400" t="s">
        <v>2144</v>
      </c>
      <c r="E19" s="400" t="s">
        <v>2145</v>
      </c>
    </row>
    <row r="21" spans="1:5">
      <c r="A21" s="400"/>
    </row>
    <row r="22" spans="1:5">
      <c r="A22" s="401" t="s">
        <v>2146</v>
      </c>
    </row>
    <row r="23" spans="1:5">
      <c r="A23" s="400" t="s">
        <v>314</v>
      </c>
      <c r="B23" s="400" t="s">
        <v>2147</v>
      </c>
    </row>
    <row r="24" spans="1:5">
      <c r="A24" s="400" t="s">
        <v>737</v>
      </c>
      <c r="B24" s="400" t="s">
        <v>2148</v>
      </c>
    </row>
    <row r="25" spans="1:5">
      <c r="A25" s="400" t="s">
        <v>1808</v>
      </c>
      <c r="B25" s="400" t="s">
        <v>2149</v>
      </c>
    </row>
    <row r="26" spans="1:5">
      <c r="A26" s="400" t="s">
        <v>825</v>
      </c>
      <c r="B26" s="400" t="s">
        <v>2150</v>
      </c>
    </row>
    <row r="27" spans="1:5">
      <c r="A27" s="400" t="s">
        <v>2151</v>
      </c>
      <c r="B27" s="400" t="s">
        <v>2152</v>
      </c>
    </row>
    <row r="28" spans="1:5">
      <c r="A28" s="400" t="s">
        <v>309</v>
      </c>
      <c r="B28" s="400" t="s">
        <v>2153</v>
      </c>
    </row>
    <row r="29" spans="1:5">
      <c r="A29" s="400" t="s">
        <v>311</v>
      </c>
      <c r="B29" s="400" t="s">
        <v>2154</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B2A4A"/>
  </sheetPr>
  <dimension ref="A1:F34"/>
  <sheetViews>
    <sheetView workbookViewId="0"/>
  </sheetViews>
  <sheetFormatPr defaultRowHeight="15"/>
  <cols>
    <col min="1" max="1" width="8" customWidth="1"/>
    <col min="2" max="2" width="38" customWidth="1"/>
    <col min="3" max="3" width="60" customWidth="1"/>
    <col min="4" max="4" width="12" customWidth="1"/>
    <col min="5" max="5" width="10" customWidth="1"/>
    <col min="6" max="6" width="22" customWidth="1"/>
  </cols>
  <sheetData>
    <row r="1" spans="1:6" ht="18" customHeight="1">
      <c r="A1" s="399" t="s">
        <v>2155</v>
      </c>
      <c r="B1" s="399"/>
      <c r="C1" s="399"/>
      <c r="D1" s="399"/>
      <c r="E1" s="399"/>
      <c r="F1" s="399"/>
    </row>
    <row r="2" spans="1:6">
      <c r="A2" s="400"/>
    </row>
    <row r="3" spans="1:6">
      <c r="A3" s="401" t="s">
        <v>1535</v>
      </c>
    </row>
    <row r="4" spans="1:6">
      <c r="A4" s="402" t="s">
        <v>12</v>
      </c>
      <c r="B4" s="402" t="s">
        <v>1386</v>
      </c>
      <c r="C4" s="402" t="s">
        <v>189</v>
      </c>
      <c r="D4" s="402" t="s">
        <v>2156</v>
      </c>
      <c r="E4" s="402" t="s">
        <v>2157</v>
      </c>
      <c r="F4" s="402" t="s">
        <v>2158</v>
      </c>
    </row>
    <row r="5" spans="1:6">
      <c r="A5" s="400" t="s">
        <v>2159</v>
      </c>
      <c r="B5" s="400" t="s">
        <v>2160</v>
      </c>
      <c r="C5" s="400" t="s">
        <v>2161</v>
      </c>
      <c r="D5" s="404" t="s">
        <v>1535</v>
      </c>
      <c r="E5" s="400" t="s">
        <v>2162</v>
      </c>
      <c r="F5" s="400" t="s">
        <v>2163</v>
      </c>
    </row>
    <row r="6" spans="1:6">
      <c r="A6" s="400" t="s">
        <v>2164</v>
      </c>
      <c r="B6" s="400" t="s">
        <v>2165</v>
      </c>
      <c r="C6" s="400" t="s">
        <v>2166</v>
      </c>
      <c r="D6" s="404" t="s">
        <v>1535</v>
      </c>
      <c r="E6" s="400" t="s">
        <v>2162</v>
      </c>
      <c r="F6" s="400" t="s">
        <v>2163</v>
      </c>
    </row>
    <row r="7" spans="1:6">
      <c r="A7" s="400" t="s">
        <v>2167</v>
      </c>
      <c r="B7" s="400" t="s">
        <v>2168</v>
      </c>
      <c r="C7" s="400" t="s">
        <v>2169</v>
      </c>
      <c r="D7" s="404" t="s">
        <v>1535</v>
      </c>
      <c r="E7" s="400" t="s">
        <v>2170</v>
      </c>
      <c r="F7" s="400" t="s">
        <v>2163</v>
      </c>
    </row>
    <row r="8" spans="1:6">
      <c r="A8" s="400" t="s">
        <v>2171</v>
      </c>
      <c r="B8" s="400" t="s">
        <v>2172</v>
      </c>
      <c r="C8" s="400" t="s">
        <v>2173</v>
      </c>
      <c r="D8" s="404" t="s">
        <v>1535</v>
      </c>
      <c r="E8" s="400" t="s">
        <v>2174</v>
      </c>
      <c r="F8" s="400" t="s">
        <v>2163</v>
      </c>
    </row>
    <row r="9" spans="1:6">
      <c r="A9" s="400" t="s">
        <v>2175</v>
      </c>
      <c r="B9" s="400" t="s">
        <v>2176</v>
      </c>
      <c r="C9" s="400" t="s">
        <v>2177</v>
      </c>
      <c r="D9" s="404" t="s">
        <v>1535</v>
      </c>
      <c r="E9" s="400" t="s">
        <v>2162</v>
      </c>
      <c r="F9" s="400" t="s">
        <v>2178</v>
      </c>
    </row>
    <row r="10" spans="1:6">
      <c r="A10" s="400" t="s">
        <v>2179</v>
      </c>
      <c r="B10" s="400" t="s">
        <v>2180</v>
      </c>
      <c r="C10" s="400" t="s">
        <v>2181</v>
      </c>
      <c r="D10" s="404" t="s">
        <v>1535</v>
      </c>
      <c r="E10" s="400" t="s">
        <v>2162</v>
      </c>
      <c r="F10" s="400" t="s">
        <v>2182</v>
      </c>
    </row>
    <row r="11" spans="1:6">
      <c r="A11" s="400" t="s">
        <v>2183</v>
      </c>
      <c r="B11" s="400" t="s">
        <v>2184</v>
      </c>
      <c r="C11" s="400" t="s">
        <v>2185</v>
      </c>
      <c r="D11" s="404" t="s">
        <v>1535</v>
      </c>
      <c r="E11" s="400" t="s">
        <v>2170</v>
      </c>
      <c r="F11" s="400" t="s">
        <v>2163</v>
      </c>
    </row>
    <row r="12" spans="1:6">
      <c r="A12" s="400" t="s">
        <v>2186</v>
      </c>
      <c r="B12" s="400" t="s">
        <v>2187</v>
      </c>
      <c r="C12" s="400" t="s">
        <v>2188</v>
      </c>
      <c r="D12" s="404" t="s">
        <v>1535</v>
      </c>
      <c r="E12" s="400" t="s">
        <v>2162</v>
      </c>
      <c r="F12" s="400" t="s">
        <v>2189</v>
      </c>
    </row>
    <row r="13" spans="1:6">
      <c r="A13" s="400" t="s">
        <v>2190</v>
      </c>
      <c r="B13" s="400" t="s">
        <v>2191</v>
      </c>
      <c r="C13" s="400" t="s">
        <v>2192</v>
      </c>
      <c r="D13" s="404" t="s">
        <v>1535</v>
      </c>
      <c r="E13" s="400" t="s">
        <v>2162</v>
      </c>
      <c r="F13" s="400" t="s">
        <v>2193</v>
      </c>
    </row>
    <row r="14" spans="1:6">
      <c r="A14" s="400" t="s">
        <v>2194</v>
      </c>
      <c r="B14" s="400" t="s">
        <v>2195</v>
      </c>
      <c r="C14" s="400" t="s">
        <v>2196</v>
      </c>
      <c r="D14" s="404" t="s">
        <v>1535</v>
      </c>
      <c r="E14" s="400" t="s">
        <v>2162</v>
      </c>
      <c r="F14" s="400" t="s">
        <v>2197</v>
      </c>
    </row>
    <row r="15" spans="1:6">
      <c r="A15" s="400"/>
    </row>
    <row r="16" spans="1:6">
      <c r="A16" s="401" t="s">
        <v>1033</v>
      </c>
    </row>
    <row r="17" spans="1:6">
      <c r="A17" s="402" t="s">
        <v>12</v>
      </c>
      <c r="B17" s="402" t="s">
        <v>1386</v>
      </c>
      <c r="C17" s="402" t="s">
        <v>189</v>
      </c>
      <c r="D17" s="402" t="s">
        <v>2156</v>
      </c>
      <c r="E17" s="402" t="s">
        <v>2157</v>
      </c>
      <c r="F17" s="402" t="s">
        <v>2158</v>
      </c>
    </row>
    <row r="18" spans="1:6">
      <c r="A18" s="400" t="s">
        <v>2198</v>
      </c>
      <c r="B18" s="400" t="s">
        <v>2199</v>
      </c>
      <c r="C18" s="400" t="s">
        <v>2200</v>
      </c>
      <c r="D18" s="400" t="s">
        <v>1033</v>
      </c>
      <c r="E18" s="400" t="s">
        <v>2201</v>
      </c>
      <c r="F18" s="400" t="s">
        <v>2202</v>
      </c>
    </row>
    <row r="19" spans="1:6">
      <c r="A19" s="400" t="s">
        <v>2203</v>
      </c>
      <c r="B19" s="400" t="s">
        <v>2204</v>
      </c>
      <c r="C19" s="400" t="s">
        <v>2205</v>
      </c>
      <c r="D19" s="400" t="s">
        <v>1033</v>
      </c>
      <c r="E19" s="400" t="s">
        <v>2162</v>
      </c>
      <c r="F19" s="400" t="s">
        <v>2163</v>
      </c>
    </row>
    <row r="20" spans="1:6">
      <c r="A20" s="400" t="s">
        <v>2206</v>
      </c>
      <c r="B20" s="400" t="s">
        <v>2207</v>
      </c>
      <c r="C20" s="400" t="s">
        <v>2208</v>
      </c>
      <c r="D20" s="400" t="s">
        <v>1033</v>
      </c>
      <c r="E20" s="400" t="s">
        <v>2209</v>
      </c>
      <c r="F20" s="400" t="s">
        <v>2210</v>
      </c>
    </row>
    <row r="21" spans="1:6">
      <c r="A21" s="400"/>
    </row>
    <row r="22" spans="1:6">
      <c r="A22" s="401" t="s">
        <v>388</v>
      </c>
    </row>
    <row r="23" spans="1:6">
      <c r="A23" s="402" t="s">
        <v>12</v>
      </c>
      <c r="B23" s="402" t="s">
        <v>1386</v>
      </c>
      <c r="C23" s="402" t="s">
        <v>189</v>
      </c>
      <c r="D23" s="402" t="s">
        <v>2156</v>
      </c>
      <c r="E23" s="402" t="s">
        <v>2157</v>
      </c>
      <c r="F23" s="402" t="s">
        <v>2158</v>
      </c>
    </row>
    <row r="24" spans="1:6">
      <c r="A24" s="400" t="s">
        <v>2211</v>
      </c>
      <c r="B24" s="400" t="s">
        <v>2212</v>
      </c>
      <c r="C24" s="400" t="s">
        <v>2213</v>
      </c>
      <c r="D24" s="400" t="s">
        <v>1040</v>
      </c>
      <c r="E24" s="400" t="s">
        <v>2214</v>
      </c>
      <c r="F24" s="400" t="s">
        <v>2215</v>
      </c>
    </row>
    <row r="25" spans="1:6">
      <c r="A25" s="400" t="s">
        <v>2216</v>
      </c>
      <c r="B25" s="400" t="s">
        <v>2217</v>
      </c>
      <c r="C25" s="400" t="s">
        <v>2218</v>
      </c>
      <c r="D25" s="400" t="s">
        <v>1040</v>
      </c>
      <c r="E25" s="400" t="s">
        <v>2219</v>
      </c>
      <c r="F25" s="400" t="s">
        <v>2220</v>
      </c>
    </row>
    <row r="26" spans="1:6">
      <c r="A26" s="400" t="s">
        <v>2221</v>
      </c>
      <c r="B26" s="400" t="s">
        <v>2222</v>
      </c>
      <c r="C26" s="400" t="s">
        <v>2223</v>
      </c>
      <c r="D26" s="400" t="s">
        <v>1040</v>
      </c>
      <c r="E26" s="400" t="s">
        <v>2224</v>
      </c>
      <c r="F26" s="400" t="s">
        <v>2225</v>
      </c>
    </row>
    <row r="28" spans="1:6">
      <c r="A28" s="400"/>
    </row>
    <row r="29" spans="1:6">
      <c r="A29" s="401" t="s">
        <v>2226</v>
      </c>
    </row>
    <row r="30" spans="1:6">
      <c r="A30" s="402" t="s">
        <v>12</v>
      </c>
      <c r="B30" s="402" t="s">
        <v>1386</v>
      </c>
      <c r="C30" s="402" t="s">
        <v>189</v>
      </c>
      <c r="D30" s="402" t="s">
        <v>2156</v>
      </c>
      <c r="E30" s="402" t="s">
        <v>2157</v>
      </c>
      <c r="F30" s="402" t="s">
        <v>2158</v>
      </c>
    </row>
    <row r="31" spans="1:6">
      <c r="A31" s="400" t="s">
        <v>2227</v>
      </c>
      <c r="B31" s="400" t="s">
        <v>2228</v>
      </c>
      <c r="C31" s="400" t="s">
        <v>2229</v>
      </c>
      <c r="D31" s="400" t="s">
        <v>1535</v>
      </c>
      <c r="E31" s="400" t="s">
        <v>2209</v>
      </c>
      <c r="F31" s="407" t="s">
        <v>2230</v>
      </c>
    </row>
    <row r="32" spans="1:6">
      <c r="A32" s="400" t="s">
        <v>2231</v>
      </c>
      <c r="B32" s="400" t="s">
        <v>2232</v>
      </c>
      <c r="C32" s="400" t="s">
        <v>2233</v>
      </c>
      <c r="D32" s="400" t="s">
        <v>1535</v>
      </c>
      <c r="E32" s="400" t="s">
        <v>2234</v>
      </c>
      <c r="F32" s="400" t="s">
        <v>2163</v>
      </c>
    </row>
    <row r="33" spans="1:6">
      <c r="A33" s="400" t="s">
        <v>2235</v>
      </c>
      <c r="B33" s="400" t="s">
        <v>2236</v>
      </c>
      <c r="C33" s="400" t="s">
        <v>2237</v>
      </c>
      <c r="D33" s="400" t="s">
        <v>1033</v>
      </c>
      <c r="E33" s="400" t="s">
        <v>2214</v>
      </c>
      <c r="F33" s="400" t="s">
        <v>2163</v>
      </c>
    </row>
    <row r="34" spans="1:6">
      <c r="A34" s="400"/>
      <c r="B34" s="400"/>
      <c r="C34" s="400" t="s">
        <v>2238</v>
      </c>
      <c r="D34" s="400"/>
      <c r="E34" s="400"/>
      <c r="F34" s="400"/>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D4722C"/>
  </sheetPr>
  <dimension ref="A1:E34"/>
  <sheetViews>
    <sheetView workbookViewId="0"/>
  </sheetViews>
  <sheetFormatPr defaultRowHeight="15"/>
  <cols>
    <col min="1" max="1" width="12" customWidth="1"/>
    <col min="2" max="2" width="45" customWidth="1"/>
    <col min="3" max="3" width="55" customWidth="1"/>
    <col min="4" max="4" width="12" customWidth="1"/>
    <col min="5" max="5" width="10" customWidth="1"/>
  </cols>
  <sheetData>
    <row r="1" spans="1:5" ht="18" customHeight="1">
      <c r="A1" s="390" t="s">
        <v>2239</v>
      </c>
    </row>
    <row r="3" spans="1:5">
      <c r="A3" s="391" t="s">
        <v>309</v>
      </c>
      <c r="B3" s="391" t="s">
        <v>2240</v>
      </c>
    </row>
    <row r="4" spans="1:5">
      <c r="A4" s="391" t="s">
        <v>311</v>
      </c>
      <c r="B4" s="391" t="s">
        <v>2241</v>
      </c>
    </row>
    <row r="5" spans="1:5">
      <c r="A5" s="391" t="s">
        <v>184</v>
      </c>
      <c r="B5" s="391" t="s">
        <v>15</v>
      </c>
    </row>
    <row r="6" spans="1:5">
      <c r="A6" s="392" t="s">
        <v>2064</v>
      </c>
      <c r="B6" s="392" t="s">
        <v>2242</v>
      </c>
    </row>
    <row r="8" spans="1:5">
      <c r="A8" s="391" t="s">
        <v>463</v>
      </c>
      <c r="B8" s="391"/>
      <c r="C8" s="391"/>
      <c r="D8" s="391"/>
      <c r="E8" s="391"/>
    </row>
    <row r="9" spans="1:5">
      <c r="A9" s="393" t="s">
        <v>12</v>
      </c>
      <c r="B9" s="393" t="s">
        <v>1386</v>
      </c>
      <c r="C9" s="393" t="s">
        <v>259</v>
      </c>
      <c r="D9" s="393" t="s">
        <v>311</v>
      </c>
      <c r="E9" s="393" t="s">
        <v>14</v>
      </c>
    </row>
    <row r="10" spans="1:5">
      <c r="A10" s="394" t="s">
        <v>2243</v>
      </c>
      <c r="B10" s="394" t="s">
        <v>2244</v>
      </c>
      <c r="C10" s="394" t="s">
        <v>2245</v>
      </c>
      <c r="D10" s="394"/>
      <c r="E10" s="394" t="s">
        <v>813</v>
      </c>
    </row>
    <row r="11" spans="1:5">
      <c r="A11" s="394" t="s">
        <v>2246</v>
      </c>
      <c r="B11" s="394" t="s">
        <v>2247</v>
      </c>
      <c r="C11" s="394" t="s">
        <v>2240</v>
      </c>
      <c r="D11" s="394" t="s">
        <v>2248</v>
      </c>
      <c r="E11" s="394" t="s">
        <v>813</v>
      </c>
    </row>
    <row r="12" spans="1:5">
      <c r="A12" s="394" t="s">
        <v>2249</v>
      </c>
      <c r="B12" s="394" t="s">
        <v>2250</v>
      </c>
      <c r="C12" s="394" t="s">
        <v>2251</v>
      </c>
      <c r="D12" s="394"/>
      <c r="E12" s="394" t="s">
        <v>813</v>
      </c>
    </row>
    <row r="14" spans="1:5">
      <c r="A14" s="391" t="s">
        <v>2252</v>
      </c>
    </row>
    <row r="15" spans="1:5">
      <c r="A15" s="393" t="s">
        <v>2253</v>
      </c>
      <c r="B15" s="393" t="s">
        <v>260</v>
      </c>
    </row>
    <row r="16" spans="1:5">
      <c r="A16" s="392" t="s">
        <v>2254</v>
      </c>
      <c r="B16" s="392" t="s">
        <v>2255</v>
      </c>
    </row>
    <row r="17" spans="1:4">
      <c r="A17" s="392" t="s">
        <v>2256</v>
      </c>
      <c r="B17" s="392" t="s">
        <v>2257</v>
      </c>
    </row>
    <row r="18" spans="1:4">
      <c r="A18" s="392" t="s">
        <v>2258</v>
      </c>
      <c r="B18" s="392" t="s">
        <v>2259</v>
      </c>
    </row>
    <row r="19" spans="1:4">
      <c r="A19" s="392" t="s">
        <v>2260</v>
      </c>
      <c r="B19" s="392" t="s">
        <v>2261</v>
      </c>
    </row>
    <row r="20" spans="1:4">
      <c r="A20" s="392" t="s">
        <v>2262</v>
      </c>
      <c r="B20" s="392" t="s">
        <v>2263</v>
      </c>
    </row>
    <row r="21" spans="1:4">
      <c r="A21" s="392" t="s">
        <v>2264</v>
      </c>
      <c r="B21" s="392" t="s">
        <v>2265</v>
      </c>
    </row>
    <row r="22" spans="1:4">
      <c r="A22" s="392" t="s">
        <v>2266</v>
      </c>
      <c r="B22" s="392" t="s">
        <v>2267</v>
      </c>
    </row>
    <row r="24" spans="1:4" ht="15.75" customHeight="1">
      <c r="A24" s="395" t="s">
        <v>2268</v>
      </c>
    </row>
    <row r="25" spans="1:4">
      <c r="A25" s="393" t="s">
        <v>12</v>
      </c>
      <c r="B25" s="393" t="s">
        <v>1386</v>
      </c>
      <c r="C25" s="393" t="s">
        <v>189</v>
      </c>
      <c r="D25" s="393" t="s">
        <v>2158</v>
      </c>
    </row>
    <row r="26" spans="1:4">
      <c r="A26" s="392" t="s">
        <v>2269</v>
      </c>
      <c r="B26" s="392" t="s">
        <v>2089</v>
      </c>
      <c r="C26" s="392" t="s">
        <v>2270</v>
      </c>
      <c r="D26" s="392" t="s">
        <v>2163</v>
      </c>
    </row>
    <row r="27" spans="1:4">
      <c r="A27" s="392" t="s">
        <v>2271</v>
      </c>
      <c r="B27" s="392" t="s">
        <v>2272</v>
      </c>
      <c r="C27" s="392" t="s">
        <v>2273</v>
      </c>
      <c r="D27" s="392" t="s">
        <v>2163</v>
      </c>
    </row>
    <row r="28" spans="1:4">
      <c r="A28" s="392" t="s">
        <v>2274</v>
      </c>
      <c r="B28" s="392" t="s">
        <v>2275</v>
      </c>
      <c r="C28" s="392" t="s">
        <v>2276</v>
      </c>
      <c r="D28" s="392" t="s">
        <v>2163</v>
      </c>
    </row>
    <row r="29" spans="1:4">
      <c r="A29" s="392" t="s">
        <v>2277</v>
      </c>
      <c r="B29" s="392" t="s">
        <v>2278</v>
      </c>
      <c r="C29" s="392" t="s">
        <v>2279</v>
      </c>
      <c r="D29" s="392" t="s">
        <v>2280</v>
      </c>
    </row>
    <row r="31" spans="1:4">
      <c r="A31" s="391" t="s">
        <v>2281</v>
      </c>
    </row>
    <row r="32" spans="1:4">
      <c r="A32" s="392" t="s">
        <v>1645</v>
      </c>
      <c r="B32" s="392" t="s">
        <v>2282</v>
      </c>
    </row>
    <row r="33" spans="1:2">
      <c r="A33" s="392" t="s">
        <v>2283</v>
      </c>
      <c r="B33" s="392" t="s">
        <v>2284</v>
      </c>
    </row>
    <row r="34" spans="1:2">
      <c r="A34" s="392" t="s">
        <v>815</v>
      </c>
      <c r="B34" s="392" t="s">
        <v>2285</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B2A4A"/>
  </sheetPr>
  <dimension ref="A1:F29"/>
  <sheetViews>
    <sheetView workbookViewId="0"/>
  </sheetViews>
  <sheetFormatPr defaultRowHeight="15"/>
  <cols>
    <col min="1" max="1" width="8" customWidth="1"/>
    <col min="2" max="2" width="40" customWidth="1"/>
    <col min="3" max="3" width="75" customWidth="1"/>
    <col min="4" max="5" width="12" customWidth="1"/>
    <col min="6" max="6" width="16" customWidth="1"/>
  </cols>
  <sheetData>
    <row r="1" spans="1:6" ht="18" customHeight="1">
      <c r="A1" s="390" t="s">
        <v>2286</v>
      </c>
      <c r="B1" s="390"/>
      <c r="C1" s="390"/>
      <c r="D1" s="390"/>
      <c r="E1" s="390"/>
      <c r="F1" s="390"/>
    </row>
    <row r="3" spans="1:6" ht="15.75" customHeight="1">
      <c r="A3" s="395" t="s">
        <v>1535</v>
      </c>
      <c r="B3" s="395"/>
      <c r="C3" s="395"/>
      <c r="D3" s="395"/>
      <c r="E3" s="395"/>
      <c r="F3" s="395"/>
    </row>
    <row r="4" spans="1:6">
      <c r="A4" s="393" t="s">
        <v>12</v>
      </c>
      <c r="B4" s="393" t="s">
        <v>1386</v>
      </c>
      <c r="C4" s="393" t="s">
        <v>189</v>
      </c>
      <c r="D4" s="393" t="s">
        <v>2156</v>
      </c>
      <c r="E4" s="393" t="s">
        <v>2157</v>
      </c>
      <c r="F4" s="393" t="s">
        <v>2158</v>
      </c>
    </row>
    <row r="5" spans="1:6">
      <c r="A5" s="392" t="s">
        <v>2159</v>
      </c>
      <c r="B5" s="392" t="s">
        <v>2287</v>
      </c>
      <c r="C5" s="392" t="s">
        <v>2288</v>
      </c>
      <c r="D5" s="392" t="s">
        <v>1535</v>
      </c>
      <c r="E5" s="392" t="s">
        <v>2162</v>
      </c>
      <c r="F5" s="392" t="s">
        <v>2163</v>
      </c>
    </row>
    <row r="6" spans="1:6">
      <c r="A6" s="392" t="s">
        <v>2164</v>
      </c>
      <c r="B6" s="392" t="s">
        <v>2289</v>
      </c>
      <c r="C6" s="392" t="s">
        <v>2290</v>
      </c>
      <c r="D6" s="392" t="s">
        <v>1535</v>
      </c>
      <c r="E6" s="392" t="s">
        <v>2174</v>
      </c>
      <c r="F6" s="392" t="s">
        <v>2163</v>
      </c>
    </row>
    <row r="7" spans="1:6">
      <c r="A7" s="392" t="s">
        <v>2167</v>
      </c>
      <c r="B7" s="392" t="s">
        <v>2291</v>
      </c>
      <c r="C7" s="392" t="s">
        <v>2292</v>
      </c>
      <c r="D7" s="392" t="s">
        <v>1535</v>
      </c>
      <c r="E7" s="392" t="s">
        <v>2209</v>
      </c>
      <c r="F7" s="392" t="s">
        <v>2182</v>
      </c>
    </row>
    <row r="8" spans="1:6">
      <c r="A8" s="392" t="s">
        <v>2171</v>
      </c>
      <c r="B8" s="392" t="s">
        <v>2293</v>
      </c>
      <c r="C8" s="392" t="s">
        <v>2294</v>
      </c>
      <c r="D8" s="392" t="s">
        <v>1535</v>
      </c>
      <c r="E8" s="392" t="s">
        <v>2162</v>
      </c>
      <c r="F8" s="392" t="s">
        <v>2163</v>
      </c>
    </row>
    <row r="9" spans="1:6">
      <c r="A9" s="392" t="s">
        <v>2175</v>
      </c>
      <c r="B9" s="392" t="s">
        <v>2295</v>
      </c>
      <c r="C9" s="392" t="s">
        <v>2296</v>
      </c>
      <c r="D9" s="392" t="s">
        <v>1535</v>
      </c>
      <c r="E9" s="392" t="s">
        <v>2162</v>
      </c>
      <c r="F9" s="392" t="s">
        <v>2163</v>
      </c>
    </row>
    <row r="11" spans="1:6" ht="15.75" customHeight="1">
      <c r="A11" s="395" t="s">
        <v>1033</v>
      </c>
      <c r="B11" s="395"/>
      <c r="C11" s="395"/>
      <c r="D11" s="395"/>
      <c r="E11" s="395"/>
      <c r="F11" s="395"/>
    </row>
    <row r="12" spans="1:6">
      <c r="A12" s="393" t="s">
        <v>12</v>
      </c>
      <c r="B12" s="393" t="s">
        <v>1386</v>
      </c>
      <c r="C12" s="393" t="s">
        <v>189</v>
      </c>
      <c r="D12" s="393" t="s">
        <v>2156</v>
      </c>
      <c r="E12" s="393" t="s">
        <v>2157</v>
      </c>
      <c r="F12" s="393" t="s">
        <v>2158</v>
      </c>
    </row>
    <row r="13" spans="1:6">
      <c r="A13" s="392" t="s">
        <v>2198</v>
      </c>
      <c r="B13" s="392" t="s">
        <v>2297</v>
      </c>
      <c r="C13" s="392" t="s">
        <v>2298</v>
      </c>
      <c r="D13" s="392" t="s">
        <v>1033</v>
      </c>
      <c r="E13" s="392" t="s">
        <v>2299</v>
      </c>
      <c r="F13" s="392" t="s">
        <v>2300</v>
      </c>
    </row>
    <row r="14" spans="1:6">
      <c r="A14" s="392" t="s">
        <v>2203</v>
      </c>
      <c r="B14" s="392" t="s">
        <v>2301</v>
      </c>
      <c r="C14" s="392" t="s">
        <v>2302</v>
      </c>
      <c r="D14" s="392" t="s">
        <v>1033</v>
      </c>
      <c r="E14" s="392" t="s">
        <v>2299</v>
      </c>
      <c r="F14" s="392" t="s">
        <v>2303</v>
      </c>
    </row>
    <row r="15" spans="1:6">
      <c r="A15" s="392" t="s">
        <v>2206</v>
      </c>
      <c r="B15" s="392" t="s">
        <v>2304</v>
      </c>
      <c r="C15" s="392" t="s">
        <v>2305</v>
      </c>
      <c r="D15" s="392" t="s">
        <v>1033</v>
      </c>
      <c r="E15" s="392" t="s">
        <v>2299</v>
      </c>
      <c r="F15" s="392" t="s">
        <v>2163</v>
      </c>
    </row>
    <row r="16" spans="1:6">
      <c r="A16" s="392" t="s">
        <v>2306</v>
      </c>
      <c r="B16" s="392" t="s">
        <v>2307</v>
      </c>
      <c r="C16" s="392" t="s">
        <v>2308</v>
      </c>
      <c r="D16" s="392" t="s">
        <v>1033</v>
      </c>
      <c r="E16" s="392" t="s">
        <v>2214</v>
      </c>
      <c r="F16" s="392" t="s">
        <v>2309</v>
      </c>
    </row>
    <row r="18" spans="1:6" ht="15.75" customHeight="1">
      <c r="A18" s="395" t="s">
        <v>1040</v>
      </c>
      <c r="B18" s="395"/>
      <c r="C18" s="395"/>
      <c r="D18" s="395"/>
      <c r="E18" s="395"/>
      <c r="F18" s="395"/>
    </row>
    <row r="19" spans="1:6">
      <c r="A19" s="393" t="s">
        <v>12</v>
      </c>
      <c r="B19" s="393" t="s">
        <v>1386</v>
      </c>
      <c r="C19" s="393" t="s">
        <v>189</v>
      </c>
      <c r="D19" s="393" t="s">
        <v>2156</v>
      </c>
      <c r="E19" s="393" t="s">
        <v>2157</v>
      </c>
      <c r="F19" s="393" t="s">
        <v>2158</v>
      </c>
    </row>
    <row r="20" spans="1:6">
      <c r="A20" s="392" t="s">
        <v>2310</v>
      </c>
      <c r="B20" s="392" t="s">
        <v>2311</v>
      </c>
      <c r="C20" s="392" t="s">
        <v>2312</v>
      </c>
      <c r="D20" s="392" t="s">
        <v>1040</v>
      </c>
      <c r="E20" s="392" t="s">
        <v>2299</v>
      </c>
      <c r="F20" s="392" t="s">
        <v>2163</v>
      </c>
    </row>
    <row r="21" spans="1:6">
      <c r="A21" s="392" t="s">
        <v>2313</v>
      </c>
      <c r="B21" s="392" t="s">
        <v>2314</v>
      </c>
      <c r="C21" s="392" t="s">
        <v>2315</v>
      </c>
      <c r="D21" s="392" t="s">
        <v>1040</v>
      </c>
      <c r="E21" s="392" t="s">
        <v>2316</v>
      </c>
      <c r="F21" s="392" t="s">
        <v>2317</v>
      </c>
    </row>
    <row r="22" spans="1:6">
      <c r="A22" s="392" t="s">
        <v>2318</v>
      </c>
      <c r="B22" s="392" t="s">
        <v>2319</v>
      </c>
      <c r="C22" s="392" t="s">
        <v>2320</v>
      </c>
      <c r="D22" s="392" t="s">
        <v>1040</v>
      </c>
      <c r="E22" s="392" t="s">
        <v>2201</v>
      </c>
      <c r="F22" s="392" t="s">
        <v>2316</v>
      </c>
    </row>
    <row r="24" spans="1:6">
      <c r="A24" s="391" t="s">
        <v>2321</v>
      </c>
      <c r="B24" s="391"/>
      <c r="C24" s="391"/>
      <c r="D24" s="391"/>
      <c r="E24" s="391"/>
      <c r="F24" s="391"/>
    </row>
    <row r="25" spans="1:6">
      <c r="A25" s="393" t="s">
        <v>2322</v>
      </c>
      <c r="B25" s="393" t="s">
        <v>2323</v>
      </c>
      <c r="C25" s="393"/>
      <c r="D25" s="393"/>
      <c r="E25" s="393"/>
      <c r="F25" s="393"/>
    </row>
    <row r="26" spans="1:6">
      <c r="A26" s="392" t="s">
        <v>2324</v>
      </c>
      <c r="B26" s="392" t="s">
        <v>2325</v>
      </c>
      <c r="C26" s="392"/>
      <c r="D26" s="392"/>
      <c r="E26" s="392"/>
      <c r="F26" s="392"/>
    </row>
    <row r="27" spans="1:6">
      <c r="A27" s="392" t="s">
        <v>2326</v>
      </c>
      <c r="B27" s="392" t="s">
        <v>2327</v>
      </c>
      <c r="C27" s="392"/>
      <c r="D27" s="392"/>
      <c r="E27" s="392"/>
      <c r="F27" s="392"/>
    </row>
    <row r="28" spans="1:6">
      <c r="A28" s="392" t="s">
        <v>2328</v>
      </c>
      <c r="B28" s="392" t="s">
        <v>2329</v>
      </c>
      <c r="C28" s="392"/>
      <c r="D28" s="392"/>
      <c r="E28" s="392"/>
      <c r="F28" s="392"/>
    </row>
    <row r="29" spans="1:6">
      <c r="A29" s="392" t="s">
        <v>2330</v>
      </c>
      <c r="B29" s="392" t="s">
        <v>2331</v>
      </c>
      <c r="C29" s="392"/>
      <c r="D29" s="392"/>
      <c r="E29" s="392"/>
      <c r="F29" s="392"/>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D5F5E3"/>
  </sheetPr>
  <dimension ref="A1:E16"/>
  <sheetViews>
    <sheetView workbookViewId="0"/>
  </sheetViews>
  <sheetFormatPr defaultRowHeight="15"/>
  <cols>
    <col min="1" max="1" width="8" customWidth="1"/>
    <col min="2" max="2" width="45" customWidth="1"/>
    <col min="3" max="3" width="15" customWidth="1"/>
    <col min="4" max="4" width="45" customWidth="1"/>
    <col min="5" max="5" width="22" customWidth="1"/>
  </cols>
  <sheetData>
    <row r="1" spans="1:5" ht="18" customHeight="1">
      <c r="A1" s="390" t="s">
        <v>2332</v>
      </c>
    </row>
    <row r="3" spans="1:5">
      <c r="A3" s="392" t="s">
        <v>1</v>
      </c>
      <c r="B3" s="392" t="s">
        <v>2110</v>
      </c>
    </row>
    <row r="4" spans="1:5">
      <c r="A4" s="392" t="s">
        <v>1382</v>
      </c>
      <c r="B4" s="392" t="s">
        <v>2111</v>
      </c>
    </row>
    <row r="5" spans="1:5">
      <c r="A5" s="392" t="s">
        <v>2118</v>
      </c>
      <c r="B5" s="392" t="s">
        <v>2333</v>
      </c>
    </row>
    <row r="7" spans="1:5">
      <c r="A7" s="391" t="s">
        <v>459</v>
      </c>
    </row>
    <row r="8" spans="1:5">
      <c r="A8" s="393" t="s">
        <v>12</v>
      </c>
      <c r="B8" s="393" t="s">
        <v>2120</v>
      </c>
      <c r="C8" s="393" t="s">
        <v>595</v>
      </c>
      <c r="D8" s="393" t="s">
        <v>260</v>
      </c>
      <c r="E8" s="393" t="s">
        <v>2121</v>
      </c>
    </row>
    <row r="9" spans="1:5">
      <c r="A9" s="392" t="s">
        <v>15</v>
      </c>
      <c r="B9" s="392" t="s">
        <v>2334</v>
      </c>
      <c r="C9" s="392" t="s">
        <v>2335</v>
      </c>
      <c r="D9" s="392" t="s">
        <v>2336</v>
      </c>
      <c r="E9" s="392" t="s">
        <v>2337</v>
      </c>
    </row>
    <row r="10" spans="1:5">
      <c r="A10" s="392" t="s">
        <v>18</v>
      </c>
      <c r="B10" s="392" t="s">
        <v>2338</v>
      </c>
      <c r="C10" s="392" t="s">
        <v>2335</v>
      </c>
      <c r="D10" s="392" t="s">
        <v>2339</v>
      </c>
      <c r="E10" s="392" t="s">
        <v>2337</v>
      </c>
    </row>
    <row r="11" spans="1:5">
      <c r="A11" s="392" t="s">
        <v>20</v>
      </c>
      <c r="B11" s="392" t="s">
        <v>2340</v>
      </c>
      <c r="C11" s="392" t="s">
        <v>2341</v>
      </c>
      <c r="D11" s="392" t="s">
        <v>2342</v>
      </c>
      <c r="E11" s="392" t="s">
        <v>74</v>
      </c>
    </row>
    <row r="12" spans="1:5">
      <c r="A12" s="392" t="s">
        <v>22</v>
      </c>
      <c r="B12" s="392" t="s">
        <v>2343</v>
      </c>
      <c r="C12" s="392" t="s">
        <v>2344</v>
      </c>
      <c r="D12" s="392" t="s">
        <v>2345</v>
      </c>
      <c r="E12" s="392" t="s">
        <v>74</v>
      </c>
    </row>
    <row r="13" spans="1:5">
      <c r="A13" s="392" t="s">
        <v>24</v>
      </c>
      <c r="B13" s="392" t="s">
        <v>2346</v>
      </c>
      <c r="C13" s="392" t="s">
        <v>2347</v>
      </c>
      <c r="D13" s="392" t="s">
        <v>2348</v>
      </c>
      <c r="E13" s="392" t="s">
        <v>74</v>
      </c>
    </row>
    <row r="14" spans="1:5">
      <c r="A14" s="392" t="s">
        <v>26</v>
      </c>
      <c r="B14" s="392" t="s">
        <v>2349</v>
      </c>
      <c r="C14" s="392" t="s">
        <v>2347</v>
      </c>
      <c r="D14" s="392" t="s">
        <v>2350</v>
      </c>
      <c r="E14" s="392" t="s">
        <v>74</v>
      </c>
    </row>
    <row r="15" spans="1:5">
      <c r="A15" s="392" t="s">
        <v>28</v>
      </c>
      <c r="B15" s="392" t="s">
        <v>2351</v>
      </c>
      <c r="C15" s="392" t="s">
        <v>2347</v>
      </c>
      <c r="D15" s="392" t="s">
        <v>2352</v>
      </c>
      <c r="E15" s="392" t="s">
        <v>74</v>
      </c>
    </row>
    <row r="16" spans="1:5">
      <c r="A16" s="392" t="s">
        <v>30</v>
      </c>
      <c r="B16" s="392" t="s">
        <v>2353</v>
      </c>
      <c r="C16" s="392" t="s">
        <v>2354</v>
      </c>
      <c r="D16" s="392" t="s">
        <v>2355</v>
      </c>
      <c r="E16" s="392" t="s">
        <v>2356</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65F46"/>
  </sheetPr>
  <dimension ref="A1:F23"/>
  <sheetViews>
    <sheetView workbookViewId="0"/>
  </sheetViews>
  <sheetFormatPr defaultRowHeight="15"/>
  <cols>
    <col min="1" max="1" width="14" customWidth="1"/>
    <col min="2" max="2" width="28" customWidth="1"/>
    <col min="3" max="3" width="55" customWidth="1"/>
    <col min="4" max="4" width="18" customWidth="1"/>
    <col min="5" max="5" width="14" customWidth="1"/>
    <col min="6" max="6" width="12" customWidth="1"/>
  </cols>
  <sheetData>
    <row r="1" spans="1:6" ht="144" customHeight="1">
      <c r="A1" s="384" t="s">
        <v>2357</v>
      </c>
      <c r="B1" s="385"/>
      <c r="C1" s="385"/>
      <c r="D1" s="385"/>
      <c r="E1" s="385"/>
      <c r="F1" s="385"/>
    </row>
    <row r="3" spans="1:6">
      <c r="A3" s="385" t="s">
        <v>309</v>
      </c>
      <c r="B3" s="385" t="s">
        <v>2358</v>
      </c>
      <c r="C3" s="385"/>
      <c r="D3" s="385"/>
      <c r="E3" s="385"/>
      <c r="F3" s="385"/>
    </row>
    <row r="4" spans="1:6">
      <c r="A4" s="385" t="s">
        <v>311</v>
      </c>
      <c r="B4" s="385" t="s">
        <v>2359</v>
      </c>
      <c r="C4" s="385"/>
      <c r="D4" s="385"/>
      <c r="E4" s="385"/>
      <c r="F4" s="385"/>
    </row>
    <row r="5" spans="1:6">
      <c r="A5" s="385" t="s">
        <v>184</v>
      </c>
      <c r="B5" s="385" t="s">
        <v>18</v>
      </c>
      <c r="C5" s="385"/>
      <c r="D5" s="385"/>
      <c r="E5" s="385"/>
      <c r="F5" s="385"/>
    </row>
    <row r="6" spans="1:6" ht="25.5" customHeight="1">
      <c r="A6" s="385" t="s">
        <v>1</v>
      </c>
      <c r="B6" s="385" t="s">
        <v>2360</v>
      </c>
      <c r="C6" s="385"/>
      <c r="D6" s="385"/>
      <c r="E6" s="385"/>
      <c r="F6" s="385"/>
    </row>
    <row r="7" spans="1:6" ht="25.5" customHeight="1">
      <c r="A7" s="385" t="s">
        <v>2361</v>
      </c>
      <c r="B7" s="385" t="s">
        <v>2362</v>
      </c>
      <c r="C7" s="385"/>
      <c r="D7" s="385"/>
      <c r="E7" s="385"/>
      <c r="F7" s="385"/>
    </row>
    <row r="9" spans="1:6">
      <c r="A9" s="386" t="s">
        <v>2363</v>
      </c>
      <c r="B9" s="385"/>
      <c r="C9" s="385"/>
      <c r="D9" s="385"/>
      <c r="E9" s="385"/>
      <c r="F9" s="385"/>
    </row>
    <row r="10" spans="1:6">
      <c r="A10" s="387" t="s">
        <v>12</v>
      </c>
      <c r="B10" s="387" t="s">
        <v>259</v>
      </c>
      <c r="C10" s="387" t="s">
        <v>870</v>
      </c>
      <c r="D10" s="387" t="s">
        <v>311</v>
      </c>
      <c r="E10" s="387" t="s">
        <v>2364</v>
      </c>
      <c r="F10" s="387" t="s">
        <v>14</v>
      </c>
    </row>
    <row r="11" spans="1:6">
      <c r="A11" s="385" t="s">
        <v>2365</v>
      </c>
      <c r="B11" s="385" t="s">
        <v>2366</v>
      </c>
      <c r="C11" s="385" t="s">
        <v>2367</v>
      </c>
      <c r="D11" s="385" t="s">
        <v>2368</v>
      </c>
      <c r="E11" s="385" t="s">
        <v>2369</v>
      </c>
      <c r="F11" s="388" t="s">
        <v>2086</v>
      </c>
    </row>
    <row r="12" spans="1:6">
      <c r="A12" s="385" t="s">
        <v>2370</v>
      </c>
      <c r="B12" s="385" t="s">
        <v>2358</v>
      </c>
      <c r="C12" s="385" t="s">
        <v>2371</v>
      </c>
      <c r="D12" s="385" t="s">
        <v>2359</v>
      </c>
      <c r="E12" s="385" t="s">
        <v>2372</v>
      </c>
      <c r="F12" s="388" t="s">
        <v>2086</v>
      </c>
    </row>
    <row r="14" spans="1:6" ht="45" customHeight="1">
      <c r="A14" s="386" t="s">
        <v>2373</v>
      </c>
      <c r="B14" s="385"/>
      <c r="C14" s="385"/>
      <c r="D14" s="385"/>
      <c r="E14" s="385"/>
      <c r="F14" s="385"/>
    </row>
    <row r="15" spans="1:6">
      <c r="A15" s="387" t="s">
        <v>12</v>
      </c>
      <c r="B15" s="387" t="s">
        <v>2374</v>
      </c>
      <c r="C15" s="387" t="s">
        <v>189</v>
      </c>
      <c r="D15" s="387" t="s">
        <v>2375</v>
      </c>
      <c r="E15" s="387"/>
      <c r="F15" s="387"/>
    </row>
    <row r="16" spans="1:6" ht="89.25" customHeight="1">
      <c r="A16" s="385" t="s">
        <v>2376</v>
      </c>
      <c r="B16" s="385" t="s">
        <v>2377</v>
      </c>
      <c r="C16" s="385" t="s">
        <v>2378</v>
      </c>
      <c r="D16" s="385" t="s">
        <v>2379</v>
      </c>
      <c r="E16" s="385"/>
      <c r="F16" s="385"/>
    </row>
    <row r="17" spans="1:6" ht="63.75" customHeight="1">
      <c r="A17" s="385" t="s">
        <v>2376</v>
      </c>
      <c r="B17" s="385" t="s">
        <v>2380</v>
      </c>
      <c r="C17" s="385" t="s">
        <v>2381</v>
      </c>
      <c r="D17" s="385" t="s">
        <v>2382</v>
      </c>
      <c r="E17" s="385"/>
      <c r="F17" s="385"/>
    </row>
    <row r="18" spans="1:6" ht="25.5" customHeight="1">
      <c r="A18" s="385" t="s">
        <v>2376</v>
      </c>
      <c r="B18" s="385" t="s">
        <v>2383</v>
      </c>
      <c r="C18" s="385" t="s">
        <v>2384</v>
      </c>
      <c r="D18" s="385" t="s">
        <v>2385</v>
      </c>
      <c r="E18" s="385"/>
      <c r="F18" s="385"/>
    </row>
    <row r="20" spans="1:6" ht="30" customHeight="1">
      <c r="A20" s="386" t="s">
        <v>2386</v>
      </c>
      <c r="B20" s="385"/>
      <c r="C20" s="385"/>
      <c r="D20" s="385"/>
      <c r="E20" s="385"/>
      <c r="F20" s="385"/>
    </row>
    <row r="21" spans="1:6">
      <c r="A21" s="387" t="s">
        <v>1524</v>
      </c>
      <c r="B21" s="387" t="s">
        <v>2387</v>
      </c>
      <c r="C21" s="387" t="s">
        <v>2388</v>
      </c>
      <c r="D21" s="387"/>
      <c r="E21" s="387"/>
      <c r="F21" s="387"/>
    </row>
    <row r="22" spans="1:6" ht="38.25" customHeight="1">
      <c r="A22" s="385" t="s">
        <v>2389</v>
      </c>
      <c r="B22" s="385" t="s">
        <v>2390</v>
      </c>
      <c r="C22" s="385" t="s">
        <v>2391</v>
      </c>
      <c r="D22" s="385"/>
      <c r="E22" s="385"/>
      <c r="F22" s="385"/>
    </row>
    <row r="23" spans="1:6" ht="38.25" customHeight="1">
      <c r="A23" s="385" t="s">
        <v>2392</v>
      </c>
      <c r="B23" s="385" t="s">
        <v>2390</v>
      </c>
      <c r="C23" s="385" t="s">
        <v>2391</v>
      </c>
      <c r="D23" s="385"/>
      <c r="E23" s="385"/>
      <c r="F23" s="385"/>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D4722C"/>
  </sheetPr>
  <dimension ref="A1:F29"/>
  <sheetViews>
    <sheetView workbookViewId="0"/>
  </sheetViews>
  <sheetFormatPr defaultRowHeight="15"/>
  <cols>
    <col min="1" max="1" width="8" customWidth="1"/>
    <col min="2" max="2" width="40" customWidth="1"/>
    <col min="3" max="3" width="80" customWidth="1"/>
    <col min="4" max="4" width="12" customWidth="1"/>
    <col min="5" max="6" width="14" customWidth="1"/>
  </cols>
  <sheetData>
    <row r="1" spans="1:6" ht="306" customHeight="1">
      <c r="A1" s="384" t="s">
        <v>2393</v>
      </c>
      <c r="B1" s="385"/>
      <c r="C1" s="385"/>
      <c r="D1" s="385"/>
      <c r="E1" s="385"/>
      <c r="F1" s="385"/>
    </row>
    <row r="3" spans="1:6" ht="30" customHeight="1">
      <c r="A3" s="386" t="s">
        <v>1535</v>
      </c>
      <c r="B3" s="385"/>
      <c r="C3" s="385"/>
      <c r="D3" s="385"/>
      <c r="E3" s="385"/>
      <c r="F3" s="385"/>
    </row>
    <row r="4" spans="1:6">
      <c r="A4" s="387" t="s">
        <v>12</v>
      </c>
      <c r="B4" s="387" t="s">
        <v>1386</v>
      </c>
      <c r="C4" s="387" t="s">
        <v>189</v>
      </c>
      <c r="D4" s="387" t="s">
        <v>2156</v>
      </c>
      <c r="E4" s="387" t="s">
        <v>2157</v>
      </c>
      <c r="F4" s="387" t="s">
        <v>2158</v>
      </c>
    </row>
    <row r="5" spans="1:6" ht="25.5" customHeight="1">
      <c r="A5" s="385" t="s">
        <v>2159</v>
      </c>
      <c r="B5" s="385" t="s">
        <v>2394</v>
      </c>
      <c r="C5" s="385" t="s">
        <v>2395</v>
      </c>
      <c r="D5" s="385" t="s">
        <v>1535</v>
      </c>
      <c r="E5" s="385" t="s">
        <v>2214</v>
      </c>
      <c r="F5" s="385" t="s">
        <v>2163</v>
      </c>
    </row>
    <row r="6" spans="1:6" ht="25.5" customHeight="1">
      <c r="A6" s="385" t="s">
        <v>2164</v>
      </c>
      <c r="B6" s="385" t="s">
        <v>2396</v>
      </c>
      <c r="C6" s="385" t="s">
        <v>2397</v>
      </c>
      <c r="D6" s="385" t="s">
        <v>1535</v>
      </c>
      <c r="E6" s="385" t="s">
        <v>2214</v>
      </c>
      <c r="F6" s="385" t="s">
        <v>2163</v>
      </c>
    </row>
    <row r="7" spans="1:6" ht="25.5" customHeight="1">
      <c r="A7" s="385" t="s">
        <v>2167</v>
      </c>
      <c r="B7" s="385" t="s">
        <v>2398</v>
      </c>
      <c r="C7" s="385" t="s">
        <v>2399</v>
      </c>
      <c r="D7" s="385" t="s">
        <v>1535</v>
      </c>
      <c r="E7" s="385" t="s">
        <v>2209</v>
      </c>
      <c r="F7" s="385" t="s">
        <v>2182</v>
      </c>
    </row>
    <row r="8" spans="1:6" ht="25.5" customHeight="1">
      <c r="A8" s="385" t="s">
        <v>2171</v>
      </c>
      <c r="B8" s="385" t="s">
        <v>2400</v>
      </c>
      <c r="C8" s="385" t="s">
        <v>2401</v>
      </c>
      <c r="D8" s="385" t="s">
        <v>1535</v>
      </c>
      <c r="E8" s="385" t="s">
        <v>2174</v>
      </c>
      <c r="F8" s="385" t="s">
        <v>2163</v>
      </c>
    </row>
    <row r="9" spans="1:6" ht="25.5" customHeight="1">
      <c r="A9" s="385" t="s">
        <v>2175</v>
      </c>
      <c r="B9" s="385" t="s">
        <v>2287</v>
      </c>
      <c r="C9" s="385" t="s">
        <v>2402</v>
      </c>
      <c r="D9" s="385" t="s">
        <v>1535</v>
      </c>
      <c r="E9" s="385" t="s">
        <v>2162</v>
      </c>
      <c r="F9" s="385" t="s">
        <v>2163</v>
      </c>
    </row>
    <row r="11" spans="1:6">
      <c r="A11" s="386" t="s">
        <v>1033</v>
      </c>
      <c r="B11" s="385"/>
      <c r="C11" s="385"/>
      <c r="D11" s="385"/>
      <c r="E11" s="385"/>
      <c r="F11" s="385"/>
    </row>
    <row r="12" spans="1:6">
      <c r="A12" s="387" t="s">
        <v>12</v>
      </c>
      <c r="B12" s="387" t="s">
        <v>1386</v>
      </c>
      <c r="C12" s="387" t="s">
        <v>189</v>
      </c>
      <c r="D12" s="387" t="s">
        <v>2156</v>
      </c>
      <c r="E12" s="387" t="s">
        <v>2157</v>
      </c>
      <c r="F12" s="387" t="s">
        <v>2158</v>
      </c>
    </row>
    <row r="13" spans="1:6" ht="25.5" customHeight="1">
      <c r="A13" s="385" t="s">
        <v>2198</v>
      </c>
      <c r="B13" s="385" t="s">
        <v>2403</v>
      </c>
      <c r="C13" s="385" t="s">
        <v>2404</v>
      </c>
      <c r="D13" s="385" t="s">
        <v>1033</v>
      </c>
      <c r="E13" s="385" t="s">
        <v>2299</v>
      </c>
      <c r="F13" s="385" t="s">
        <v>2300</v>
      </c>
    </row>
    <row r="14" spans="1:6">
      <c r="A14" s="385" t="s">
        <v>2203</v>
      </c>
      <c r="B14" s="385" t="s">
        <v>2405</v>
      </c>
      <c r="C14" s="385" t="s">
        <v>2406</v>
      </c>
      <c r="D14" s="385" t="s">
        <v>1033</v>
      </c>
      <c r="E14" s="385" t="s">
        <v>2299</v>
      </c>
      <c r="F14" s="385" t="s">
        <v>2303</v>
      </c>
    </row>
    <row r="15" spans="1:6">
      <c r="A15" s="385" t="s">
        <v>2206</v>
      </c>
      <c r="B15" s="385" t="s">
        <v>2304</v>
      </c>
      <c r="C15" s="385" t="s">
        <v>2407</v>
      </c>
      <c r="D15" s="385" t="s">
        <v>1033</v>
      </c>
      <c r="E15" s="385" t="s">
        <v>2299</v>
      </c>
      <c r="F15" s="385" t="s">
        <v>2163</v>
      </c>
    </row>
    <row r="16" spans="1:6">
      <c r="A16" s="385" t="s">
        <v>2306</v>
      </c>
      <c r="B16" s="385" t="s">
        <v>2408</v>
      </c>
      <c r="C16" s="385" t="s">
        <v>2409</v>
      </c>
      <c r="D16" s="385" t="s">
        <v>1033</v>
      </c>
      <c r="E16" s="385" t="s">
        <v>2201</v>
      </c>
      <c r="F16" s="385" t="s">
        <v>2410</v>
      </c>
    </row>
    <row r="17" spans="1:6">
      <c r="A17" s="385" t="s">
        <v>2411</v>
      </c>
      <c r="B17" s="385" t="s">
        <v>2307</v>
      </c>
      <c r="C17" s="385" t="s">
        <v>2308</v>
      </c>
      <c r="D17" s="385" t="s">
        <v>1033</v>
      </c>
      <c r="E17" s="385" t="s">
        <v>2214</v>
      </c>
      <c r="F17" s="385" t="s">
        <v>2309</v>
      </c>
    </row>
    <row r="19" spans="1:6" ht="30" customHeight="1">
      <c r="A19" s="386" t="s">
        <v>1040</v>
      </c>
      <c r="B19" s="385"/>
      <c r="C19" s="385"/>
      <c r="D19" s="385"/>
      <c r="E19" s="385"/>
      <c r="F19" s="385"/>
    </row>
    <row r="20" spans="1:6">
      <c r="A20" s="387" t="s">
        <v>12</v>
      </c>
      <c r="B20" s="387" t="s">
        <v>1386</v>
      </c>
      <c r="C20" s="387" t="s">
        <v>189</v>
      </c>
      <c r="D20" s="387" t="s">
        <v>2156</v>
      </c>
      <c r="E20" s="387" t="s">
        <v>2157</v>
      </c>
      <c r="F20" s="387" t="s">
        <v>2158</v>
      </c>
    </row>
    <row r="21" spans="1:6">
      <c r="A21" s="385" t="s">
        <v>2310</v>
      </c>
      <c r="B21" s="385" t="s">
        <v>2311</v>
      </c>
      <c r="C21" s="385" t="s">
        <v>2412</v>
      </c>
      <c r="D21" s="385" t="s">
        <v>1040</v>
      </c>
      <c r="E21" s="385" t="s">
        <v>2299</v>
      </c>
      <c r="F21" s="385" t="s">
        <v>2163</v>
      </c>
    </row>
    <row r="22" spans="1:6">
      <c r="A22" s="385" t="s">
        <v>2313</v>
      </c>
      <c r="B22" s="385" t="s">
        <v>2314</v>
      </c>
      <c r="C22" s="385" t="s">
        <v>2413</v>
      </c>
      <c r="D22" s="385" t="s">
        <v>1040</v>
      </c>
      <c r="E22" s="385" t="s">
        <v>2316</v>
      </c>
      <c r="F22" s="385" t="s">
        <v>2225</v>
      </c>
    </row>
    <row r="23" spans="1:6">
      <c r="A23" s="385" t="s">
        <v>2318</v>
      </c>
      <c r="B23" s="385" t="s">
        <v>2414</v>
      </c>
      <c r="C23" s="385" t="s">
        <v>2415</v>
      </c>
      <c r="D23" s="385" t="s">
        <v>1040</v>
      </c>
      <c r="E23" s="385" t="s">
        <v>2201</v>
      </c>
      <c r="F23" s="385" t="s">
        <v>2416</v>
      </c>
    </row>
    <row r="24" spans="1:6">
      <c r="A24" s="389"/>
    </row>
    <row r="25" spans="1:6" ht="120" customHeight="1">
      <c r="A25" s="387" t="s">
        <v>2417</v>
      </c>
      <c r="B25" s="387"/>
      <c r="C25" s="387"/>
      <c r="D25" s="387"/>
      <c r="E25" s="387"/>
      <c r="F25" s="387"/>
    </row>
    <row r="26" spans="1:6">
      <c r="A26" s="385" t="s">
        <v>2322</v>
      </c>
      <c r="B26" s="385" t="s">
        <v>2323</v>
      </c>
      <c r="C26" s="385"/>
      <c r="D26" s="385"/>
      <c r="E26" s="385"/>
      <c r="F26" s="385"/>
    </row>
    <row r="27" spans="1:6" ht="63.75" customHeight="1">
      <c r="A27" s="385" t="s">
        <v>2418</v>
      </c>
      <c r="B27" s="385" t="s">
        <v>2419</v>
      </c>
      <c r="C27" s="385"/>
      <c r="D27" s="385"/>
      <c r="E27" s="385"/>
      <c r="F27" s="385"/>
    </row>
    <row r="28" spans="1:6" ht="38.25" customHeight="1">
      <c r="A28" s="385" t="s">
        <v>2420</v>
      </c>
      <c r="B28" s="385" t="s">
        <v>2421</v>
      </c>
      <c r="C28" s="385"/>
      <c r="D28" s="385"/>
      <c r="E28" s="385"/>
      <c r="F28" s="385"/>
    </row>
    <row r="29" spans="1:6" ht="51" customHeight="1">
      <c r="A29" s="385" t="s">
        <v>2422</v>
      </c>
      <c r="B29" s="385" t="s">
        <v>2423</v>
      </c>
      <c r="C29" s="385"/>
      <c r="D29" s="385"/>
      <c r="E29" s="385"/>
      <c r="F29" s="385"/>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D4722C"/>
  </sheetPr>
  <dimension ref="A1:F38"/>
  <sheetViews>
    <sheetView workbookViewId="0"/>
  </sheetViews>
  <sheetFormatPr defaultRowHeight="15"/>
  <cols>
    <col min="1" max="1" width="12" customWidth="1"/>
    <col min="2" max="2" width="42" customWidth="1"/>
    <col min="3" max="3" width="22" customWidth="1"/>
    <col min="4" max="4" width="10" customWidth="1"/>
    <col min="5" max="6" width="22" customWidth="1"/>
  </cols>
  <sheetData>
    <row r="1" spans="1:6" ht="234" customHeight="1">
      <c r="A1" s="384" t="s">
        <v>2424</v>
      </c>
      <c r="B1" s="385"/>
      <c r="C1" s="385"/>
      <c r="D1" s="385"/>
      <c r="E1" s="385"/>
      <c r="F1" s="385"/>
    </row>
    <row r="3" spans="1:6" ht="25.5" customHeight="1">
      <c r="A3" s="385" t="s">
        <v>1</v>
      </c>
      <c r="B3" s="385" t="s">
        <v>2110</v>
      </c>
      <c r="C3" s="385"/>
      <c r="D3" s="385"/>
      <c r="E3" s="385"/>
      <c r="F3" s="385"/>
    </row>
    <row r="4" spans="1:6" ht="25.5" customHeight="1">
      <c r="A4" s="385" t="s">
        <v>2425</v>
      </c>
      <c r="B4" s="385" t="s">
        <v>2426</v>
      </c>
      <c r="C4" s="385"/>
      <c r="D4" s="385"/>
      <c r="E4" s="385"/>
      <c r="F4" s="385"/>
    </row>
    <row r="5" spans="1:6" ht="25.5" customHeight="1">
      <c r="A5" s="385" t="s">
        <v>1382</v>
      </c>
      <c r="B5" s="385" t="s">
        <v>2427</v>
      </c>
      <c r="C5" s="385"/>
      <c r="D5" s="385"/>
      <c r="E5" s="385"/>
      <c r="F5" s="385"/>
    </row>
    <row r="6" spans="1:6" ht="25.5" customHeight="1">
      <c r="A6" s="385" t="s">
        <v>2112</v>
      </c>
      <c r="B6" s="385" t="s">
        <v>2428</v>
      </c>
      <c r="C6" s="385"/>
      <c r="D6" s="385"/>
      <c r="E6" s="385"/>
      <c r="F6" s="385"/>
    </row>
    <row r="7" spans="1:6" ht="25.5" customHeight="1">
      <c r="A7" s="385" t="s">
        <v>2114</v>
      </c>
      <c r="B7" s="385" t="s">
        <v>2429</v>
      </c>
      <c r="C7" s="385"/>
      <c r="D7" s="385"/>
      <c r="E7" s="385"/>
      <c r="F7" s="385"/>
    </row>
    <row r="8" spans="1:6" ht="25.5" customHeight="1">
      <c r="A8" s="385" t="s">
        <v>2116</v>
      </c>
      <c r="B8" s="385" t="s">
        <v>2430</v>
      </c>
      <c r="C8" s="385"/>
      <c r="D8" s="385"/>
      <c r="E8" s="385"/>
      <c r="F8" s="385"/>
    </row>
    <row r="9" spans="1:6">
      <c r="A9" s="385" t="s">
        <v>2064</v>
      </c>
      <c r="B9" s="385" t="s">
        <v>2431</v>
      </c>
      <c r="C9" s="385"/>
      <c r="D9" s="385"/>
      <c r="E9" s="385"/>
      <c r="F9" s="385"/>
    </row>
    <row r="10" spans="1:6" ht="25.5" customHeight="1">
      <c r="A10" s="385" t="s">
        <v>2432</v>
      </c>
      <c r="B10" s="385" t="s">
        <v>2433</v>
      </c>
      <c r="C10" s="385"/>
      <c r="D10" s="385"/>
      <c r="E10" s="385"/>
      <c r="F10" s="385"/>
    </row>
    <row r="12" spans="1:6" ht="60" customHeight="1">
      <c r="A12" s="386" t="s">
        <v>2434</v>
      </c>
      <c r="B12" s="385"/>
      <c r="C12" s="385"/>
      <c r="D12" s="385"/>
      <c r="E12" s="385"/>
      <c r="F12" s="385"/>
    </row>
    <row r="13" spans="1:6">
      <c r="A13" s="387" t="s">
        <v>12</v>
      </c>
      <c r="B13" s="387" t="s">
        <v>2120</v>
      </c>
      <c r="C13" s="387" t="s">
        <v>595</v>
      </c>
      <c r="D13" s="387" t="s">
        <v>311</v>
      </c>
      <c r="E13" s="387" t="s">
        <v>2435</v>
      </c>
      <c r="F13" s="387" t="s">
        <v>9</v>
      </c>
    </row>
    <row r="14" spans="1:6">
      <c r="A14" s="388" t="s">
        <v>2243</v>
      </c>
      <c r="B14" s="385" t="s">
        <v>2436</v>
      </c>
      <c r="C14" s="385" t="s">
        <v>2437</v>
      </c>
      <c r="D14" s="385" t="s">
        <v>2438</v>
      </c>
      <c r="E14" s="385" t="s">
        <v>2439</v>
      </c>
      <c r="F14" s="385" t="s">
        <v>2440</v>
      </c>
    </row>
    <row r="15" spans="1:6">
      <c r="A15" s="388" t="s">
        <v>2274</v>
      </c>
      <c r="B15" s="385" t="s">
        <v>2441</v>
      </c>
      <c r="C15" s="385" t="s">
        <v>2442</v>
      </c>
      <c r="D15" s="385" t="s">
        <v>2443</v>
      </c>
      <c r="E15" s="385" t="s">
        <v>2444</v>
      </c>
      <c r="F15" s="385" t="s">
        <v>2440</v>
      </c>
    </row>
    <row r="16" spans="1:6">
      <c r="A16" s="388" t="s">
        <v>2445</v>
      </c>
      <c r="B16" s="385" t="s">
        <v>2446</v>
      </c>
      <c r="C16" s="385" t="s">
        <v>2447</v>
      </c>
      <c r="D16" s="385" t="s">
        <v>2448</v>
      </c>
      <c r="E16" s="385" t="s">
        <v>2449</v>
      </c>
      <c r="F16" s="385" t="s">
        <v>2450</v>
      </c>
    </row>
    <row r="17" spans="1:6">
      <c r="A17" s="388" t="s">
        <v>2451</v>
      </c>
      <c r="B17" s="385" t="s">
        <v>2452</v>
      </c>
      <c r="C17" s="385" t="s">
        <v>2437</v>
      </c>
      <c r="D17" s="385" t="s">
        <v>2453</v>
      </c>
      <c r="E17" s="385" t="s">
        <v>2449</v>
      </c>
      <c r="F17" s="385" t="s">
        <v>2440</v>
      </c>
    </row>
    <row r="18" spans="1:6">
      <c r="A18" s="388" t="s">
        <v>2249</v>
      </c>
      <c r="B18" s="385" t="s">
        <v>2454</v>
      </c>
      <c r="C18" s="385" t="s">
        <v>2455</v>
      </c>
      <c r="D18" s="385" t="s">
        <v>2456</v>
      </c>
      <c r="E18" s="385" t="s">
        <v>2457</v>
      </c>
      <c r="F18" s="385" t="s">
        <v>2458</v>
      </c>
    </row>
    <row r="19" spans="1:6">
      <c r="A19" s="388" t="s">
        <v>2271</v>
      </c>
      <c r="B19" s="385" t="s">
        <v>2459</v>
      </c>
      <c r="C19" s="385" t="s">
        <v>2460</v>
      </c>
      <c r="D19" s="385" t="s">
        <v>2461</v>
      </c>
      <c r="E19" s="385" t="s">
        <v>2462</v>
      </c>
      <c r="F19" s="385" t="s">
        <v>2463</v>
      </c>
    </row>
    <row r="20" spans="1:6">
      <c r="A20" s="388" t="s">
        <v>2464</v>
      </c>
      <c r="B20" s="385" t="s">
        <v>2465</v>
      </c>
      <c r="C20" s="385" t="s">
        <v>2447</v>
      </c>
      <c r="D20" s="385" t="s">
        <v>2466</v>
      </c>
      <c r="E20" s="385" t="s">
        <v>2467</v>
      </c>
      <c r="F20" s="385" t="s">
        <v>2450</v>
      </c>
    </row>
    <row r="21" spans="1:6">
      <c r="A21" s="388" t="s">
        <v>2468</v>
      </c>
      <c r="B21" s="385" t="s">
        <v>2469</v>
      </c>
      <c r="C21" s="385" t="s">
        <v>2437</v>
      </c>
      <c r="D21" s="385" t="s">
        <v>2470</v>
      </c>
      <c r="E21" s="385" t="s">
        <v>2467</v>
      </c>
      <c r="F21" s="385" t="s">
        <v>2440</v>
      </c>
    </row>
    <row r="23" spans="1:6" ht="45" customHeight="1">
      <c r="A23" s="386" t="s">
        <v>2471</v>
      </c>
      <c r="B23" s="385"/>
      <c r="C23" s="385"/>
      <c r="D23" s="385"/>
      <c r="E23" s="385"/>
      <c r="F23" s="385"/>
    </row>
    <row r="24" spans="1:6" ht="30" customHeight="1">
      <c r="A24" s="387" t="s">
        <v>2472</v>
      </c>
      <c r="B24" s="387" t="s">
        <v>1386</v>
      </c>
      <c r="C24" s="387" t="s">
        <v>2473</v>
      </c>
      <c r="D24" s="387" t="s">
        <v>2474</v>
      </c>
      <c r="E24" s="387" t="s">
        <v>2475</v>
      </c>
      <c r="F24" s="387"/>
    </row>
    <row r="25" spans="1:6" ht="25.5" customHeight="1">
      <c r="A25" s="385" t="s">
        <v>15</v>
      </c>
      <c r="B25" s="385" t="s">
        <v>2476</v>
      </c>
      <c r="C25" s="385" t="s">
        <v>2170</v>
      </c>
      <c r="D25" s="385" t="s">
        <v>2477</v>
      </c>
      <c r="E25" s="385" t="s">
        <v>2478</v>
      </c>
      <c r="F25" s="385"/>
    </row>
    <row r="26" spans="1:6">
      <c r="A26" s="385" t="s">
        <v>18</v>
      </c>
      <c r="B26" s="385" t="s">
        <v>2479</v>
      </c>
      <c r="C26" s="385" t="s">
        <v>2209</v>
      </c>
      <c r="D26" s="385" t="s">
        <v>2477</v>
      </c>
      <c r="E26" s="385" t="s">
        <v>2480</v>
      </c>
      <c r="F26" s="385"/>
    </row>
    <row r="27" spans="1:6">
      <c r="A27" s="385" t="s">
        <v>20</v>
      </c>
      <c r="B27" s="385" t="s">
        <v>2481</v>
      </c>
      <c r="C27" s="385" t="s">
        <v>2209</v>
      </c>
      <c r="D27" s="385" t="s">
        <v>1492</v>
      </c>
      <c r="E27" s="385" t="s">
        <v>2482</v>
      </c>
      <c r="F27" s="385"/>
    </row>
    <row r="28" spans="1:6">
      <c r="A28" s="385" t="s">
        <v>22</v>
      </c>
      <c r="B28" s="385" t="s">
        <v>2483</v>
      </c>
      <c r="C28" s="385" t="s">
        <v>2162</v>
      </c>
      <c r="D28" s="385" t="s">
        <v>2484</v>
      </c>
      <c r="E28" s="385" t="s">
        <v>2485</v>
      </c>
      <c r="F28" s="385"/>
    </row>
    <row r="29" spans="1:6" ht="25.5" customHeight="1">
      <c r="A29" s="385" t="s">
        <v>24</v>
      </c>
      <c r="B29" s="385" t="s">
        <v>2486</v>
      </c>
      <c r="C29" s="385" t="s">
        <v>2214</v>
      </c>
      <c r="D29" s="385" t="s">
        <v>2477</v>
      </c>
      <c r="E29" s="385" t="s">
        <v>2487</v>
      </c>
      <c r="F29" s="385"/>
    </row>
    <row r="30" spans="1:6" ht="25.5" customHeight="1">
      <c r="A30" s="385" t="s">
        <v>26</v>
      </c>
      <c r="B30" s="385" t="s">
        <v>2488</v>
      </c>
      <c r="C30" s="385" t="s">
        <v>2174</v>
      </c>
      <c r="D30" s="385" t="s">
        <v>2477</v>
      </c>
      <c r="E30" s="385" t="s">
        <v>2489</v>
      </c>
      <c r="F30" s="385"/>
    </row>
    <row r="31" spans="1:6">
      <c r="A31" s="389"/>
    </row>
    <row r="32" spans="1:6" ht="75" customHeight="1">
      <c r="A32" s="387" t="s">
        <v>2490</v>
      </c>
      <c r="B32" s="387"/>
      <c r="C32" s="387"/>
      <c r="D32" s="387"/>
      <c r="E32" s="387"/>
      <c r="F32" s="387"/>
    </row>
    <row r="33" spans="1:6">
      <c r="A33" s="385" t="s">
        <v>2491</v>
      </c>
      <c r="B33" s="385" t="s">
        <v>2492</v>
      </c>
      <c r="C33" s="385"/>
      <c r="D33" s="385"/>
      <c r="E33" s="385"/>
      <c r="F33" s="385"/>
    </row>
    <row r="34" spans="1:6" ht="38.25" customHeight="1">
      <c r="A34" s="385" t="s">
        <v>2493</v>
      </c>
      <c r="B34" s="385" t="s">
        <v>2494</v>
      </c>
      <c r="C34" s="385"/>
      <c r="D34" s="385"/>
      <c r="E34" s="385"/>
      <c r="F34" s="385"/>
    </row>
    <row r="35" spans="1:6" ht="38.25" customHeight="1">
      <c r="A35" s="385" t="s">
        <v>2495</v>
      </c>
      <c r="B35" s="385" t="s">
        <v>2496</v>
      </c>
      <c r="C35" s="385"/>
      <c r="D35" s="385"/>
      <c r="E35" s="385"/>
      <c r="F35" s="385"/>
    </row>
    <row r="36" spans="1:6" ht="38.25" customHeight="1">
      <c r="A36" s="385" t="s">
        <v>2497</v>
      </c>
      <c r="B36" s="385" t="s">
        <v>2498</v>
      </c>
      <c r="C36" s="385"/>
      <c r="D36" s="385"/>
      <c r="E36" s="385"/>
      <c r="F36" s="385"/>
    </row>
    <row r="37" spans="1:6" ht="25.5" customHeight="1">
      <c r="A37" s="385" t="s">
        <v>2499</v>
      </c>
      <c r="B37" s="385" t="s">
        <v>2500</v>
      </c>
      <c r="C37" s="385"/>
      <c r="D37" s="385"/>
      <c r="E37" s="385"/>
      <c r="F37" s="385"/>
    </row>
    <row r="38" spans="1:6" ht="38.25" customHeight="1">
      <c r="A38" s="385" t="s">
        <v>2501</v>
      </c>
      <c r="B38" s="385" t="s">
        <v>2502</v>
      </c>
      <c r="C38" s="385"/>
      <c r="D38" s="385"/>
      <c r="E38" s="385"/>
      <c r="F38" s="385"/>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B2A4A"/>
  </sheetPr>
  <dimension ref="A1:F28"/>
  <sheetViews>
    <sheetView workbookViewId="0"/>
  </sheetViews>
  <sheetFormatPr defaultRowHeight="15"/>
  <cols>
    <col min="1" max="1" width="8" customWidth="1"/>
    <col min="2" max="2" width="38" customWidth="1"/>
    <col min="3" max="3" width="75" customWidth="1"/>
    <col min="4" max="4" width="12" customWidth="1"/>
    <col min="5" max="6" width="14" customWidth="1"/>
  </cols>
  <sheetData>
    <row r="1" spans="1:6" ht="288" customHeight="1">
      <c r="A1" s="384" t="s">
        <v>2503</v>
      </c>
      <c r="B1" s="385"/>
      <c r="C1" s="385"/>
      <c r="D1" s="385"/>
      <c r="E1" s="385"/>
      <c r="F1" s="385"/>
    </row>
    <row r="3" spans="1:6" ht="30" customHeight="1">
      <c r="A3" s="386" t="s">
        <v>1535</v>
      </c>
      <c r="B3" s="385"/>
      <c r="C3" s="385"/>
      <c r="D3" s="385"/>
      <c r="E3" s="385"/>
      <c r="F3" s="385"/>
    </row>
    <row r="4" spans="1:6">
      <c r="A4" s="387" t="s">
        <v>12</v>
      </c>
      <c r="B4" s="387" t="s">
        <v>1386</v>
      </c>
      <c r="C4" s="387" t="s">
        <v>189</v>
      </c>
      <c r="D4" s="387" t="s">
        <v>2156</v>
      </c>
      <c r="E4" s="387" t="s">
        <v>2157</v>
      </c>
      <c r="F4" s="387" t="s">
        <v>2158</v>
      </c>
    </row>
    <row r="5" spans="1:6">
      <c r="A5" s="388" t="s">
        <v>2159</v>
      </c>
      <c r="B5" s="388" t="s">
        <v>2504</v>
      </c>
      <c r="C5" s="388" t="s">
        <v>2505</v>
      </c>
      <c r="D5" s="388" t="s">
        <v>1535</v>
      </c>
      <c r="E5" s="388" t="s">
        <v>2170</v>
      </c>
      <c r="F5" s="388" t="s">
        <v>17</v>
      </c>
    </row>
    <row r="6" spans="1:6">
      <c r="A6" s="388" t="s">
        <v>2164</v>
      </c>
      <c r="B6" s="388" t="s">
        <v>2506</v>
      </c>
      <c r="C6" s="388" t="s">
        <v>2507</v>
      </c>
      <c r="D6" s="388" t="s">
        <v>1535</v>
      </c>
      <c r="E6" s="388" t="s">
        <v>2209</v>
      </c>
      <c r="F6" s="388" t="s">
        <v>17</v>
      </c>
    </row>
    <row r="7" spans="1:6" ht="25.5" customHeight="1">
      <c r="A7" s="388" t="s">
        <v>2167</v>
      </c>
      <c r="B7" s="388" t="s">
        <v>2508</v>
      </c>
      <c r="C7" s="388" t="s">
        <v>2509</v>
      </c>
      <c r="D7" s="388" t="s">
        <v>1535</v>
      </c>
      <c r="E7" s="388" t="s">
        <v>2234</v>
      </c>
      <c r="F7" s="388" t="s">
        <v>17</v>
      </c>
    </row>
    <row r="8" spans="1:6" ht="25.5" customHeight="1">
      <c r="A8" s="388" t="s">
        <v>2171</v>
      </c>
      <c r="B8" s="388" t="s">
        <v>2510</v>
      </c>
      <c r="C8" s="388" t="s">
        <v>2511</v>
      </c>
      <c r="D8" s="388" t="s">
        <v>1535</v>
      </c>
      <c r="E8" s="388" t="s">
        <v>2512</v>
      </c>
      <c r="F8" s="388" t="s">
        <v>2513</v>
      </c>
    </row>
    <row r="9" spans="1:6">
      <c r="A9" s="385" t="s">
        <v>2175</v>
      </c>
      <c r="B9" s="385" t="s">
        <v>2514</v>
      </c>
      <c r="C9" s="385" t="s">
        <v>2515</v>
      </c>
      <c r="D9" s="385" t="s">
        <v>1535</v>
      </c>
      <c r="E9" s="385" t="s">
        <v>2209</v>
      </c>
      <c r="F9" s="385" t="s">
        <v>2182</v>
      </c>
    </row>
    <row r="10" spans="1:6">
      <c r="A10" s="385" t="s">
        <v>2179</v>
      </c>
      <c r="B10" s="385" t="s">
        <v>2516</v>
      </c>
      <c r="C10" s="385" t="s">
        <v>2517</v>
      </c>
      <c r="D10" s="385" t="s">
        <v>1535</v>
      </c>
      <c r="E10" s="385" t="s">
        <v>2170</v>
      </c>
      <c r="F10" s="385" t="s">
        <v>2163</v>
      </c>
    </row>
    <row r="11" spans="1:6">
      <c r="A11" s="385" t="s">
        <v>2183</v>
      </c>
      <c r="B11" s="385" t="s">
        <v>2518</v>
      </c>
      <c r="C11" s="385" t="s">
        <v>2519</v>
      </c>
      <c r="D11" s="385" t="s">
        <v>1535</v>
      </c>
      <c r="E11" s="385" t="s">
        <v>2209</v>
      </c>
      <c r="F11" s="385" t="s">
        <v>2163</v>
      </c>
    </row>
    <row r="13" spans="1:6">
      <c r="A13" s="386" t="s">
        <v>1033</v>
      </c>
      <c r="B13" s="385"/>
      <c r="C13" s="385"/>
      <c r="D13" s="385"/>
      <c r="E13" s="385"/>
      <c r="F13" s="385"/>
    </row>
    <row r="14" spans="1:6">
      <c r="A14" s="387" t="s">
        <v>12</v>
      </c>
      <c r="B14" s="387" t="s">
        <v>1386</v>
      </c>
      <c r="C14" s="387" t="s">
        <v>189</v>
      </c>
      <c r="D14" s="387" t="s">
        <v>2156</v>
      </c>
      <c r="E14" s="387" t="s">
        <v>2157</v>
      </c>
      <c r="F14" s="387" t="s">
        <v>2158</v>
      </c>
    </row>
    <row r="15" spans="1:6">
      <c r="A15" s="385" t="s">
        <v>2198</v>
      </c>
      <c r="B15" s="385" t="s">
        <v>2520</v>
      </c>
      <c r="C15" s="385" t="s">
        <v>2521</v>
      </c>
      <c r="D15" s="385" t="s">
        <v>1033</v>
      </c>
      <c r="E15" s="385" t="s">
        <v>2162</v>
      </c>
      <c r="F15" s="385" t="s">
        <v>2522</v>
      </c>
    </row>
    <row r="16" spans="1:6">
      <c r="A16" s="385" t="s">
        <v>2203</v>
      </c>
      <c r="B16" s="385" t="s">
        <v>2523</v>
      </c>
      <c r="C16" s="385" t="s">
        <v>2524</v>
      </c>
      <c r="D16" s="385" t="s">
        <v>1033</v>
      </c>
      <c r="E16" s="385" t="s">
        <v>2214</v>
      </c>
      <c r="F16" s="385" t="s">
        <v>2163</v>
      </c>
    </row>
    <row r="17" spans="1:6">
      <c r="A17" s="385" t="s">
        <v>2206</v>
      </c>
      <c r="B17" s="385" t="s">
        <v>2525</v>
      </c>
      <c r="C17" s="385" t="s">
        <v>2526</v>
      </c>
      <c r="D17" s="385" t="s">
        <v>1033</v>
      </c>
      <c r="E17" s="385" t="s">
        <v>2174</v>
      </c>
      <c r="F17" s="385" t="s">
        <v>2163</v>
      </c>
    </row>
    <row r="18" spans="1:6">
      <c r="A18" s="385" t="s">
        <v>2306</v>
      </c>
      <c r="B18" s="385" t="s">
        <v>2527</v>
      </c>
      <c r="C18" s="385" t="s">
        <v>2528</v>
      </c>
      <c r="D18" s="385" t="s">
        <v>1033</v>
      </c>
      <c r="E18" s="385" t="s">
        <v>2529</v>
      </c>
      <c r="F18" s="385" t="s">
        <v>2163</v>
      </c>
    </row>
    <row r="19" spans="1:6">
      <c r="A19" s="385" t="s">
        <v>2411</v>
      </c>
      <c r="B19" s="385" t="s">
        <v>2304</v>
      </c>
      <c r="C19" s="385" t="s">
        <v>2530</v>
      </c>
      <c r="D19" s="385" t="s">
        <v>1033</v>
      </c>
      <c r="E19" s="385" t="s">
        <v>2299</v>
      </c>
      <c r="F19" s="385" t="s">
        <v>2163</v>
      </c>
    </row>
    <row r="20" spans="1:6">
      <c r="A20" s="385" t="s">
        <v>2531</v>
      </c>
      <c r="B20" s="385" t="s">
        <v>2307</v>
      </c>
      <c r="C20" s="385" t="s">
        <v>2308</v>
      </c>
      <c r="D20" s="385" t="s">
        <v>1033</v>
      </c>
      <c r="E20" s="385" t="s">
        <v>2214</v>
      </c>
      <c r="F20" s="385" t="s">
        <v>2309</v>
      </c>
    </row>
    <row r="22" spans="1:6" ht="30" customHeight="1">
      <c r="A22" s="386" t="s">
        <v>1040</v>
      </c>
      <c r="B22" s="385"/>
      <c r="C22" s="385"/>
      <c r="D22" s="385"/>
      <c r="E22" s="385"/>
      <c r="F22" s="385"/>
    </row>
    <row r="23" spans="1:6">
      <c r="A23" s="387" t="s">
        <v>12</v>
      </c>
      <c r="B23" s="387" t="s">
        <v>1386</v>
      </c>
      <c r="C23" s="387" t="s">
        <v>189</v>
      </c>
      <c r="D23" s="387" t="s">
        <v>2156</v>
      </c>
      <c r="E23" s="387" t="s">
        <v>2157</v>
      </c>
      <c r="F23" s="387" t="s">
        <v>2158</v>
      </c>
    </row>
    <row r="24" spans="1:6">
      <c r="A24" s="385" t="s">
        <v>2310</v>
      </c>
      <c r="B24" s="385" t="s">
        <v>2408</v>
      </c>
      <c r="C24" s="385" t="s">
        <v>2532</v>
      </c>
      <c r="D24" s="385" t="s">
        <v>1040</v>
      </c>
      <c r="E24" s="385" t="s">
        <v>2201</v>
      </c>
      <c r="F24" s="385" t="s">
        <v>2303</v>
      </c>
    </row>
    <row r="25" spans="1:6">
      <c r="A25" s="385" t="s">
        <v>2313</v>
      </c>
      <c r="B25" s="385" t="s">
        <v>2311</v>
      </c>
      <c r="C25" s="385" t="s">
        <v>2412</v>
      </c>
      <c r="D25" s="385" t="s">
        <v>1040</v>
      </c>
      <c r="E25" s="385" t="s">
        <v>2299</v>
      </c>
      <c r="F25" s="385" t="s">
        <v>2163</v>
      </c>
    </row>
    <row r="26" spans="1:6">
      <c r="A26" s="385" t="s">
        <v>2318</v>
      </c>
      <c r="B26" s="385" t="s">
        <v>2314</v>
      </c>
      <c r="C26" s="385" t="s">
        <v>2413</v>
      </c>
      <c r="D26" s="385" t="s">
        <v>1040</v>
      </c>
      <c r="E26" s="385" t="s">
        <v>2533</v>
      </c>
      <c r="F26" s="385" t="s">
        <v>2225</v>
      </c>
    </row>
    <row r="27" spans="1:6">
      <c r="A27" s="385" t="s">
        <v>2534</v>
      </c>
      <c r="B27" s="385" t="s">
        <v>2535</v>
      </c>
      <c r="C27" s="385" t="s">
        <v>2536</v>
      </c>
      <c r="D27" s="385" t="s">
        <v>1040</v>
      </c>
      <c r="E27" s="385" t="s">
        <v>2299</v>
      </c>
      <c r="F27" s="385" t="s">
        <v>2537</v>
      </c>
    </row>
    <row r="28" spans="1:6">
      <c r="A28" s="385" t="s">
        <v>2538</v>
      </c>
      <c r="B28" s="385" t="s">
        <v>2414</v>
      </c>
      <c r="C28" s="385" t="s">
        <v>2539</v>
      </c>
      <c r="D28" s="385" t="s">
        <v>1040</v>
      </c>
      <c r="E28" s="385" t="s">
        <v>2201</v>
      </c>
      <c r="F28" s="385" t="s">
        <v>2416</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32"/>
  <sheetViews>
    <sheetView workbookViewId="0"/>
  </sheetViews>
  <sheetFormatPr defaultRowHeight="15"/>
  <cols>
    <col min="1" max="1" width="12" customWidth="1"/>
    <col min="2" max="2" width="20" customWidth="1"/>
    <col min="3" max="3" width="18" customWidth="1"/>
    <col min="4" max="4" width="80" customWidth="1"/>
    <col min="5" max="6" width="12" customWidth="1"/>
  </cols>
  <sheetData>
    <row r="1" spans="1:6" ht="18" customHeight="1">
      <c r="A1" s="519" t="s">
        <v>2540</v>
      </c>
      <c r="B1" s="494"/>
      <c r="C1" s="494"/>
      <c r="D1" s="494"/>
      <c r="E1" s="494"/>
      <c r="F1" s="494"/>
    </row>
    <row r="3" spans="1:6">
      <c r="A3" s="373" t="s">
        <v>309</v>
      </c>
      <c r="B3" s="374" t="s">
        <v>2541</v>
      </c>
    </row>
    <row r="4" spans="1:6">
      <c r="A4" s="373" t="s">
        <v>311</v>
      </c>
      <c r="B4" s="374">
        <v>2233</v>
      </c>
    </row>
    <row r="5" spans="1:6">
      <c r="A5" s="373" t="s">
        <v>184</v>
      </c>
      <c r="B5" s="374">
        <v>1</v>
      </c>
    </row>
    <row r="6" spans="1:6">
      <c r="A6" s="373" t="s">
        <v>1</v>
      </c>
      <c r="B6" s="374" t="s">
        <v>2360</v>
      </c>
    </row>
    <row r="8" spans="1:6">
      <c r="A8" s="375" t="s">
        <v>2542</v>
      </c>
      <c r="B8" s="375" t="s">
        <v>259</v>
      </c>
      <c r="C8" s="375" t="s">
        <v>2543</v>
      </c>
      <c r="D8" s="375" t="s">
        <v>311</v>
      </c>
      <c r="E8" s="375" t="s">
        <v>2364</v>
      </c>
      <c r="F8" s="375" t="s">
        <v>14</v>
      </c>
    </row>
    <row r="9" spans="1:6" ht="76.5" customHeight="1">
      <c r="A9" s="376" t="s">
        <v>15</v>
      </c>
      <c r="B9" s="376" t="s">
        <v>2541</v>
      </c>
      <c r="C9" s="376" t="s">
        <v>2544</v>
      </c>
      <c r="D9" s="376">
        <v>2233</v>
      </c>
      <c r="E9" s="376" t="s">
        <v>2545</v>
      </c>
      <c r="F9" s="376" t="s">
        <v>2094</v>
      </c>
    </row>
    <row r="11" spans="1:6" ht="15.75" customHeight="1">
      <c r="A11" s="517" t="s">
        <v>2546</v>
      </c>
      <c r="B11" s="494"/>
      <c r="C11" s="494"/>
      <c r="D11" s="494"/>
      <c r="E11" s="494"/>
      <c r="F11" s="494"/>
    </row>
    <row r="12" spans="1:6">
      <c r="A12" s="375" t="s">
        <v>12</v>
      </c>
      <c r="B12" s="375" t="s">
        <v>1386</v>
      </c>
      <c r="C12" s="375" t="s">
        <v>14</v>
      </c>
      <c r="D12" s="375" t="s">
        <v>189</v>
      </c>
    </row>
    <row r="13" spans="1:6" ht="25.5" customHeight="1">
      <c r="A13" s="377" t="s">
        <v>15</v>
      </c>
      <c r="B13" s="377" t="s">
        <v>2547</v>
      </c>
      <c r="C13" s="377" t="s">
        <v>17</v>
      </c>
      <c r="D13" s="377" t="s">
        <v>2548</v>
      </c>
    </row>
    <row r="14" spans="1:6" ht="25.5" customHeight="1">
      <c r="A14" s="377" t="s">
        <v>18</v>
      </c>
      <c r="B14" s="377" t="s">
        <v>2549</v>
      </c>
      <c r="C14" s="377" t="s">
        <v>17</v>
      </c>
      <c r="D14" s="377" t="s">
        <v>2550</v>
      </c>
    </row>
    <row r="15" spans="1:6" ht="25.5" customHeight="1">
      <c r="A15" s="377" t="s">
        <v>20</v>
      </c>
      <c r="B15" s="377" t="s">
        <v>2551</v>
      </c>
      <c r="C15" s="377" t="s">
        <v>17</v>
      </c>
      <c r="D15" s="377" t="s">
        <v>2552</v>
      </c>
    </row>
    <row r="16" spans="1:6" ht="25.5" customHeight="1">
      <c r="A16" s="377" t="s">
        <v>22</v>
      </c>
      <c r="B16" s="377" t="s">
        <v>2553</v>
      </c>
      <c r="C16" s="377" t="s">
        <v>17</v>
      </c>
      <c r="D16" s="377" t="s">
        <v>2554</v>
      </c>
    </row>
    <row r="17" spans="1:6" ht="38.25" customHeight="1">
      <c r="A17" s="377" t="s">
        <v>24</v>
      </c>
      <c r="B17" s="377" t="s">
        <v>2555</v>
      </c>
      <c r="C17" s="377" t="s">
        <v>17</v>
      </c>
      <c r="D17" s="377" t="s">
        <v>2556</v>
      </c>
    </row>
    <row r="18" spans="1:6">
      <c r="A18" s="377" t="s">
        <v>26</v>
      </c>
      <c r="B18" s="377" t="s">
        <v>2557</v>
      </c>
      <c r="C18" s="377" t="s">
        <v>17</v>
      </c>
      <c r="D18" s="377" t="s">
        <v>2558</v>
      </c>
    </row>
    <row r="19" spans="1:6" ht="25.5" customHeight="1">
      <c r="A19" s="377" t="s">
        <v>28</v>
      </c>
      <c r="B19" s="377" t="s">
        <v>2559</v>
      </c>
      <c r="C19" s="377" t="s">
        <v>2560</v>
      </c>
      <c r="D19" s="377" t="s">
        <v>2561</v>
      </c>
    </row>
    <row r="20" spans="1:6" ht="25.5" customHeight="1">
      <c r="A20" s="377" t="s">
        <v>2562</v>
      </c>
      <c r="B20" s="377" t="s">
        <v>2563</v>
      </c>
      <c r="C20" s="377" t="s">
        <v>463</v>
      </c>
      <c r="D20" s="377" t="s">
        <v>2564</v>
      </c>
    </row>
    <row r="22" spans="1:6" ht="15.75" customHeight="1">
      <c r="A22" s="518" t="s">
        <v>481</v>
      </c>
      <c r="B22" s="494"/>
      <c r="C22" s="494"/>
      <c r="D22" s="494"/>
      <c r="E22" s="494"/>
      <c r="F22" s="494"/>
    </row>
    <row r="23" spans="1:6" ht="51" customHeight="1">
      <c r="A23" s="378" t="s">
        <v>15</v>
      </c>
      <c r="B23" s="378" t="s">
        <v>2565</v>
      </c>
      <c r="C23" s="378" t="s">
        <v>2566</v>
      </c>
    </row>
    <row r="24" spans="1:6" ht="63.75" customHeight="1">
      <c r="A24" s="378" t="s">
        <v>18</v>
      </c>
      <c r="B24" s="378" t="s">
        <v>2567</v>
      </c>
      <c r="C24" s="378" t="s">
        <v>2568</v>
      </c>
    </row>
    <row r="25" spans="1:6" ht="114.75" customHeight="1">
      <c r="A25" s="378" t="s">
        <v>20</v>
      </c>
      <c r="B25" s="378" t="s">
        <v>2569</v>
      </c>
      <c r="C25" s="378" t="s">
        <v>2570</v>
      </c>
    </row>
    <row r="26" spans="1:6" ht="89.25" customHeight="1">
      <c r="A26" s="378" t="s">
        <v>22</v>
      </c>
      <c r="B26" s="378" t="s">
        <v>2571</v>
      </c>
      <c r="C26" s="378" t="s">
        <v>2572</v>
      </c>
    </row>
    <row r="28" spans="1:6" ht="15.75" customHeight="1">
      <c r="A28" s="517" t="s">
        <v>2573</v>
      </c>
      <c r="B28" s="494"/>
      <c r="C28" s="494"/>
      <c r="D28" s="494"/>
      <c r="E28" s="494"/>
      <c r="F28" s="494"/>
    </row>
    <row r="29" spans="1:6" ht="89.25" customHeight="1">
      <c r="A29" s="377" t="s">
        <v>1199</v>
      </c>
      <c r="B29" s="377" t="s">
        <v>813</v>
      </c>
      <c r="C29" s="377" t="s">
        <v>2574</v>
      </c>
    </row>
    <row r="30" spans="1:6" ht="114.75" customHeight="1">
      <c r="A30" s="377" t="s">
        <v>817</v>
      </c>
      <c r="B30" s="377" t="s">
        <v>813</v>
      </c>
      <c r="C30" s="377" t="s">
        <v>2575</v>
      </c>
    </row>
    <row r="31" spans="1:6" ht="76.5" customHeight="1">
      <c r="A31" s="377" t="s">
        <v>1202</v>
      </c>
      <c r="B31" s="377" t="s">
        <v>813</v>
      </c>
      <c r="C31" s="377" t="s">
        <v>2576</v>
      </c>
    </row>
    <row r="32" spans="1:6" ht="89.25" customHeight="1">
      <c r="A32" s="379" t="s">
        <v>812</v>
      </c>
      <c r="B32" s="379" t="s">
        <v>400</v>
      </c>
      <c r="C32" s="379" t="s">
        <v>2577</v>
      </c>
    </row>
  </sheetData>
  <mergeCells count="4">
    <mergeCell ref="A11:F11"/>
    <mergeCell ref="A22:F22"/>
    <mergeCell ref="A1:F1"/>
    <mergeCell ref="A28:F28"/>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25"/>
  <sheetViews>
    <sheetView workbookViewId="0"/>
  </sheetViews>
  <sheetFormatPr defaultRowHeight="15"/>
  <cols>
    <col min="1" max="1" width="8" customWidth="1"/>
    <col min="2" max="2" width="38" customWidth="1"/>
    <col min="3" max="3" width="80" customWidth="1"/>
    <col min="4" max="4" width="12" customWidth="1"/>
    <col min="5" max="5" width="14" customWidth="1"/>
    <col min="6" max="6" width="16" customWidth="1"/>
  </cols>
  <sheetData>
    <row r="1" spans="1:6" ht="18" customHeight="1">
      <c r="A1" s="519" t="s">
        <v>2578</v>
      </c>
      <c r="B1" s="494"/>
      <c r="C1" s="494"/>
      <c r="D1" s="494"/>
      <c r="E1" s="494"/>
      <c r="F1" s="494"/>
    </row>
    <row r="3" spans="1:6" ht="15.75" customHeight="1">
      <c r="A3" s="380" t="s">
        <v>1535</v>
      </c>
    </row>
    <row r="4" spans="1:6">
      <c r="A4" s="375" t="s">
        <v>12</v>
      </c>
      <c r="B4" s="375" t="s">
        <v>1386</v>
      </c>
      <c r="C4" s="375" t="s">
        <v>189</v>
      </c>
      <c r="D4" s="375" t="s">
        <v>2156</v>
      </c>
      <c r="E4" s="375" t="s">
        <v>2157</v>
      </c>
      <c r="F4" s="375" t="s">
        <v>2158</v>
      </c>
    </row>
    <row r="5" spans="1:6" ht="25.5" customHeight="1">
      <c r="A5" s="381" t="s">
        <v>2159</v>
      </c>
      <c r="B5" s="381" t="s">
        <v>2579</v>
      </c>
      <c r="C5" s="381" t="s">
        <v>2580</v>
      </c>
      <c r="D5" s="381" t="s">
        <v>1535</v>
      </c>
      <c r="E5" s="381" t="s">
        <v>2209</v>
      </c>
      <c r="F5" s="381" t="s">
        <v>2163</v>
      </c>
    </row>
    <row r="6" spans="1:6" ht="25.5" customHeight="1">
      <c r="A6" s="381" t="s">
        <v>2164</v>
      </c>
      <c r="B6" s="381" t="s">
        <v>2581</v>
      </c>
      <c r="C6" s="381" t="s">
        <v>2582</v>
      </c>
      <c r="D6" s="381" t="s">
        <v>1535</v>
      </c>
      <c r="E6" s="381" t="s">
        <v>2214</v>
      </c>
      <c r="F6" s="381" t="s">
        <v>2163</v>
      </c>
    </row>
    <row r="7" spans="1:6" ht="25.5" customHeight="1">
      <c r="A7" s="381" t="s">
        <v>2167</v>
      </c>
      <c r="B7" s="381" t="s">
        <v>2583</v>
      </c>
      <c r="C7" s="381" t="s">
        <v>2584</v>
      </c>
      <c r="D7" s="381" t="s">
        <v>1535</v>
      </c>
      <c r="E7" s="381" t="s">
        <v>2512</v>
      </c>
      <c r="F7" s="381" t="s">
        <v>2585</v>
      </c>
    </row>
    <row r="8" spans="1:6" ht="25.5" customHeight="1">
      <c r="A8" s="381" t="s">
        <v>2171</v>
      </c>
      <c r="B8" s="381" t="s">
        <v>2586</v>
      </c>
      <c r="C8" s="381" t="s">
        <v>2587</v>
      </c>
      <c r="D8" s="381" t="s">
        <v>1535</v>
      </c>
      <c r="E8" s="381" t="s">
        <v>2170</v>
      </c>
      <c r="F8" s="381" t="s">
        <v>2163</v>
      </c>
    </row>
    <row r="9" spans="1:6" ht="25.5" customHeight="1">
      <c r="A9" s="381" t="s">
        <v>2175</v>
      </c>
      <c r="B9" s="381" t="s">
        <v>2518</v>
      </c>
      <c r="C9" s="381" t="s">
        <v>2588</v>
      </c>
      <c r="D9" s="381" t="s">
        <v>1535</v>
      </c>
      <c r="E9" s="381" t="s">
        <v>2209</v>
      </c>
      <c r="F9" s="381" t="s">
        <v>2163</v>
      </c>
    </row>
    <row r="11" spans="1:6" ht="15.75" customHeight="1">
      <c r="A11" s="382" t="s">
        <v>1033</v>
      </c>
    </row>
    <row r="12" spans="1:6">
      <c r="A12" s="375" t="s">
        <v>12</v>
      </c>
      <c r="B12" s="375" t="s">
        <v>1386</v>
      </c>
      <c r="C12" s="375" t="s">
        <v>189</v>
      </c>
      <c r="D12" s="375" t="s">
        <v>2156</v>
      </c>
      <c r="E12" s="375" t="s">
        <v>2157</v>
      </c>
      <c r="F12" s="375" t="s">
        <v>2158</v>
      </c>
    </row>
    <row r="13" spans="1:6" ht="25.5" customHeight="1">
      <c r="A13" s="381" t="s">
        <v>2198</v>
      </c>
      <c r="B13" s="381" t="s">
        <v>2589</v>
      </c>
      <c r="C13" s="381" t="s">
        <v>2590</v>
      </c>
      <c r="D13" s="381" t="s">
        <v>1033</v>
      </c>
      <c r="E13" s="381" t="s">
        <v>2201</v>
      </c>
      <c r="F13" s="381" t="s">
        <v>2163</v>
      </c>
    </row>
    <row r="14" spans="1:6" ht="25.5" customHeight="1">
      <c r="A14" s="381" t="s">
        <v>2203</v>
      </c>
      <c r="B14" s="381" t="s">
        <v>2400</v>
      </c>
      <c r="C14" s="381" t="s">
        <v>2591</v>
      </c>
      <c r="D14" s="381" t="s">
        <v>1033</v>
      </c>
      <c r="E14" s="381" t="s">
        <v>2299</v>
      </c>
      <c r="F14" s="381" t="s">
        <v>2163</v>
      </c>
    </row>
    <row r="15" spans="1:6" ht="25.5" customHeight="1">
      <c r="A15" s="381" t="s">
        <v>2206</v>
      </c>
      <c r="B15" s="381" t="s">
        <v>2592</v>
      </c>
      <c r="C15" s="381" t="s">
        <v>2593</v>
      </c>
      <c r="D15" s="381" t="s">
        <v>1033</v>
      </c>
      <c r="E15" s="381" t="s">
        <v>2529</v>
      </c>
      <c r="F15" s="381" t="s">
        <v>2163</v>
      </c>
    </row>
    <row r="16" spans="1:6" ht="25.5" customHeight="1">
      <c r="A16" s="381" t="s">
        <v>2306</v>
      </c>
      <c r="B16" s="381" t="s">
        <v>2304</v>
      </c>
      <c r="C16" s="381" t="s">
        <v>2594</v>
      </c>
      <c r="D16" s="381" t="s">
        <v>1033</v>
      </c>
      <c r="E16" s="381" t="s">
        <v>2299</v>
      </c>
      <c r="F16" s="381" t="s">
        <v>2163</v>
      </c>
    </row>
    <row r="17" spans="1:6">
      <c r="A17" s="381" t="s">
        <v>2411</v>
      </c>
      <c r="B17" s="381" t="s">
        <v>2307</v>
      </c>
      <c r="C17" s="381" t="s">
        <v>2308</v>
      </c>
      <c r="D17" s="381" t="s">
        <v>1033</v>
      </c>
      <c r="E17" s="381" t="s">
        <v>2214</v>
      </c>
      <c r="F17" s="381" t="s">
        <v>2309</v>
      </c>
    </row>
    <row r="18" spans="1:6">
      <c r="A18" s="381" t="s">
        <v>2531</v>
      </c>
      <c r="B18" s="381" t="s">
        <v>2595</v>
      </c>
      <c r="C18" s="381" t="s">
        <v>2596</v>
      </c>
      <c r="D18" s="381" t="s">
        <v>1033</v>
      </c>
      <c r="E18" s="381" t="s">
        <v>2201</v>
      </c>
      <c r="F18" s="381" t="s">
        <v>2416</v>
      </c>
    </row>
    <row r="20" spans="1:6" ht="15.75" customHeight="1">
      <c r="A20" s="383" t="s">
        <v>1040</v>
      </c>
    </row>
    <row r="21" spans="1:6">
      <c r="A21" s="375" t="s">
        <v>12</v>
      </c>
      <c r="B21" s="375" t="s">
        <v>1386</v>
      </c>
      <c r="C21" s="375" t="s">
        <v>189</v>
      </c>
      <c r="D21" s="375" t="s">
        <v>2156</v>
      </c>
      <c r="E21" s="375" t="s">
        <v>2157</v>
      </c>
      <c r="F21" s="375" t="s">
        <v>2158</v>
      </c>
    </row>
    <row r="22" spans="1:6">
      <c r="A22" s="381" t="s">
        <v>2310</v>
      </c>
      <c r="B22" s="381" t="s">
        <v>2597</v>
      </c>
      <c r="C22" s="381" t="s">
        <v>2598</v>
      </c>
      <c r="D22" s="381" t="s">
        <v>1040</v>
      </c>
      <c r="E22" s="381" t="s">
        <v>2299</v>
      </c>
      <c r="F22" s="381" t="s">
        <v>2599</v>
      </c>
    </row>
    <row r="23" spans="1:6">
      <c r="A23" s="381" t="s">
        <v>2313</v>
      </c>
      <c r="B23" s="381" t="s">
        <v>2311</v>
      </c>
      <c r="C23" s="381" t="s">
        <v>2412</v>
      </c>
      <c r="D23" s="381" t="s">
        <v>1040</v>
      </c>
      <c r="E23" s="381" t="s">
        <v>2299</v>
      </c>
      <c r="F23" s="381" t="s">
        <v>2163</v>
      </c>
    </row>
    <row r="24" spans="1:6">
      <c r="A24" s="381" t="s">
        <v>2318</v>
      </c>
      <c r="B24" s="381" t="s">
        <v>2600</v>
      </c>
      <c r="C24" s="381" t="s">
        <v>2601</v>
      </c>
      <c r="D24" s="381" t="s">
        <v>1040</v>
      </c>
      <c r="E24" s="381" t="s">
        <v>2533</v>
      </c>
      <c r="F24" s="381" t="s">
        <v>2225</v>
      </c>
    </row>
    <row r="25" spans="1:6" ht="25.5" customHeight="1">
      <c r="A25" s="381" t="s">
        <v>2534</v>
      </c>
      <c r="B25" s="381" t="s">
        <v>2535</v>
      </c>
      <c r="C25" s="381" t="s">
        <v>2602</v>
      </c>
      <c r="D25" s="381" t="s">
        <v>1040</v>
      </c>
      <c r="E25" s="381" t="s">
        <v>2299</v>
      </c>
      <c r="F25" s="381" t="s">
        <v>2210</v>
      </c>
    </row>
  </sheetData>
  <mergeCells count="1">
    <mergeCell ref="A1:F1"/>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23"/>
  <sheetViews>
    <sheetView workbookViewId="0"/>
  </sheetViews>
  <sheetFormatPr defaultRowHeight="15"/>
  <cols>
    <col min="1" max="1" width="10" customWidth="1"/>
    <col min="2" max="2" width="15" customWidth="1"/>
    <col min="3" max="3" width="50" customWidth="1"/>
    <col min="4" max="5" width="12" customWidth="1"/>
    <col min="6" max="6" width="30" customWidth="1"/>
  </cols>
  <sheetData>
    <row r="1" spans="1:6" ht="15.75" customHeight="1">
      <c r="A1" s="520" t="s">
        <v>2603</v>
      </c>
      <c r="B1" s="494"/>
      <c r="C1" s="494"/>
      <c r="D1" s="494"/>
      <c r="E1" s="494"/>
      <c r="F1" s="494"/>
    </row>
    <row r="3" spans="1:6">
      <c r="A3" s="356" t="s">
        <v>309</v>
      </c>
      <c r="B3" s="357" t="s">
        <v>2604</v>
      </c>
    </row>
    <row r="4" spans="1:6">
      <c r="A4" s="356" t="s">
        <v>311</v>
      </c>
      <c r="B4" s="357" t="s">
        <v>2605</v>
      </c>
    </row>
    <row r="5" spans="1:6">
      <c r="A5" s="356" t="s">
        <v>2606</v>
      </c>
      <c r="B5" s="357" t="s">
        <v>22</v>
      </c>
    </row>
    <row r="6" spans="1:6">
      <c r="A6" s="356" t="s">
        <v>2607</v>
      </c>
      <c r="B6" s="357" t="s">
        <v>2608</v>
      </c>
    </row>
    <row r="7" spans="1:6">
      <c r="A7" s="356" t="s">
        <v>2609</v>
      </c>
      <c r="B7" s="357" t="s">
        <v>2610</v>
      </c>
    </row>
    <row r="8" spans="1:6">
      <c r="A8" s="356" t="s">
        <v>14</v>
      </c>
      <c r="B8" s="365" t="s">
        <v>2086</v>
      </c>
    </row>
    <row r="10" spans="1:6">
      <c r="A10" s="358" t="s">
        <v>2542</v>
      </c>
      <c r="B10" s="358" t="s">
        <v>259</v>
      </c>
      <c r="C10" s="358" t="s">
        <v>1739</v>
      </c>
      <c r="D10" s="358" t="s">
        <v>14</v>
      </c>
      <c r="E10" s="358" t="s">
        <v>2611</v>
      </c>
      <c r="F10" s="358" t="s">
        <v>598</v>
      </c>
    </row>
    <row r="11" spans="1:6" ht="42.75" customHeight="1">
      <c r="A11" s="359" t="s">
        <v>15</v>
      </c>
      <c r="B11" s="359" t="s">
        <v>2612</v>
      </c>
      <c r="C11" s="359" t="s">
        <v>2613</v>
      </c>
      <c r="D11" s="360" t="s">
        <v>463</v>
      </c>
      <c r="E11" s="359" t="s">
        <v>2614</v>
      </c>
      <c r="F11" s="359" t="s">
        <v>2615</v>
      </c>
    </row>
    <row r="12" spans="1:6" ht="42.75" customHeight="1">
      <c r="A12" s="359" t="s">
        <v>18</v>
      </c>
      <c r="B12" s="359" t="s">
        <v>2616</v>
      </c>
      <c r="C12" s="359" t="s">
        <v>2617</v>
      </c>
      <c r="D12" s="360" t="s">
        <v>463</v>
      </c>
      <c r="E12" s="359" t="s">
        <v>2618</v>
      </c>
      <c r="F12" s="359" t="s">
        <v>2619</v>
      </c>
    </row>
    <row r="13" spans="1:6" ht="42.75" customHeight="1">
      <c r="A13" s="359" t="s">
        <v>20</v>
      </c>
      <c r="B13" s="359" t="s">
        <v>2620</v>
      </c>
      <c r="C13" s="359" t="s">
        <v>2621</v>
      </c>
      <c r="D13" s="360" t="s">
        <v>463</v>
      </c>
      <c r="E13" s="359" t="s">
        <v>2622</v>
      </c>
      <c r="F13" s="359" t="s">
        <v>2623</v>
      </c>
    </row>
    <row r="14" spans="1:6" ht="57" customHeight="1">
      <c r="A14" s="359" t="s">
        <v>22</v>
      </c>
      <c r="B14" s="359" t="s">
        <v>2604</v>
      </c>
      <c r="C14" s="359" t="s">
        <v>2624</v>
      </c>
      <c r="D14" s="360" t="s">
        <v>463</v>
      </c>
      <c r="E14" s="359" t="s">
        <v>2625</v>
      </c>
      <c r="F14" s="359" t="s">
        <v>2626</v>
      </c>
    </row>
    <row r="16" spans="1:6">
      <c r="A16" s="362" t="s">
        <v>2627</v>
      </c>
    </row>
    <row r="17" spans="1:6">
      <c r="A17" s="358" t="s">
        <v>13</v>
      </c>
      <c r="B17" s="358" t="s">
        <v>2628</v>
      </c>
      <c r="C17" s="358" t="s">
        <v>2387</v>
      </c>
      <c r="D17" s="358" t="s">
        <v>2629</v>
      </c>
      <c r="E17" s="358"/>
      <c r="F17" s="358"/>
    </row>
    <row r="18" spans="1:6" ht="42.75" customHeight="1">
      <c r="A18" s="359" t="s">
        <v>2630</v>
      </c>
      <c r="B18" s="359" t="s">
        <v>2631</v>
      </c>
      <c r="C18" s="359" t="s">
        <v>2632</v>
      </c>
      <c r="D18" s="359" t="s">
        <v>2316</v>
      </c>
    </row>
    <row r="19" spans="1:6" ht="28.5" customHeight="1">
      <c r="A19" s="359" t="s">
        <v>2633</v>
      </c>
      <c r="B19" s="359" t="s">
        <v>2634</v>
      </c>
      <c r="C19" s="359" t="s">
        <v>2635</v>
      </c>
      <c r="D19" s="359" t="s">
        <v>2316</v>
      </c>
    </row>
    <row r="20" spans="1:6" ht="42.75" customHeight="1">
      <c r="A20" s="359" t="s">
        <v>2636</v>
      </c>
      <c r="B20" s="359" t="s">
        <v>2637</v>
      </c>
      <c r="C20" s="359" t="s">
        <v>2638</v>
      </c>
      <c r="D20" s="359" t="s">
        <v>2316</v>
      </c>
    </row>
    <row r="21" spans="1:6" ht="42.75" customHeight="1">
      <c r="A21" s="359" t="s">
        <v>2639</v>
      </c>
      <c r="B21" s="359" t="s">
        <v>2640</v>
      </c>
      <c r="C21" s="359" t="s">
        <v>2641</v>
      </c>
      <c r="D21" s="359" t="s">
        <v>2316</v>
      </c>
    </row>
    <row r="22" spans="1:6" ht="28.5" customHeight="1">
      <c r="A22" s="359" t="s">
        <v>2642</v>
      </c>
      <c r="B22" s="359" t="s">
        <v>2643</v>
      </c>
      <c r="C22" s="359" t="s">
        <v>2644</v>
      </c>
      <c r="D22" s="359" t="s">
        <v>2316</v>
      </c>
    </row>
    <row r="23" spans="1:6" ht="28.5" customHeight="1">
      <c r="A23" s="359" t="s">
        <v>2645</v>
      </c>
      <c r="B23" s="359" t="s">
        <v>2646</v>
      </c>
      <c r="C23" s="359" t="s">
        <v>2647</v>
      </c>
      <c r="D23" s="359" t="s">
        <v>2316</v>
      </c>
    </row>
  </sheetData>
  <mergeCells count="1">
    <mergeCell ref="A1:F1"/>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25"/>
  <sheetViews>
    <sheetView workbookViewId="0"/>
  </sheetViews>
  <sheetFormatPr defaultRowHeight="15"/>
  <cols>
    <col min="1" max="1" width="8" customWidth="1"/>
    <col min="2" max="2" width="40" customWidth="1"/>
    <col min="3" max="3" width="55" customWidth="1"/>
    <col min="4" max="5" width="12" customWidth="1"/>
    <col min="6" max="6" width="15" customWidth="1"/>
  </cols>
  <sheetData>
    <row r="1" spans="1:6" ht="15.75" customHeight="1">
      <c r="A1" s="520" t="s">
        <v>2648</v>
      </c>
      <c r="B1" s="494"/>
      <c r="C1" s="494"/>
      <c r="D1" s="494"/>
      <c r="E1" s="494"/>
      <c r="F1" s="494"/>
    </row>
    <row r="3" spans="1:6">
      <c r="A3" s="362" t="s">
        <v>1535</v>
      </c>
    </row>
    <row r="4" spans="1:6">
      <c r="A4" s="358" t="s">
        <v>12</v>
      </c>
      <c r="B4" s="358" t="s">
        <v>1386</v>
      </c>
      <c r="C4" s="358" t="s">
        <v>189</v>
      </c>
      <c r="D4" s="358" t="s">
        <v>2156</v>
      </c>
      <c r="E4" s="358" t="s">
        <v>2157</v>
      </c>
      <c r="F4" s="358" t="s">
        <v>2158</v>
      </c>
    </row>
    <row r="5" spans="1:6" ht="28.5" customHeight="1">
      <c r="A5" s="359" t="s">
        <v>2159</v>
      </c>
      <c r="B5" s="359" t="s">
        <v>2649</v>
      </c>
      <c r="C5" s="359" t="s">
        <v>2650</v>
      </c>
      <c r="D5" s="359" t="s">
        <v>1535</v>
      </c>
      <c r="E5" s="359" t="s">
        <v>2234</v>
      </c>
      <c r="F5" s="359" t="s">
        <v>2163</v>
      </c>
    </row>
    <row r="6" spans="1:6" ht="28.5" customHeight="1">
      <c r="A6" s="359" t="s">
        <v>2164</v>
      </c>
      <c r="B6" s="359" t="s">
        <v>2651</v>
      </c>
      <c r="C6" s="359" t="s">
        <v>2652</v>
      </c>
      <c r="D6" s="359" t="s">
        <v>1535</v>
      </c>
      <c r="E6" s="359" t="s">
        <v>2214</v>
      </c>
      <c r="F6" s="359" t="s">
        <v>2163</v>
      </c>
    </row>
    <row r="7" spans="1:6" ht="28.5" customHeight="1">
      <c r="A7" s="359" t="s">
        <v>2167</v>
      </c>
      <c r="B7" s="359" t="s">
        <v>2653</v>
      </c>
      <c r="C7" s="359" t="s">
        <v>2654</v>
      </c>
      <c r="D7" s="359" t="s">
        <v>1535</v>
      </c>
      <c r="E7" s="359" t="s">
        <v>2234</v>
      </c>
      <c r="F7" s="359" t="s">
        <v>2163</v>
      </c>
    </row>
    <row r="8" spans="1:6">
      <c r="A8" s="359" t="s">
        <v>2171</v>
      </c>
      <c r="B8" s="359" t="s">
        <v>2655</v>
      </c>
      <c r="C8" s="359" t="s">
        <v>2656</v>
      </c>
      <c r="D8" s="359" t="s">
        <v>1535</v>
      </c>
      <c r="E8" s="359" t="s">
        <v>2512</v>
      </c>
      <c r="F8" s="359" t="s">
        <v>2316</v>
      </c>
    </row>
    <row r="9" spans="1:6">
      <c r="A9" s="359" t="s">
        <v>2175</v>
      </c>
      <c r="B9" s="359" t="s">
        <v>2657</v>
      </c>
      <c r="C9" s="359" t="s">
        <v>2658</v>
      </c>
      <c r="D9" s="359" t="s">
        <v>1535</v>
      </c>
      <c r="E9" s="359" t="s">
        <v>2170</v>
      </c>
      <c r="F9" s="359" t="s">
        <v>2522</v>
      </c>
    </row>
    <row r="11" spans="1:6">
      <c r="A11" s="363" t="s">
        <v>1033</v>
      </c>
    </row>
    <row r="12" spans="1:6">
      <c r="A12" s="358" t="s">
        <v>12</v>
      </c>
      <c r="B12" s="358" t="s">
        <v>1386</v>
      </c>
      <c r="C12" s="358" t="s">
        <v>189</v>
      </c>
      <c r="D12" s="358" t="s">
        <v>2156</v>
      </c>
      <c r="E12" s="358" t="s">
        <v>2157</v>
      </c>
      <c r="F12" s="358" t="s">
        <v>2158</v>
      </c>
    </row>
    <row r="13" spans="1:6" ht="28.5" customHeight="1">
      <c r="A13" s="359" t="s">
        <v>2198</v>
      </c>
      <c r="B13" s="359" t="s">
        <v>2659</v>
      </c>
      <c r="C13" s="359" t="s">
        <v>2660</v>
      </c>
      <c r="D13" s="359" t="s">
        <v>1033</v>
      </c>
      <c r="E13" s="359" t="s">
        <v>2299</v>
      </c>
      <c r="F13" s="359" t="s">
        <v>2163</v>
      </c>
    </row>
    <row r="14" spans="1:6" ht="28.5" customHeight="1">
      <c r="A14" s="359" t="s">
        <v>2203</v>
      </c>
      <c r="B14" s="359" t="s">
        <v>2661</v>
      </c>
      <c r="C14" s="359" t="s">
        <v>2662</v>
      </c>
      <c r="D14" s="359" t="s">
        <v>1033</v>
      </c>
      <c r="E14" s="359" t="s">
        <v>2299</v>
      </c>
      <c r="F14" s="359" t="s">
        <v>2663</v>
      </c>
    </row>
    <row r="15" spans="1:6" ht="28.5" customHeight="1">
      <c r="A15" s="359" t="s">
        <v>2206</v>
      </c>
      <c r="B15" s="359" t="s">
        <v>2307</v>
      </c>
      <c r="C15" s="359" t="s">
        <v>2664</v>
      </c>
      <c r="D15" s="359" t="s">
        <v>1033</v>
      </c>
      <c r="E15" s="359" t="s">
        <v>2214</v>
      </c>
      <c r="F15" s="359" t="s">
        <v>2309</v>
      </c>
    </row>
    <row r="16" spans="1:6">
      <c r="A16" s="359" t="s">
        <v>2306</v>
      </c>
      <c r="B16" s="359" t="s">
        <v>2665</v>
      </c>
      <c r="C16" s="359" t="s">
        <v>2666</v>
      </c>
      <c r="D16" s="359" t="s">
        <v>1033</v>
      </c>
      <c r="E16" s="359" t="s">
        <v>2512</v>
      </c>
      <c r="F16" s="359" t="s">
        <v>2316</v>
      </c>
    </row>
    <row r="17" spans="1:6" ht="28.5" customHeight="1">
      <c r="A17" s="359" t="s">
        <v>2411</v>
      </c>
      <c r="B17" s="359" t="s">
        <v>2667</v>
      </c>
      <c r="C17" s="359" t="s">
        <v>2646</v>
      </c>
      <c r="D17" s="359" t="s">
        <v>1033</v>
      </c>
      <c r="E17" s="359" t="s">
        <v>2201</v>
      </c>
      <c r="F17" s="359" t="s">
        <v>2416</v>
      </c>
    </row>
    <row r="18" spans="1:6">
      <c r="A18" s="359" t="s">
        <v>2531</v>
      </c>
      <c r="B18" s="359" t="s">
        <v>2304</v>
      </c>
      <c r="C18" s="359" t="s">
        <v>2668</v>
      </c>
      <c r="D18" s="359" t="s">
        <v>1033</v>
      </c>
      <c r="E18" s="359" t="s">
        <v>2299</v>
      </c>
      <c r="F18" s="359" t="s">
        <v>2163</v>
      </c>
    </row>
    <row r="20" spans="1:6">
      <c r="A20" s="364" t="s">
        <v>1040</v>
      </c>
    </row>
    <row r="21" spans="1:6">
      <c r="A21" s="358" t="s">
        <v>12</v>
      </c>
      <c r="B21" s="358" t="s">
        <v>1386</v>
      </c>
      <c r="C21" s="358" t="s">
        <v>189</v>
      </c>
      <c r="D21" s="358" t="s">
        <v>2156</v>
      </c>
      <c r="E21" s="358" t="s">
        <v>2157</v>
      </c>
      <c r="F21" s="358" t="s">
        <v>2158</v>
      </c>
    </row>
    <row r="22" spans="1:6">
      <c r="A22" s="359" t="s">
        <v>2310</v>
      </c>
      <c r="B22" s="359" t="s">
        <v>2597</v>
      </c>
      <c r="C22" s="359" t="s">
        <v>2669</v>
      </c>
      <c r="D22" s="359" t="s">
        <v>1040</v>
      </c>
      <c r="E22" s="359" t="s">
        <v>2299</v>
      </c>
      <c r="F22" s="359" t="s">
        <v>2410</v>
      </c>
    </row>
    <row r="23" spans="1:6" ht="28.5" customHeight="1">
      <c r="A23" s="359" t="s">
        <v>2313</v>
      </c>
      <c r="B23" s="359" t="s">
        <v>2670</v>
      </c>
      <c r="C23" s="359" t="s">
        <v>2671</v>
      </c>
      <c r="D23" s="359" t="s">
        <v>1040</v>
      </c>
      <c r="E23" s="359" t="s">
        <v>2529</v>
      </c>
      <c r="F23" s="359" t="s">
        <v>2163</v>
      </c>
    </row>
    <row r="24" spans="1:6">
      <c r="A24" s="359" t="s">
        <v>2318</v>
      </c>
      <c r="B24" s="359" t="s">
        <v>2311</v>
      </c>
      <c r="C24" s="359" t="s">
        <v>2672</v>
      </c>
      <c r="D24" s="359" t="s">
        <v>1040</v>
      </c>
      <c r="E24" s="359" t="s">
        <v>2299</v>
      </c>
      <c r="F24" s="359" t="s">
        <v>2163</v>
      </c>
    </row>
    <row r="25" spans="1:6" ht="28.5" customHeight="1">
      <c r="A25" s="359" t="s">
        <v>2534</v>
      </c>
      <c r="B25" s="359" t="s">
        <v>2600</v>
      </c>
      <c r="C25" s="359" t="s">
        <v>2673</v>
      </c>
      <c r="D25" s="359" t="s">
        <v>1040</v>
      </c>
      <c r="E25" s="359" t="s">
        <v>2533</v>
      </c>
      <c r="F25" s="359" t="s">
        <v>2674</v>
      </c>
    </row>
  </sheetData>
  <mergeCells count="1">
    <mergeCell ref="A1:F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35"/>
  <sheetViews>
    <sheetView workbookViewId="0"/>
  </sheetViews>
  <sheetFormatPr defaultRowHeight="15"/>
  <cols>
    <col min="1" max="1" width="12" customWidth="1"/>
    <col min="2" max="2" width="30" customWidth="1"/>
    <col min="3" max="3" width="50" customWidth="1"/>
    <col min="4" max="6" width="15" customWidth="1"/>
    <col min="7" max="7" width="20" customWidth="1"/>
  </cols>
  <sheetData>
    <row r="1" spans="1:7" ht="15.75" customHeight="1">
      <c r="A1" s="520" t="s">
        <v>2675</v>
      </c>
      <c r="B1" s="494"/>
      <c r="C1" s="494"/>
      <c r="D1" s="494"/>
      <c r="E1" s="494"/>
      <c r="F1" s="494"/>
      <c r="G1" s="494"/>
    </row>
    <row r="3" spans="1:7">
      <c r="A3" s="356" t="s">
        <v>1</v>
      </c>
      <c r="B3" s="357" t="s">
        <v>2110</v>
      </c>
    </row>
    <row r="4" spans="1:7">
      <c r="A4" s="356" t="s">
        <v>2425</v>
      </c>
      <c r="B4" s="357" t="s">
        <v>2676</v>
      </c>
    </row>
    <row r="5" spans="1:7">
      <c r="A5" s="356" t="s">
        <v>1382</v>
      </c>
      <c r="B5" s="357" t="s">
        <v>2427</v>
      </c>
    </row>
    <row r="6" spans="1:7">
      <c r="A6" s="356" t="s">
        <v>2677</v>
      </c>
      <c r="B6" s="357" t="s">
        <v>2678</v>
      </c>
    </row>
    <row r="8" spans="1:7" ht="15.75" customHeight="1">
      <c r="A8" s="355" t="s">
        <v>2679</v>
      </c>
    </row>
    <row r="9" spans="1:7">
      <c r="A9" s="358" t="s">
        <v>1386</v>
      </c>
      <c r="B9" s="358" t="s">
        <v>1739</v>
      </c>
      <c r="C9" s="358" t="s">
        <v>260</v>
      </c>
      <c r="D9" s="358" t="s">
        <v>311</v>
      </c>
      <c r="E9" s="358" t="s">
        <v>14</v>
      </c>
      <c r="F9" s="358" t="s">
        <v>2120</v>
      </c>
      <c r="G9" s="358" t="s">
        <v>2680</v>
      </c>
    </row>
    <row r="10" spans="1:7" ht="57" customHeight="1">
      <c r="A10" s="359" t="s">
        <v>2681</v>
      </c>
      <c r="B10" s="359" t="s">
        <v>2682</v>
      </c>
      <c r="C10" s="359" t="s">
        <v>2683</v>
      </c>
      <c r="D10" s="359" t="s">
        <v>2684</v>
      </c>
      <c r="E10" s="360" t="s">
        <v>2685</v>
      </c>
      <c r="F10" s="359" t="s">
        <v>2686</v>
      </c>
      <c r="G10" s="359" t="s">
        <v>2687</v>
      </c>
    </row>
    <row r="11" spans="1:7" ht="42.75" customHeight="1">
      <c r="A11" s="359" t="s">
        <v>2688</v>
      </c>
      <c r="B11" s="359" t="s">
        <v>2689</v>
      </c>
      <c r="C11" s="359" t="s">
        <v>2690</v>
      </c>
      <c r="D11" s="359" t="s">
        <v>2691</v>
      </c>
      <c r="E11" s="360" t="s">
        <v>2685</v>
      </c>
      <c r="F11" s="359" t="s">
        <v>2692</v>
      </c>
      <c r="G11" s="359" t="s">
        <v>2687</v>
      </c>
    </row>
    <row r="12" spans="1:7" ht="28.5" customHeight="1">
      <c r="A12" s="359" t="s">
        <v>2693</v>
      </c>
      <c r="B12" s="359" t="s">
        <v>2694</v>
      </c>
      <c r="C12" s="359" t="s">
        <v>2695</v>
      </c>
      <c r="D12" s="359" t="s">
        <v>2696</v>
      </c>
      <c r="E12" s="360" t="s">
        <v>2685</v>
      </c>
      <c r="F12" s="359" t="s">
        <v>2697</v>
      </c>
      <c r="G12" s="359" t="s">
        <v>2687</v>
      </c>
    </row>
    <row r="13" spans="1:7" ht="42.75" customHeight="1">
      <c r="A13" s="359" t="s">
        <v>2698</v>
      </c>
      <c r="B13" s="359" t="s">
        <v>2699</v>
      </c>
      <c r="C13" s="359" t="s">
        <v>2700</v>
      </c>
      <c r="D13" s="359" t="s">
        <v>2701</v>
      </c>
      <c r="E13" s="360" t="s">
        <v>2685</v>
      </c>
      <c r="F13" s="359" t="s">
        <v>2702</v>
      </c>
      <c r="G13" s="359" t="s">
        <v>2687</v>
      </c>
    </row>
    <row r="14" spans="1:7" ht="71.25" customHeight="1">
      <c r="A14" s="359" t="s">
        <v>2703</v>
      </c>
      <c r="B14" s="359" t="s">
        <v>2704</v>
      </c>
      <c r="C14" s="359" t="s">
        <v>2705</v>
      </c>
      <c r="D14" s="359" t="s">
        <v>2706</v>
      </c>
      <c r="E14" s="361" t="s">
        <v>2707</v>
      </c>
      <c r="F14" s="359" t="s">
        <v>2708</v>
      </c>
      <c r="G14" s="359" t="s">
        <v>2687</v>
      </c>
    </row>
    <row r="15" spans="1:7" ht="42.75" customHeight="1">
      <c r="A15" s="359" t="s">
        <v>2709</v>
      </c>
      <c r="B15" s="359" t="s">
        <v>2710</v>
      </c>
      <c r="C15" s="359" t="s">
        <v>2711</v>
      </c>
      <c r="D15" s="359" t="s">
        <v>2712</v>
      </c>
      <c r="E15" s="360" t="s">
        <v>2685</v>
      </c>
      <c r="F15" s="359" t="s">
        <v>2713</v>
      </c>
      <c r="G15" s="359" t="s">
        <v>2687</v>
      </c>
    </row>
    <row r="16" spans="1:7" ht="28.5" customHeight="1">
      <c r="A16" s="359" t="s">
        <v>2714</v>
      </c>
      <c r="B16" s="359" t="s">
        <v>2715</v>
      </c>
      <c r="C16" s="359" t="s">
        <v>2716</v>
      </c>
      <c r="D16" s="359" t="s">
        <v>2625</v>
      </c>
      <c r="E16" s="360" t="s">
        <v>2685</v>
      </c>
      <c r="F16" s="359" t="s">
        <v>2717</v>
      </c>
      <c r="G16" s="359" t="s">
        <v>2625</v>
      </c>
    </row>
    <row r="17" spans="1:7" ht="42.75" customHeight="1">
      <c r="A17" s="359" t="s">
        <v>2562</v>
      </c>
      <c r="B17" s="359" t="s">
        <v>2718</v>
      </c>
      <c r="C17" s="359" t="s">
        <v>2719</v>
      </c>
      <c r="D17" s="359" t="s">
        <v>2720</v>
      </c>
      <c r="E17" s="360" t="s">
        <v>2685</v>
      </c>
      <c r="F17" s="359" t="s">
        <v>2721</v>
      </c>
      <c r="G17" s="359" t="s">
        <v>2687</v>
      </c>
    </row>
    <row r="19" spans="1:7" ht="15.75" customHeight="1">
      <c r="A19" s="355" t="s">
        <v>2722</v>
      </c>
    </row>
    <row r="20" spans="1:7">
      <c r="A20" s="365" t="s">
        <v>2723</v>
      </c>
    </row>
    <row r="21" spans="1:7">
      <c r="A21" s="368" t="s">
        <v>13</v>
      </c>
      <c r="B21" s="368" t="s">
        <v>1387</v>
      </c>
      <c r="C21" s="368" t="s">
        <v>14</v>
      </c>
      <c r="D21" s="368" t="s">
        <v>598</v>
      </c>
    </row>
    <row r="22" spans="1:7" ht="71.25" customHeight="1">
      <c r="A22" s="359" t="s">
        <v>2724</v>
      </c>
      <c r="B22" s="359" t="s">
        <v>2725</v>
      </c>
      <c r="C22" s="360" t="s">
        <v>2086</v>
      </c>
      <c r="D22" s="359" t="s">
        <v>2726</v>
      </c>
    </row>
    <row r="23" spans="1:7" ht="71.25" customHeight="1">
      <c r="A23" s="359" t="s">
        <v>2727</v>
      </c>
      <c r="B23" s="359" t="s">
        <v>2725</v>
      </c>
      <c r="C23" s="360" t="s">
        <v>2086</v>
      </c>
      <c r="D23" s="359" t="s">
        <v>2728</v>
      </c>
    </row>
    <row r="24" spans="1:7" ht="156.75" customHeight="1">
      <c r="A24" s="359" t="s">
        <v>2729</v>
      </c>
      <c r="B24" s="359" t="s">
        <v>2730</v>
      </c>
      <c r="C24" s="360" t="s">
        <v>2086</v>
      </c>
      <c r="D24" s="359" t="s">
        <v>2731</v>
      </c>
    </row>
    <row r="25" spans="1:7" ht="57" customHeight="1">
      <c r="A25" s="359" t="s">
        <v>2732</v>
      </c>
      <c r="B25" s="359" t="s">
        <v>2733</v>
      </c>
      <c r="C25" s="360" t="s">
        <v>2086</v>
      </c>
      <c r="D25" s="359" t="s">
        <v>2734</v>
      </c>
    </row>
    <row r="27" spans="1:7">
      <c r="A27" s="362" t="s">
        <v>2735</v>
      </c>
    </row>
    <row r="28" spans="1:7">
      <c r="A28" s="368" t="s">
        <v>1739</v>
      </c>
      <c r="B28" s="368" t="s">
        <v>2120</v>
      </c>
      <c r="C28" s="368" t="s">
        <v>2736</v>
      </c>
      <c r="D28" s="368" t="s">
        <v>2737</v>
      </c>
    </row>
    <row r="29" spans="1:7" ht="45" customHeight="1">
      <c r="A29" s="359" t="s">
        <v>2738</v>
      </c>
      <c r="B29" s="359" t="s">
        <v>2686</v>
      </c>
      <c r="C29" s="359" t="s">
        <v>2739</v>
      </c>
      <c r="D29" s="367" t="s">
        <v>2740</v>
      </c>
    </row>
    <row r="30" spans="1:7" ht="42.75" customHeight="1">
      <c r="A30" s="359" t="s">
        <v>2741</v>
      </c>
      <c r="B30" s="359" t="s">
        <v>2721</v>
      </c>
      <c r="C30" s="359" t="s">
        <v>2742</v>
      </c>
      <c r="D30" s="367" t="s">
        <v>2743</v>
      </c>
    </row>
    <row r="31" spans="1:7" ht="28.5" customHeight="1">
      <c r="A31" s="359" t="s">
        <v>2694</v>
      </c>
      <c r="B31" s="359" t="s">
        <v>2697</v>
      </c>
      <c r="C31" s="359" t="s">
        <v>2744</v>
      </c>
      <c r="D31" s="367" t="s">
        <v>2743</v>
      </c>
    </row>
    <row r="32" spans="1:7" ht="42.75" customHeight="1">
      <c r="A32" s="359" t="s">
        <v>2745</v>
      </c>
      <c r="B32" s="359" t="s">
        <v>2702</v>
      </c>
      <c r="C32" s="359" t="s">
        <v>2746</v>
      </c>
      <c r="D32" s="367" t="s">
        <v>2743</v>
      </c>
    </row>
    <row r="33" spans="1:4" ht="42.75" customHeight="1">
      <c r="A33" s="359" t="s">
        <v>2747</v>
      </c>
      <c r="B33" s="359" t="s">
        <v>2748</v>
      </c>
      <c r="C33" s="359" t="s">
        <v>2749</v>
      </c>
      <c r="D33" s="367" t="s">
        <v>2743</v>
      </c>
    </row>
    <row r="34" spans="1:4" ht="42.75" customHeight="1">
      <c r="A34" s="359" t="s">
        <v>2750</v>
      </c>
      <c r="B34" s="359" t="s">
        <v>2751</v>
      </c>
      <c r="C34" s="359" t="s">
        <v>2749</v>
      </c>
      <c r="D34" s="367" t="s">
        <v>2743</v>
      </c>
    </row>
    <row r="35" spans="1:4" ht="60" customHeight="1">
      <c r="A35" s="359" t="s">
        <v>2307</v>
      </c>
      <c r="B35" s="359" t="s">
        <v>2752</v>
      </c>
      <c r="C35" s="359" t="s">
        <v>2753</v>
      </c>
      <c r="D35" s="367" t="s">
        <v>2754</v>
      </c>
    </row>
  </sheetData>
  <mergeCells count="1">
    <mergeCell ref="A1:G1"/>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43"/>
  <sheetViews>
    <sheetView workbookViewId="0"/>
  </sheetViews>
  <sheetFormatPr defaultRowHeight="15"/>
  <cols>
    <col min="1" max="1" width="8" customWidth="1"/>
    <col min="2" max="2" width="35" customWidth="1"/>
    <col min="3" max="3" width="55" customWidth="1"/>
    <col min="4" max="5" width="12" customWidth="1"/>
    <col min="6" max="6" width="15" customWidth="1"/>
  </cols>
  <sheetData>
    <row r="1" spans="1:6" ht="15.75" customHeight="1">
      <c r="A1" s="520" t="s">
        <v>2755</v>
      </c>
      <c r="B1" s="494"/>
      <c r="C1" s="494"/>
      <c r="D1" s="494"/>
      <c r="E1" s="494"/>
      <c r="F1" s="494"/>
    </row>
    <row r="3" spans="1:6">
      <c r="A3" s="362" t="s">
        <v>1535</v>
      </c>
    </row>
    <row r="4" spans="1:6">
      <c r="A4" s="358" t="s">
        <v>12</v>
      </c>
      <c r="B4" s="358" t="s">
        <v>1386</v>
      </c>
      <c r="C4" s="358" t="s">
        <v>189</v>
      </c>
      <c r="D4" s="358" t="s">
        <v>2156</v>
      </c>
      <c r="E4" s="358" t="s">
        <v>2157</v>
      </c>
      <c r="F4" s="358" t="s">
        <v>2158</v>
      </c>
    </row>
    <row r="5" spans="1:6" ht="57" customHeight="1">
      <c r="A5" s="370" t="s">
        <v>2756</v>
      </c>
      <c r="B5" s="370" t="s">
        <v>2757</v>
      </c>
      <c r="C5" s="359" t="s">
        <v>2758</v>
      </c>
      <c r="D5" s="359" t="s">
        <v>1535</v>
      </c>
      <c r="E5" s="359" t="s">
        <v>2214</v>
      </c>
      <c r="F5" s="359" t="s">
        <v>2759</v>
      </c>
    </row>
    <row r="6" spans="1:6" ht="42.75" customHeight="1">
      <c r="A6" s="359" t="s">
        <v>2159</v>
      </c>
      <c r="B6" s="359" t="s">
        <v>2760</v>
      </c>
      <c r="C6" s="359" t="s">
        <v>2761</v>
      </c>
      <c r="D6" s="359" t="s">
        <v>1535</v>
      </c>
      <c r="E6" s="359" t="s">
        <v>2214</v>
      </c>
      <c r="F6" s="359" t="s">
        <v>2163</v>
      </c>
    </row>
    <row r="7" spans="1:6" ht="28.5" customHeight="1">
      <c r="A7" s="359" t="s">
        <v>2164</v>
      </c>
      <c r="B7" s="359" t="s">
        <v>2762</v>
      </c>
      <c r="C7" s="359" t="s">
        <v>2763</v>
      </c>
      <c r="D7" s="359" t="s">
        <v>1535</v>
      </c>
      <c r="E7" s="359" t="s">
        <v>2214</v>
      </c>
      <c r="F7" s="359" t="s">
        <v>2163</v>
      </c>
    </row>
    <row r="8" spans="1:6" ht="28.5" customHeight="1">
      <c r="A8" s="359" t="s">
        <v>2167</v>
      </c>
      <c r="B8" s="359" t="s">
        <v>2764</v>
      </c>
      <c r="C8" s="359" t="s">
        <v>2765</v>
      </c>
      <c r="D8" s="359" t="s">
        <v>1535</v>
      </c>
      <c r="E8" s="359" t="s">
        <v>2234</v>
      </c>
      <c r="F8" s="359" t="s">
        <v>2163</v>
      </c>
    </row>
    <row r="9" spans="1:6">
      <c r="A9" s="359" t="s">
        <v>2171</v>
      </c>
      <c r="B9" s="359" t="s">
        <v>2766</v>
      </c>
      <c r="C9" s="359" t="s">
        <v>2767</v>
      </c>
      <c r="D9" s="359" t="s">
        <v>1535</v>
      </c>
      <c r="E9" s="359" t="s">
        <v>2234</v>
      </c>
      <c r="F9" s="359" t="s">
        <v>2163</v>
      </c>
    </row>
    <row r="10" spans="1:6" ht="28.5" customHeight="1">
      <c r="A10" s="359" t="s">
        <v>2175</v>
      </c>
      <c r="B10" s="359" t="s">
        <v>2768</v>
      </c>
      <c r="C10" s="359" t="s">
        <v>2769</v>
      </c>
      <c r="D10" s="359" t="s">
        <v>1535</v>
      </c>
      <c r="E10" s="359" t="s">
        <v>2209</v>
      </c>
      <c r="F10" s="359" t="s">
        <v>2163</v>
      </c>
    </row>
    <row r="11" spans="1:6" ht="28.5" customHeight="1">
      <c r="A11" s="359" t="s">
        <v>2179</v>
      </c>
      <c r="B11" s="359" t="s">
        <v>2770</v>
      </c>
      <c r="C11" s="359" t="s">
        <v>2771</v>
      </c>
      <c r="D11" s="359" t="s">
        <v>1535</v>
      </c>
      <c r="E11" s="359" t="s">
        <v>2174</v>
      </c>
      <c r="F11" s="359" t="s">
        <v>2163</v>
      </c>
    </row>
    <row r="13" spans="1:6">
      <c r="A13" s="363" t="s">
        <v>1033</v>
      </c>
    </row>
    <row r="14" spans="1:6">
      <c r="A14" s="358" t="s">
        <v>12</v>
      </c>
      <c r="B14" s="358" t="s">
        <v>1386</v>
      </c>
      <c r="C14" s="358" t="s">
        <v>189</v>
      </c>
      <c r="D14" s="358" t="s">
        <v>2156</v>
      </c>
      <c r="E14" s="358" t="s">
        <v>2157</v>
      </c>
      <c r="F14" s="358" t="s">
        <v>2158</v>
      </c>
    </row>
    <row r="15" spans="1:6" ht="28.5" customHeight="1">
      <c r="A15" s="359" t="s">
        <v>2198</v>
      </c>
      <c r="B15" s="359" t="s">
        <v>2772</v>
      </c>
      <c r="C15" s="359" t="s">
        <v>2773</v>
      </c>
      <c r="D15" s="359" t="s">
        <v>1033</v>
      </c>
      <c r="E15" s="359" t="s">
        <v>2234</v>
      </c>
      <c r="F15" s="359" t="s">
        <v>2163</v>
      </c>
    </row>
    <row r="16" spans="1:6" ht="28.5" customHeight="1">
      <c r="A16" s="359" t="s">
        <v>2203</v>
      </c>
      <c r="B16" s="359" t="s">
        <v>2774</v>
      </c>
      <c r="C16" s="359" t="s">
        <v>2775</v>
      </c>
      <c r="D16" s="359" t="s">
        <v>1033</v>
      </c>
      <c r="E16" s="359" t="s">
        <v>2214</v>
      </c>
      <c r="F16" s="359" t="s">
        <v>2163</v>
      </c>
    </row>
    <row r="17" spans="1:6" ht="28.5" customHeight="1">
      <c r="A17" s="359" t="s">
        <v>2206</v>
      </c>
      <c r="B17" s="359" t="s">
        <v>2776</v>
      </c>
      <c r="C17" s="359" t="s">
        <v>2777</v>
      </c>
      <c r="D17" s="359" t="s">
        <v>1033</v>
      </c>
      <c r="E17" s="359" t="s">
        <v>2209</v>
      </c>
      <c r="F17" s="359" t="s">
        <v>2163</v>
      </c>
    </row>
    <row r="18" spans="1:6">
      <c r="A18" s="359" t="s">
        <v>2306</v>
      </c>
      <c r="B18" s="359" t="s">
        <v>2778</v>
      </c>
      <c r="C18" s="359" t="s">
        <v>2779</v>
      </c>
      <c r="D18" s="359" t="s">
        <v>1033</v>
      </c>
      <c r="E18" s="359" t="s">
        <v>2299</v>
      </c>
      <c r="F18" s="359" t="s">
        <v>2780</v>
      </c>
    </row>
    <row r="20" spans="1:6">
      <c r="A20" s="364" t="s">
        <v>1040</v>
      </c>
    </row>
    <row r="21" spans="1:6">
      <c r="A21" s="358" t="s">
        <v>12</v>
      </c>
      <c r="B21" s="358" t="s">
        <v>1386</v>
      </c>
      <c r="C21" s="358" t="s">
        <v>189</v>
      </c>
      <c r="D21" s="358" t="s">
        <v>2156</v>
      </c>
      <c r="E21" s="358" t="s">
        <v>2157</v>
      </c>
      <c r="F21" s="358" t="s">
        <v>2158</v>
      </c>
    </row>
    <row r="22" spans="1:6" ht="28.5" customHeight="1">
      <c r="A22" s="359" t="s">
        <v>2310</v>
      </c>
      <c r="B22" s="359" t="s">
        <v>2781</v>
      </c>
      <c r="C22" s="359" t="s">
        <v>2782</v>
      </c>
      <c r="D22" s="359" t="s">
        <v>1040</v>
      </c>
      <c r="E22" s="359" t="s">
        <v>2299</v>
      </c>
      <c r="F22" s="359" t="s">
        <v>2783</v>
      </c>
    </row>
    <row r="23" spans="1:6" ht="28.5" customHeight="1">
      <c r="A23" s="359" t="s">
        <v>2313</v>
      </c>
      <c r="B23" s="359" t="s">
        <v>2784</v>
      </c>
      <c r="C23" s="359" t="s">
        <v>2785</v>
      </c>
      <c r="D23" s="359" t="s">
        <v>1040</v>
      </c>
      <c r="E23" s="359" t="s">
        <v>2299</v>
      </c>
      <c r="F23" s="359" t="s">
        <v>2163</v>
      </c>
    </row>
    <row r="24" spans="1:6" ht="28.5" customHeight="1">
      <c r="A24" s="359" t="s">
        <v>2318</v>
      </c>
      <c r="B24" s="359" t="s">
        <v>2786</v>
      </c>
      <c r="C24" s="359" t="s">
        <v>2787</v>
      </c>
      <c r="D24" s="359" t="s">
        <v>1040</v>
      </c>
      <c r="E24" s="359" t="s">
        <v>2529</v>
      </c>
      <c r="F24" s="359" t="s">
        <v>2163</v>
      </c>
    </row>
    <row r="25" spans="1:6" ht="28.5" customHeight="1">
      <c r="A25" s="359" t="s">
        <v>2534</v>
      </c>
      <c r="B25" s="359" t="s">
        <v>2788</v>
      </c>
      <c r="C25" s="359" t="s">
        <v>2789</v>
      </c>
      <c r="D25" s="359" t="s">
        <v>1040</v>
      </c>
      <c r="E25" s="359" t="s">
        <v>2533</v>
      </c>
      <c r="F25" s="359" t="s">
        <v>2674</v>
      </c>
    </row>
    <row r="26" spans="1:6" ht="28.5" customHeight="1">
      <c r="A26" s="359" t="s">
        <v>2538</v>
      </c>
      <c r="B26" s="359" t="s">
        <v>2790</v>
      </c>
      <c r="C26" s="359" t="s">
        <v>2791</v>
      </c>
      <c r="D26" s="359" t="s">
        <v>1040</v>
      </c>
      <c r="E26" s="359" t="s">
        <v>2792</v>
      </c>
      <c r="F26" s="359" t="s">
        <v>2793</v>
      </c>
    </row>
    <row r="28" spans="1:6">
      <c r="A28" s="362" t="s">
        <v>2794</v>
      </c>
    </row>
    <row r="29" spans="1:6">
      <c r="A29" s="358" t="s">
        <v>12</v>
      </c>
      <c r="B29" s="358" t="s">
        <v>1386</v>
      </c>
      <c r="C29" s="358" t="s">
        <v>189</v>
      </c>
      <c r="D29" s="358" t="s">
        <v>2156</v>
      </c>
      <c r="E29" s="358" t="s">
        <v>2157</v>
      </c>
      <c r="F29" s="358" t="s">
        <v>2158</v>
      </c>
    </row>
    <row r="30" spans="1:6" ht="28.5" customHeight="1">
      <c r="A30" s="359" t="s">
        <v>2795</v>
      </c>
      <c r="B30" s="359" t="s">
        <v>2665</v>
      </c>
      <c r="C30" s="359" t="s">
        <v>2796</v>
      </c>
      <c r="D30" s="359" t="s">
        <v>1535</v>
      </c>
      <c r="E30" s="359" t="s">
        <v>2512</v>
      </c>
      <c r="F30" s="359" t="s">
        <v>2533</v>
      </c>
    </row>
    <row r="31" spans="1:6" ht="28.5" customHeight="1">
      <c r="A31" s="359" t="s">
        <v>2797</v>
      </c>
      <c r="B31" s="359" t="s">
        <v>2798</v>
      </c>
      <c r="C31" s="359" t="s">
        <v>2799</v>
      </c>
      <c r="D31" s="359" t="s">
        <v>1033</v>
      </c>
      <c r="E31" s="359" t="s">
        <v>2533</v>
      </c>
      <c r="F31" s="359" t="s">
        <v>2800</v>
      </c>
    </row>
    <row r="32" spans="1:6" ht="28.5" customHeight="1">
      <c r="A32" s="359" t="s">
        <v>2801</v>
      </c>
      <c r="B32" s="359" t="s">
        <v>2802</v>
      </c>
      <c r="C32" s="359" t="s">
        <v>2803</v>
      </c>
      <c r="D32" s="359" t="s">
        <v>1033</v>
      </c>
      <c r="E32" s="359" t="s">
        <v>2533</v>
      </c>
      <c r="F32" s="359" t="s">
        <v>2674</v>
      </c>
    </row>
    <row r="33" spans="1:6">
      <c r="A33" s="359" t="s">
        <v>2804</v>
      </c>
      <c r="B33" s="359" t="s">
        <v>2805</v>
      </c>
      <c r="C33" s="359" t="s">
        <v>2806</v>
      </c>
      <c r="D33" s="359" t="s">
        <v>1033</v>
      </c>
      <c r="E33" s="359" t="s">
        <v>2209</v>
      </c>
      <c r="F33" s="359" t="s">
        <v>2533</v>
      </c>
    </row>
    <row r="34" spans="1:6" ht="28.5" customHeight="1">
      <c r="A34" s="359" t="s">
        <v>2807</v>
      </c>
      <c r="B34" s="359" t="s">
        <v>2667</v>
      </c>
      <c r="C34" s="359" t="s">
        <v>2808</v>
      </c>
      <c r="D34" s="359" t="s">
        <v>1033</v>
      </c>
      <c r="E34" s="359" t="s">
        <v>2201</v>
      </c>
      <c r="F34" s="359" t="s">
        <v>2416</v>
      </c>
    </row>
    <row r="35" spans="1:6">
      <c r="A35" s="359" t="s">
        <v>2809</v>
      </c>
      <c r="B35" s="359" t="s">
        <v>2810</v>
      </c>
      <c r="C35" s="359" t="s">
        <v>2811</v>
      </c>
      <c r="D35" s="359" t="s">
        <v>1040</v>
      </c>
      <c r="E35" s="359" t="s">
        <v>2234</v>
      </c>
      <c r="F35" s="359" t="s">
        <v>2163</v>
      </c>
    </row>
    <row r="36" spans="1:6">
      <c r="A36" s="359" t="s">
        <v>2812</v>
      </c>
      <c r="B36" s="359" t="s">
        <v>2813</v>
      </c>
      <c r="C36" s="359" t="s">
        <v>2814</v>
      </c>
      <c r="D36" s="359" t="s">
        <v>1040</v>
      </c>
      <c r="E36" s="359" t="s">
        <v>2299</v>
      </c>
      <c r="F36" s="359" t="s">
        <v>2815</v>
      </c>
    </row>
    <row r="38" spans="1:6">
      <c r="A38" s="362" t="s">
        <v>2816</v>
      </c>
    </row>
    <row r="39" spans="1:6">
      <c r="A39" s="368" t="s">
        <v>12</v>
      </c>
      <c r="B39" s="368" t="s">
        <v>1386</v>
      </c>
      <c r="C39" s="368" t="s">
        <v>189</v>
      </c>
      <c r="D39" s="368" t="s">
        <v>2156</v>
      </c>
      <c r="E39" s="368" t="s">
        <v>2157</v>
      </c>
      <c r="F39" s="368" t="s">
        <v>2158</v>
      </c>
    </row>
    <row r="40" spans="1:6" ht="42.75" customHeight="1">
      <c r="A40" s="359" t="s">
        <v>2817</v>
      </c>
      <c r="B40" s="359" t="s">
        <v>2818</v>
      </c>
      <c r="C40" s="359" t="s">
        <v>2819</v>
      </c>
      <c r="D40" s="359" t="s">
        <v>1535</v>
      </c>
      <c r="E40" s="359" t="s">
        <v>2170</v>
      </c>
      <c r="F40" s="359" t="s">
        <v>2820</v>
      </c>
    </row>
    <row r="41" spans="1:6" ht="42.75" customHeight="1">
      <c r="A41" s="359" t="s">
        <v>2821</v>
      </c>
      <c r="B41" s="359" t="s">
        <v>2822</v>
      </c>
      <c r="C41" s="359" t="s">
        <v>2823</v>
      </c>
      <c r="D41" s="359" t="s">
        <v>1535</v>
      </c>
      <c r="E41" s="359" t="s">
        <v>2214</v>
      </c>
      <c r="F41" s="359" t="s">
        <v>2824</v>
      </c>
    </row>
    <row r="42" spans="1:6" ht="42.75" customHeight="1">
      <c r="A42" s="359" t="s">
        <v>2825</v>
      </c>
      <c r="B42" s="359" t="s">
        <v>2826</v>
      </c>
      <c r="C42" s="359" t="s">
        <v>2827</v>
      </c>
      <c r="D42" s="359" t="s">
        <v>1535</v>
      </c>
      <c r="E42" s="359" t="s">
        <v>2209</v>
      </c>
      <c r="F42" s="359" t="s">
        <v>2828</v>
      </c>
    </row>
    <row r="43" spans="1:6" ht="28.5" customHeight="1">
      <c r="A43" s="359" t="s">
        <v>2829</v>
      </c>
      <c r="B43" s="359" t="s">
        <v>2830</v>
      </c>
      <c r="C43" s="359" t="s">
        <v>2831</v>
      </c>
      <c r="D43" s="359" t="s">
        <v>1535</v>
      </c>
      <c r="E43" s="359" t="s">
        <v>2170</v>
      </c>
      <c r="F43" s="359" t="s">
        <v>2832</v>
      </c>
    </row>
  </sheetData>
  <mergeCells count="1">
    <mergeCell ref="A1:F1"/>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16"/>
  <sheetViews>
    <sheetView workbookViewId="0"/>
  </sheetViews>
  <sheetFormatPr defaultRowHeight="15"/>
  <cols>
    <col min="1" max="1" width="30" customWidth="1"/>
    <col min="2" max="2" width="20" customWidth="1"/>
    <col min="3" max="3" width="15" customWidth="1"/>
    <col min="4" max="4" width="40" customWidth="1"/>
    <col min="5" max="5" width="25" customWidth="1"/>
    <col min="6" max="6" width="15" customWidth="1"/>
  </cols>
  <sheetData>
    <row r="1" spans="1:6" ht="15.75" customHeight="1">
      <c r="A1" s="520" t="s">
        <v>2833</v>
      </c>
      <c r="B1" s="494"/>
      <c r="C1" s="494"/>
      <c r="D1" s="494"/>
      <c r="E1" s="494"/>
      <c r="F1" s="494"/>
    </row>
    <row r="3" spans="1:6">
      <c r="A3" s="358" t="s">
        <v>2834</v>
      </c>
      <c r="B3" s="358" t="s">
        <v>595</v>
      </c>
      <c r="C3" s="358" t="s">
        <v>2835</v>
      </c>
      <c r="D3" s="358" t="s">
        <v>2836</v>
      </c>
      <c r="E3" s="358" t="s">
        <v>2837</v>
      </c>
      <c r="F3" s="358" t="s">
        <v>14</v>
      </c>
    </row>
    <row r="4" spans="1:6" ht="28.5" customHeight="1">
      <c r="A4" s="359" t="s">
        <v>2682</v>
      </c>
      <c r="B4" s="359" t="s">
        <v>2838</v>
      </c>
      <c r="C4" s="359" t="s">
        <v>2684</v>
      </c>
      <c r="D4" s="359" t="s">
        <v>2839</v>
      </c>
      <c r="E4" s="359" t="s">
        <v>2840</v>
      </c>
      <c r="F4" s="359" t="s">
        <v>2841</v>
      </c>
    </row>
    <row r="5" spans="1:6" ht="28.5" customHeight="1">
      <c r="A5" s="359" t="s">
        <v>2689</v>
      </c>
      <c r="B5" s="359" t="s">
        <v>2842</v>
      </c>
      <c r="C5" s="359" t="s">
        <v>2691</v>
      </c>
      <c r="D5" s="359" t="s">
        <v>2843</v>
      </c>
      <c r="E5" s="359" t="s">
        <v>2625</v>
      </c>
      <c r="F5" s="359" t="s">
        <v>2841</v>
      </c>
    </row>
    <row r="6" spans="1:6" ht="28.5" customHeight="1">
      <c r="A6" s="359" t="s">
        <v>2844</v>
      </c>
      <c r="B6" s="359" t="s">
        <v>2845</v>
      </c>
      <c r="C6" s="359" t="s">
        <v>2846</v>
      </c>
      <c r="D6" s="359" t="s">
        <v>2847</v>
      </c>
      <c r="E6" s="359" t="s">
        <v>2625</v>
      </c>
      <c r="F6" s="359" t="s">
        <v>2841</v>
      </c>
    </row>
    <row r="7" spans="1:6" ht="28.5" customHeight="1">
      <c r="A7" s="359" t="s">
        <v>2718</v>
      </c>
      <c r="B7" s="359" t="s">
        <v>2838</v>
      </c>
      <c r="C7" s="359" t="s">
        <v>2720</v>
      </c>
      <c r="D7" s="359" t="s">
        <v>2848</v>
      </c>
      <c r="E7" s="359" t="s">
        <v>2849</v>
      </c>
      <c r="F7" s="359" t="s">
        <v>2841</v>
      </c>
    </row>
    <row r="8" spans="1:6" ht="28.5" customHeight="1">
      <c r="A8" s="359" t="s">
        <v>2850</v>
      </c>
      <c r="B8" s="359" t="s">
        <v>2851</v>
      </c>
      <c r="C8" s="359" t="s">
        <v>2852</v>
      </c>
      <c r="D8" s="359" t="s">
        <v>2853</v>
      </c>
      <c r="E8" s="359" t="s">
        <v>2625</v>
      </c>
      <c r="F8" s="359" t="s">
        <v>2841</v>
      </c>
    </row>
    <row r="9" spans="1:6" ht="28.5" customHeight="1">
      <c r="A9" s="359" t="s">
        <v>2854</v>
      </c>
      <c r="B9" s="359" t="s">
        <v>2855</v>
      </c>
      <c r="C9" s="359" t="s">
        <v>2856</v>
      </c>
      <c r="D9" s="359" t="s">
        <v>2857</v>
      </c>
      <c r="E9" s="359" t="s">
        <v>2625</v>
      </c>
      <c r="F9" s="359" t="s">
        <v>2841</v>
      </c>
    </row>
    <row r="10" spans="1:6" ht="28.5" customHeight="1">
      <c r="A10" s="359" t="s">
        <v>2858</v>
      </c>
      <c r="B10" s="359" t="s">
        <v>2838</v>
      </c>
      <c r="C10" s="359" t="s">
        <v>2859</v>
      </c>
      <c r="D10" s="359" t="s">
        <v>2860</v>
      </c>
      <c r="E10" s="359" t="s">
        <v>2849</v>
      </c>
      <c r="F10" s="359" t="s">
        <v>2841</v>
      </c>
    </row>
    <row r="11" spans="1:6" ht="28.5" customHeight="1">
      <c r="A11" s="359" t="s">
        <v>2694</v>
      </c>
      <c r="B11" s="359" t="s">
        <v>2838</v>
      </c>
      <c r="C11" s="359" t="s">
        <v>2696</v>
      </c>
      <c r="D11" s="359" t="s">
        <v>2861</v>
      </c>
      <c r="E11" s="359" t="s">
        <v>2840</v>
      </c>
      <c r="F11" s="359" t="s">
        <v>2841</v>
      </c>
    </row>
    <row r="12" spans="1:6" ht="28.5" customHeight="1">
      <c r="A12" s="359" t="s">
        <v>2699</v>
      </c>
      <c r="B12" s="359" t="s">
        <v>2838</v>
      </c>
      <c r="C12" s="359" t="s">
        <v>2701</v>
      </c>
      <c r="D12" s="359" t="s">
        <v>2862</v>
      </c>
      <c r="E12" s="359" t="s">
        <v>2863</v>
      </c>
      <c r="F12" s="359" t="s">
        <v>2841</v>
      </c>
    </row>
    <row r="13" spans="1:6" ht="28.5" customHeight="1">
      <c r="A13" s="359" t="s">
        <v>1669</v>
      </c>
      <c r="B13" s="359" t="s">
        <v>2864</v>
      </c>
      <c r="C13" s="359" t="s">
        <v>2625</v>
      </c>
      <c r="D13" s="359" t="s">
        <v>2865</v>
      </c>
      <c r="E13" s="359" t="s">
        <v>2625</v>
      </c>
      <c r="F13" s="359" t="s">
        <v>2866</v>
      </c>
    </row>
    <row r="14" spans="1:6" ht="28.5" customHeight="1">
      <c r="A14" s="359" t="s">
        <v>2867</v>
      </c>
      <c r="B14" s="359" t="s">
        <v>2037</v>
      </c>
      <c r="C14" s="359" t="s">
        <v>2625</v>
      </c>
      <c r="D14" s="359" t="s">
        <v>2868</v>
      </c>
      <c r="E14" s="359" t="s">
        <v>2869</v>
      </c>
      <c r="F14" s="359" t="s">
        <v>2870</v>
      </c>
    </row>
    <row r="15" spans="1:6">
      <c r="A15" s="359" t="s">
        <v>2871</v>
      </c>
      <c r="B15" s="359" t="s">
        <v>2872</v>
      </c>
      <c r="C15" s="359" t="s">
        <v>2873</v>
      </c>
      <c r="D15" s="359" t="s">
        <v>2874</v>
      </c>
      <c r="E15" s="359" t="s">
        <v>2869</v>
      </c>
      <c r="F15" s="359" t="s">
        <v>2870</v>
      </c>
    </row>
    <row r="16" spans="1:6" ht="42.75" customHeight="1">
      <c r="A16" s="359" t="s">
        <v>2875</v>
      </c>
      <c r="B16" s="359" t="s">
        <v>2037</v>
      </c>
      <c r="C16" s="359" t="s">
        <v>2625</v>
      </c>
      <c r="D16" s="359" t="s">
        <v>2876</v>
      </c>
      <c r="E16" s="359" t="s">
        <v>1562</v>
      </c>
      <c r="F16" s="359" t="s">
        <v>2877</v>
      </c>
    </row>
  </sheetData>
  <mergeCells count="1">
    <mergeCell ref="A1:F1"/>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32"/>
  <sheetViews>
    <sheetView workbookViewId="0"/>
  </sheetViews>
  <sheetFormatPr defaultRowHeight="15"/>
  <cols>
    <col min="1" max="1" width="12" customWidth="1"/>
    <col min="2" max="2" width="15" customWidth="1"/>
    <col min="3" max="3" width="50" customWidth="1"/>
    <col min="4" max="6" width="12" customWidth="1"/>
  </cols>
  <sheetData>
    <row r="1" spans="1:6" ht="15.75" customHeight="1">
      <c r="A1" s="520" t="s">
        <v>2878</v>
      </c>
      <c r="B1" s="494"/>
      <c r="C1" s="494"/>
      <c r="D1" s="494"/>
      <c r="E1" s="494"/>
      <c r="F1" s="494"/>
    </row>
    <row r="3" spans="1:6">
      <c r="A3" s="356" t="s">
        <v>259</v>
      </c>
      <c r="B3" s="357" t="s">
        <v>2879</v>
      </c>
    </row>
    <row r="4" spans="1:6">
      <c r="A4" s="356" t="s">
        <v>311</v>
      </c>
      <c r="B4" s="357" t="s">
        <v>2880</v>
      </c>
    </row>
    <row r="5" spans="1:6">
      <c r="A5" s="356" t="s">
        <v>2364</v>
      </c>
      <c r="B5" s="357" t="s">
        <v>2881</v>
      </c>
    </row>
    <row r="6" spans="1:6">
      <c r="A6" s="356" t="s">
        <v>14</v>
      </c>
      <c r="B6" s="365" t="s">
        <v>2086</v>
      </c>
    </row>
    <row r="8" spans="1:6">
      <c r="A8" s="358" t="s">
        <v>1739</v>
      </c>
      <c r="B8" s="358" t="s">
        <v>595</v>
      </c>
      <c r="C8" s="358" t="s">
        <v>260</v>
      </c>
      <c r="D8" s="358" t="s">
        <v>14</v>
      </c>
      <c r="E8" s="358" t="s">
        <v>259</v>
      </c>
      <c r="F8" s="358" t="s">
        <v>598</v>
      </c>
    </row>
    <row r="9" spans="1:6" ht="42.75" customHeight="1">
      <c r="A9" s="359" t="s">
        <v>2882</v>
      </c>
      <c r="B9" s="359" t="s">
        <v>2883</v>
      </c>
      <c r="C9" s="359" t="s">
        <v>2884</v>
      </c>
      <c r="D9" s="360" t="s">
        <v>463</v>
      </c>
      <c r="E9" s="359" t="s">
        <v>2879</v>
      </c>
      <c r="F9" s="359" t="s">
        <v>2885</v>
      </c>
    </row>
    <row r="10" spans="1:6" ht="42.75" customHeight="1">
      <c r="A10" s="359" t="s">
        <v>2886</v>
      </c>
      <c r="B10" s="359" t="s">
        <v>2883</v>
      </c>
      <c r="C10" s="359" t="s">
        <v>2887</v>
      </c>
      <c r="D10" s="360" t="s">
        <v>463</v>
      </c>
      <c r="E10" s="359" t="s">
        <v>2879</v>
      </c>
      <c r="F10" s="359" t="s">
        <v>2885</v>
      </c>
    </row>
    <row r="11" spans="1:6" ht="57" customHeight="1">
      <c r="A11" s="359" t="s">
        <v>2888</v>
      </c>
      <c r="B11" s="359" t="s">
        <v>2883</v>
      </c>
      <c r="C11" s="359" t="s">
        <v>2889</v>
      </c>
      <c r="D11" s="360" t="s">
        <v>463</v>
      </c>
      <c r="E11" s="359" t="s">
        <v>2879</v>
      </c>
      <c r="F11" s="359" t="s">
        <v>2890</v>
      </c>
    </row>
    <row r="12" spans="1:6" ht="57" customHeight="1">
      <c r="A12" s="359" t="s">
        <v>2891</v>
      </c>
      <c r="B12" s="359" t="s">
        <v>2883</v>
      </c>
      <c r="C12" s="359" t="s">
        <v>2892</v>
      </c>
      <c r="D12" s="360" t="s">
        <v>463</v>
      </c>
      <c r="E12" s="359" t="s">
        <v>2879</v>
      </c>
      <c r="F12" s="359" t="s">
        <v>2890</v>
      </c>
    </row>
    <row r="13" spans="1:6" ht="30" customHeight="1">
      <c r="A13" s="359" t="s">
        <v>2893</v>
      </c>
      <c r="B13" s="359" t="s">
        <v>1739</v>
      </c>
      <c r="C13" s="359" t="s">
        <v>2894</v>
      </c>
      <c r="D13" s="360" t="s">
        <v>463</v>
      </c>
      <c r="E13" s="359" t="s">
        <v>2879</v>
      </c>
      <c r="F13" s="359"/>
    </row>
    <row r="14" spans="1:6" ht="30" customHeight="1">
      <c r="A14" s="359" t="s">
        <v>2895</v>
      </c>
      <c r="B14" s="359" t="s">
        <v>2883</v>
      </c>
      <c r="C14" s="359" t="s">
        <v>2896</v>
      </c>
      <c r="D14" s="360" t="s">
        <v>463</v>
      </c>
      <c r="E14" s="359" t="s">
        <v>2879</v>
      </c>
      <c r="F14" s="359"/>
    </row>
    <row r="15" spans="1:6" ht="30" customHeight="1">
      <c r="A15" s="359" t="s">
        <v>2897</v>
      </c>
      <c r="B15" s="359" t="s">
        <v>1739</v>
      </c>
      <c r="C15" s="359" t="s">
        <v>2898</v>
      </c>
      <c r="D15" s="360" t="s">
        <v>463</v>
      </c>
      <c r="E15" s="359" t="s">
        <v>2879</v>
      </c>
      <c r="F15" s="359"/>
    </row>
    <row r="16" spans="1:6" ht="30" customHeight="1">
      <c r="A16" s="359" t="s">
        <v>2899</v>
      </c>
      <c r="B16" s="359" t="s">
        <v>2900</v>
      </c>
      <c r="C16" s="359" t="s">
        <v>2901</v>
      </c>
      <c r="D16" s="360" t="s">
        <v>463</v>
      </c>
      <c r="E16" s="359" t="s">
        <v>2879</v>
      </c>
      <c r="F16" s="359"/>
    </row>
    <row r="17" spans="1:6" ht="30" customHeight="1">
      <c r="A17" s="359" t="s">
        <v>2902</v>
      </c>
      <c r="B17" s="359" t="s">
        <v>2900</v>
      </c>
      <c r="C17" s="359" t="s">
        <v>2903</v>
      </c>
      <c r="D17" s="360" t="s">
        <v>463</v>
      </c>
      <c r="E17" s="359" t="s">
        <v>2879</v>
      </c>
      <c r="F17" s="359"/>
    </row>
    <row r="18" spans="1:6" ht="30" customHeight="1">
      <c r="A18" s="359" t="s">
        <v>2904</v>
      </c>
      <c r="B18" s="359" t="s">
        <v>2905</v>
      </c>
      <c r="C18" s="359" t="s">
        <v>2906</v>
      </c>
      <c r="D18" s="360" t="s">
        <v>463</v>
      </c>
      <c r="E18" s="359" t="s">
        <v>2879</v>
      </c>
      <c r="F18" s="359"/>
    </row>
    <row r="19" spans="1:6" ht="57" customHeight="1">
      <c r="A19" s="359" t="s">
        <v>2907</v>
      </c>
      <c r="B19" s="359" t="s">
        <v>2908</v>
      </c>
      <c r="C19" s="359" t="s">
        <v>2909</v>
      </c>
      <c r="D19" s="361" t="s">
        <v>477</v>
      </c>
      <c r="E19" s="359" t="s">
        <v>2625</v>
      </c>
      <c r="F19" s="359" t="s">
        <v>2910</v>
      </c>
    </row>
    <row r="20" spans="1:6" ht="57" customHeight="1">
      <c r="A20" s="359" t="s">
        <v>2911</v>
      </c>
      <c r="B20" s="359" t="s">
        <v>2908</v>
      </c>
      <c r="C20" s="359" t="s">
        <v>2909</v>
      </c>
      <c r="D20" s="361" t="s">
        <v>477</v>
      </c>
      <c r="E20" s="359" t="s">
        <v>2625</v>
      </c>
      <c r="F20" s="359" t="s">
        <v>2910</v>
      </c>
    </row>
    <row r="21" spans="1:6" ht="42.75" customHeight="1">
      <c r="A21" s="359" t="s">
        <v>2912</v>
      </c>
      <c r="B21" s="359" t="s">
        <v>2908</v>
      </c>
      <c r="C21" s="359" t="s">
        <v>2909</v>
      </c>
      <c r="D21" s="361" t="s">
        <v>477</v>
      </c>
      <c r="E21" s="359" t="s">
        <v>2625</v>
      </c>
      <c r="F21" s="359" t="s">
        <v>2910</v>
      </c>
    </row>
    <row r="22" spans="1:6" ht="156.75" customHeight="1">
      <c r="A22" s="359" t="s">
        <v>2913</v>
      </c>
      <c r="B22" s="359" t="s">
        <v>2914</v>
      </c>
      <c r="C22" s="359" t="s">
        <v>2915</v>
      </c>
      <c r="D22" s="366" t="s">
        <v>1330</v>
      </c>
      <c r="E22" s="359" t="s">
        <v>2625</v>
      </c>
      <c r="F22" s="359" t="s">
        <v>2916</v>
      </c>
    </row>
    <row r="23" spans="1:6" ht="57" customHeight="1">
      <c r="A23" s="359" t="s">
        <v>2917</v>
      </c>
      <c r="B23" s="359" t="s">
        <v>2908</v>
      </c>
      <c r="C23" s="359" t="s">
        <v>2918</v>
      </c>
      <c r="D23" s="361" t="s">
        <v>477</v>
      </c>
      <c r="E23" s="359" t="s">
        <v>2625</v>
      </c>
      <c r="F23" s="359" t="s">
        <v>2919</v>
      </c>
    </row>
    <row r="26" spans="1:6">
      <c r="A26" s="362" t="s">
        <v>2920</v>
      </c>
    </row>
    <row r="27" spans="1:6">
      <c r="A27" s="358" t="s">
        <v>13</v>
      </c>
      <c r="B27" s="358" t="s">
        <v>2628</v>
      </c>
      <c r="C27" s="358" t="s">
        <v>2921</v>
      </c>
      <c r="D27" s="358" t="s">
        <v>2629</v>
      </c>
      <c r="E27" s="358"/>
      <c r="F27" s="358"/>
    </row>
    <row r="28" spans="1:6" ht="42.75" customHeight="1">
      <c r="A28" s="367" t="s">
        <v>2642</v>
      </c>
      <c r="B28" s="359" t="s">
        <v>2922</v>
      </c>
      <c r="C28" s="359" t="s">
        <v>2923</v>
      </c>
      <c r="D28" s="359" t="s">
        <v>2316</v>
      </c>
    </row>
    <row r="29" spans="1:6" ht="42.75" customHeight="1">
      <c r="A29" s="367" t="s">
        <v>2636</v>
      </c>
      <c r="B29" s="359" t="s">
        <v>2924</v>
      </c>
      <c r="C29" s="359" t="s">
        <v>2638</v>
      </c>
      <c r="D29" s="359" t="s">
        <v>2316</v>
      </c>
    </row>
    <row r="30" spans="1:6" ht="42.75" customHeight="1">
      <c r="A30" s="367" t="s">
        <v>2639</v>
      </c>
      <c r="B30" s="359" t="s">
        <v>2925</v>
      </c>
      <c r="C30" s="359" t="s">
        <v>2641</v>
      </c>
      <c r="D30" s="359" t="s">
        <v>2316</v>
      </c>
    </row>
    <row r="31" spans="1:6" ht="30" customHeight="1">
      <c r="A31" s="367" t="s">
        <v>2633</v>
      </c>
      <c r="B31" s="359" t="s">
        <v>2634</v>
      </c>
      <c r="C31" s="359" t="s">
        <v>2635</v>
      </c>
      <c r="D31" s="359" t="s">
        <v>2316</v>
      </c>
    </row>
    <row r="32" spans="1:6" ht="57" customHeight="1">
      <c r="A32" s="367" t="s">
        <v>2645</v>
      </c>
      <c r="B32" s="359" t="s">
        <v>2926</v>
      </c>
      <c r="C32" s="359" t="s">
        <v>2927</v>
      </c>
      <c r="D32" s="359" t="s">
        <v>2316</v>
      </c>
    </row>
  </sheetData>
  <mergeCells count="1">
    <mergeCell ref="A1:F1"/>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18"/>
  <sheetViews>
    <sheetView workbookViewId="0"/>
  </sheetViews>
  <sheetFormatPr defaultRowHeight="15"/>
  <cols>
    <col min="1" max="1" width="8" customWidth="1"/>
    <col min="2" max="2" width="40" customWidth="1"/>
    <col min="3" max="3" width="60" customWidth="1"/>
  </cols>
  <sheetData>
    <row r="1" spans="1:3" ht="15.75" customHeight="1">
      <c r="A1" s="520" t="s">
        <v>2928</v>
      </c>
      <c r="B1" s="494"/>
      <c r="C1" s="494"/>
    </row>
    <row r="3" spans="1:3">
      <c r="A3" s="368" t="s">
        <v>12</v>
      </c>
      <c r="B3" s="368" t="s">
        <v>2929</v>
      </c>
      <c r="C3" s="368" t="s">
        <v>2930</v>
      </c>
    </row>
    <row r="4" spans="1:3" ht="85.5" customHeight="1">
      <c r="A4" s="369">
        <v>1</v>
      </c>
      <c r="B4" s="369" t="s">
        <v>2931</v>
      </c>
      <c r="C4" s="369" t="s">
        <v>2932</v>
      </c>
    </row>
    <row r="5" spans="1:3">
      <c r="A5" s="369">
        <v>2</v>
      </c>
      <c r="B5" s="369" t="s">
        <v>2933</v>
      </c>
      <c r="C5" s="369" t="s">
        <v>2934</v>
      </c>
    </row>
    <row r="6" spans="1:3">
      <c r="A6" s="369">
        <v>3</v>
      </c>
      <c r="B6" s="369" t="s">
        <v>2935</v>
      </c>
      <c r="C6" s="369" t="s">
        <v>2936</v>
      </c>
    </row>
    <row r="7" spans="1:3">
      <c r="A7" s="369">
        <v>4</v>
      </c>
      <c r="B7" s="369" t="s">
        <v>2937</v>
      </c>
      <c r="C7" s="369" t="s">
        <v>2938</v>
      </c>
    </row>
    <row r="8" spans="1:3">
      <c r="A8" s="369">
        <v>5</v>
      </c>
      <c r="B8" s="369" t="s">
        <v>2939</v>
      </c>
      <c r="C8" s="369" t="s">
        <v>2940</v>
      </c>
    </row>
    <row r="9" spans="1:3">
      <c r="A9" s="369">
        <v>6</v>
      </c>
      <c r="B9" s="369" t="s">
        <v>684</v>
      </c>
      <c r="C9" s="369" t="s">
        <v>2941</v>
      </c>
    </row>
    <row r="10" spans="1:3">
      <c r="A10" s="369">
        <v>7</v>
      </c>
      <c r="B10" s="369" t="s">
        <v>2942</v>
      </c>
      <c r="C10" s="369" t="s">
        <v>2943</v>
      </c>
    </row>
    <row r="11" spans="1:3">
      <c r="A11" s="369">
        <v>8</v>
      </c>
      <c r="B11" s="369" t="s">
        <v>2944</v>
      </c>
      <c r="C11" s="369" t="s">
        <v>2625</v>
      </c>
    </row>
    <row r="12" spans="1:3">
      <c r="A12" s="369">
        <v>9</v>
      </c>
      <c r="B12" s="369" t="s">
        <v>2945</v>
      </c>
      <c r="C12" s="369" t="s">
        <v>2946</v>
      </c>
    </row>
    <row r="13" spans="1:3" ht="28.5" customHeight="1">
      <c r="A13" s="369">
        <v>10</v>
      </c>
      <c r="B13" s="369" t="s">
        <v>2947</v>
      </c>
      <c r="C13" s="369" t="s">
        <v>2948</v>
      </c>
    </row>
    <row r="14" spans="1:3">
      <c r="A14" s="369">
        <v>11</v>
      </c>
      <c r="B14" s="369" t="s">
        <v>2949</v>
      </c>
      <c r="C14" s="369" t="s">
        <v>2950</v>
      </c>
    </row>
    <row r="15" spans="1:3">
      <c r="A15" s="369">
        <v>12</v>
      </c>
      <c r="B15" s="369" t="s">
        <v>2951</v>
      </c>
      <c r="C15" s="369" t="s">
        <v>2952</v>
      </c>
    </row>
    <row r="16" spans="1:3">
      <c r="A16" s="369">
        <v>13</v>
      </c>
      <c r="B16" s="369" t="s">
        <v>2953</v>
      </c>
      <c r="C16" s="369" t="s">
        <v>2941</v>
      </c>
    </row>
    <row r="18" spans="1:2">
      <c r="A18" s="356" t="s">
        <v>2954</v>
      </c>
      <c r="B18" s="357" t="s">
        <v>2955</v>
      </c>
    </row>
  </sheetData>
  <mergeCells count="1">
    <mergeCell ref="A1:C1"/>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43"/>
  <sheetViews>
    <sheetView zoomScaleNormal="100" workbookViewId="0"/>
  </sheetViews>
  <sheetFormatPr defaultColWidth="8.5703125" defaultRowHeight="15"/>
  <cols>
    <col min="1" max="1" width="14" customWidth="1"/>
    <col min="2" max="2" width="28" customWidth="1"/>
    <col min="3" max="3" width="55" customWidth="1"/>
    <col min="4" max="5" width="16" customWidth="1"/>
    <col min="6" max="6" width="45" customWidth="1"/>
  </cols>
  <sheetData>
    <row r="1" spans="1:6" ht="17.25" customHeight="1">
      <c r="A1" s="522" t="s">
        <v>2956</v>
      </c>
      <c r="B1" s="523"/>
      <c r="C1" s="523"/>
      <c r="D1" s="523"/>
      <c r="E1" s="523"/>
      <c r="F1" s="524"/>
    </row>
    <row r="2" spans="1:6" ht="60" customHeight="1">
      <c r="A2" s="521" t="s">
        <v>2957</v>
      </c>
      <c r="B2" s="494"/>
      <c r="C2" s="494"/>
      <c r="D2" s="494"/>
      <c r="E2" s="494"/>
      <c r="F2" s="494"/>
    </row>
    <row r="4" spans="1:6" ht="68.25" customHeight="1">
      <c r="A4" s="3" t="s">
        <v>2958</v>
      </c>
      <c r="B4" s="4"/>
      <c r="C4" s="4"/>
      <c r="D4" s="4"/>
      <c r="E4" s="4"/>
      <c r="F4" s="4"/>
    </row>
    <row r="5" spans="1:6" ht="15" customHeight="1">
      <c r="A5" s="5" t="s">
        <v>2959</v>
      </c>
      <c r="B5" s="5" t="s">
        <v>2960</v>
      </c>
      <c r="C5" s="5" t="s">
        <v>1443</v>
      </c>
      <c r="D5" s="5" t="s">
        <v>14</v>
      </c>
      <c r="E5" s="5" t="s">
        <v>2961</v>
      </c>
      <c r="F5" s="5" t="s">
        <v>598</v>
      </c>
    </row>
    <row r="6" spans="1:6" ht="57" customHeight="1">
      <c r="A6" s="6" t="s">
        <v>2962</v>
      </c>
      <c r="B6" s="6" t="s">
        <v>2963</v>
      </c>
      <c r="C6" s="7" t="s">
        <v>2964</v>
      </c>
      <c r="D6" s="6" t="s">
        <v>2965</v>
      </c>
      <c r="E6" s="7" t="s">
        <v>2966</v>
      </c>
      <c r="F6" s="7" t="s">
        <v>2967</v>
      </c>
    </row>
    <row r="7" spans="1:6" ht="60" customHeight="1">
      <c r="A7" s="8" t="s">
        <v>2968</v>
      </c>
      <c r="B7" s="8" t="s">
        <v>2969</v>
      </c>
      <c r="C7" s="9" t="s">
        <v>2970</v>
      </c>
      <c r="D7" s="8" t="s">
        <v>2971</v>
      </c>
      <c r="E7" s="9" t="s">
        <v>2972</v>
      </c>
      <c r="F7" s="9" t="s">
        <v>2973</v>
      </c>
    </row>
    <row r="8" spans="1:6" ht="45.75" customHeight="1">
      <c r="A8" s="6" t="s">
        <v>2974</v>
      </c>
      <c r="B8" s="6" t="s">
        <v>2975</v>
      </c>
      <c r="C8" s="7" t="s">
        <v>2976</v>
      </c>
      <c r="D8" s="6" t="s">
        <v>2965</v>
      </c>
      <c r="E8" s="7" t="s">
        <v>2977</v>
      </c>
      <c r="F8" s="7" t="s">
        <v>2978</v>
      </c>
    </row>
    <row r="9" spans="1:6" ht="60" customHeight="1">
      <c r="A9" s="8" t="s">
        <v>2979</v>
      </c>
      <c r="B9" s="8" t="s">
        <v>2980</v>
      </c>
      <c r="C9" s="9" t="s">
        <v>2981</v>
      </c>
      <c r="D9" s="8" t="s">
        <v>2965</v>
      </c>
      <c r="E9" s="9" t="s">
        <v>2982</v>
      </c>
      <c r="F9" s="9" t="s">
        <v>2983</v>
      </c>
    </row>
    <row r="10" spans="1:6" ht="60" customHeight="1">
      <c r="A10" s="6" t="s">
        <v>2984</v>
      </c>
      <c r="B10" s="6" t="s">
        <v>2985</v>
      </c>
      <c r="C10" s="7" t="s">
        <v>2986</v>
      </c>
      <c r="D10" s="6" t="s">
        <v>2965</v>
      </c>
      <c r="E10" s="7" t="s">
        <v>2987</v>
      </c>
      <c r="F10" s="7" t="s">
        <v>2988</v>
      </c>
    </row>
    <row r="12" spans="1:6" ht="95.25" customHeight="1">
      <c r="A12" s="3" t="s">
        <v>2989</v>
      </c>
      <c r="B12" s="4"/>
      <c r="C12" s="4"/>
      <c r="D12" s="4"/>
      <c r="E12" s="4"/>
      <c r="F12" s="4"/>
    </row>
    <row r="13" spans="1:6" ht="15" customHeight="1">
      <c r="A13" s="5" t="s">
        <v>2990</v>
      </c>
      <c r="B13" s="5" t="s">
        <v>2253</v>
      </c>
      <c r="C13" s="5" t="s">
        <v>260</v>
      </c>
      <c r="D13" s="5" t="s">
        <v>2156</v>
      </c>
      <c r="E13" s="5" t="s">
        <v>2157</v>
      </c>
      <c r="F13" s="5" t="s">
        <v>2991</v>
      </c>
    </row>
    <row r="14" spans="1:6" ht="60" customHeight="1">
      <c r="A14" s="6" t="s">
        <v>2992</v>
      </c>
      <c r="B14" s="6" t="s">
        <v>2993</v>
      </c>
      <c r="C14" s="7" t="s">
        <v>2994</v>
      </c>
      <c r="D14" s="6" t="s">
        <v>2995</v>
      </c>
      <c r="E14" s="7" t="s">
        <v>2996</v>
      </c>
      <c r="F14" s="7" t="s">
        <v>2997</v>
      </c>
    </row>
    <row r="15" spans="1:6" ht="60" customHeight="1">
      <c r="A15" s="8" t="s">
        <v>2998</v>
      </c>
      <c r="B15" s="8" t="s">
        <v>2999</v>
      </c>
      <c r="C15" s="9" t="s">
        <v>3000</v>
      </c>
      <c r="D15" s="8" t="s">
        <v>1033</v>
      </c>
      <c r="E15" s="9" t="s">
        <v>2299</v>
      </c>
      <c r="F15" s="9" t="s">
        <v>3001</v>
      </c>
    </row>
    <row r="16" spans="1:6" ht="60" customHeight="1">
      <c r="A16" s="6" t="s">
        <v>3002</v>
      </c>
      <c r="B16" s="6" t="s">
        <v>3003</v>
      </c>
      <c r="C16" s="7" t="s">
        <v>3004</v>
      </c>
      <c r="D16" s="6" t="s">
        <v>2995</v>
      </c>
      <c r="E16" s="7" t="s">
        <v>2299</v>
      </c>
      <c r="F16" s="7" t="s">
        <v>3005</v>
      </c>
    </row>
    <row r="17" spans="1:6" ht="60" customHeight="1">
      <c r="A17" s="8" t="s">
        <v>3006</v>
      </c>
      <c r="B17" s="8" t="s">
        <v>3007</v>
      </c>
      <c r="C17" s="9" t="s">
        <v>3008</v>
      </c>
      <c r="D17" s="8" t="s">
        <v>1033</v>
      </c>
      <c r="E17" s="9" t="s">
        <v>2299</v>
      </c>
      <c r="F17" s="9" t="s">
        <v>3009</v>
      </c>
    </row>
    <row r="18" spans="1:6" ht="60" customHeight="1">
      <c r="A18" s="6" t="s">
        <v>3010</v>
      </c>
      <c r="B18" s="6" t="s">
        <v>3011</v>
      </c>
      <c r="C18" s="7" t="s">
        <v>3012</v>
      </c>
      <c r="D18" s="6" t="s">
        <v>1040</v>
      </c>
      <c r="E18" s="7" t="s">
        <v>2529</v>
      </c>
      <c r="F18" s="7" t="s">
        <v>3013</v>
      </c>
    </row>
    <row r="19" spans="1:6" ht="60" customHeight="1">
      <c r="A19" s="8" t="s">
        <v>3014</v>
      </c>
      <c r="B19" s="8" t="s">
        <v>3015</v>
      </c>
      <c r="C19" s="9" t="s">
        <v>3016</v>
      </c>
      <c r="D19" s="8" t="s">
        <v>1033</v>
      </c>
      <c r="E19" s="9" t="s">
        <v>2299</v>
      </c>
      <c r="F19" s="9" t="s">
        <v>3017</v>
      </c>
    </row>
    <row r="20" spans="1:6" ht="45.75" customHeight="1">
      <c r="A20" s="8" t="s">
        <v>3018</v>
      </c>
      <c r="B20" s="8" t="s">
        <v>3019</v>
      </c>
      <c r="C20" s="9" t="s">
        <v>3020</v>
      </c>
      <c r="D20" s="8" t="s">
        <v>3021</v>
      </c>
      <c r="E20" s="9" t="s">
        <v>3022</v>
      </c>
      <c r="F20" s="9" t="s">
        <v>3023</v>
      </c>
    </row>
    <row r="21" spans="1:6" ht="95.25" customHeight="1"/>
    <row r="22" spans="1:6" ht="15" customHeight="1">
      <c r="A22" s="3" t="s">
        <v>3024</v>
      </c>
      <c r="B22" s="4"/>
      <c r="C22" s="4"/>
      <c r="D22" s="4"/>
      <c r="E22" s="4"/>
      <c r="F22" s="4"/>
    </row>
    <row r="23" spans="1:6" ht="60" customHeight="1">
      <c r="A23" s="5" t="s">
        <v>3025</v>
      </c>
      <c r="B23" s="5" t="s">
        <v>3026</v>
      </c>
      <c r="C23" s="5" t="s">
        <v>3027</v>
      </c>
      <c r="D23" s="5" t="s">
        <v>14</v>
      </c>
      <c r="E23" s="5" t="s">
        <v>1444</v>
      </c>
      <c r="F23" s="5" t="s">
        <v>598</v>
      </c>
    </row>
    <row r="24" spans="1:6" ht="60" customHeight="1">
      <c r="A24" s="6" t="s">
        <v>3028</v>
      </c>
      <c r="B24" s="6" t="s">
        <v>3029</v>
      </c>
      <c r="C24" s="7" t="s">
        <v>3030</v>
      </c>
      <c r="D24" s="6" t="s">
        <v>3031</v>
      </c>
      <c r="E24" s="7" t="s">
        <v>3032</v>
      </c>
      <c r="F24" s="7" t="s">
        <v>3033</v>
      </c>
    </row>
    <row r="25" spans="1:6" ht="60" customHeight="1">
      <c r="A25" s="8" t="s">
        <v>3034</v>
      </c>
      <c r="B25" s="8" t="s">
        <v>3035</v>
      </c>
      <c r="C25" s="9" t="s">
        <v>3036</v>
      </c>
      <c r="D25" s="8" t="s">
        <v>3031</v>
      </c>
      <c r="E25" s="9" t="s">
        <v>3032</v>
      </c>
      <c r="F25" s="9" t="s">
        <v>3037</v>
      </c>
    </row>
    <row r="26" spans="1:6" ht="60" customHeight="1">
      <c r="A26" s="6" t="s">
        <v>3038</v>
      </c>
      <c r="B26" s="6" t="s">
        <v>3039</v>
      </c>
      <c r="C26" s="7" t="s">
        <v>3040</v>
      </c>
      <c r="D26" s="6" t="s">
        <v>3031</v>
      </c>
      <c r="E26" s="7" t="s">
        <v>3032</v>
      </c>
      <c r="F26" s="7" t="s">
        <v>3041</v>
      </c>
    </row>
    <row r="27" spans="1:6" ht="60" customHeight="1">
      <c r="A27" s="8" t="s">
        <v>3042</v>
      </c>
      <c r="B27" s="8" t="s">
        <v>3043</v>
      </c>
      <c r="C27" s="9" t="s">
        <v>3044</v>
      </c>
      <c r="D27" s="8" t="s">
        <v>3031</v>
      </c>
      <c r="E27" s="9" t="s">
        <v>3032</v>
      </c>
      <c r="F27" s="9" t="s">
        <v>3045</v>
      </c>
    </row>
    <row r="28" spans="1:6" ht="60" customHeight="1">
      <c r="A28" s="6" t="s">
        <v>3046</v>
      </c>
      <c r="B28" s="6" t="s">
        <v>3047</v>
      </c>
      <c r="C28" s="7" t="s">
        <v>3048</v>
      </c>
      <c r="D28" s="6" t="s">
        <v>3031</v>
      </c>
      <c r="E28" s="7" t="s">
        <v>3049</v>
      </c>
      <c r="F28" s="7" t="s">
        <v>3050</v>
      </c>
    </row>
    <row r="29" spans="1:6" ht="57" customHeight="1">
      <c r="A29" s="8" t="s">
        <v>3051</v>
      </c>
      <c r="B29" s="8" t="s">
        <v>3052</v>
      </c>
      <c r="C29" s="9" t="s">
        <v>3053</v>
      </c>
      <c r="D29" s="8" t="s">
        <v>3031</v>
      </c>
      <c r="E29" s="9" t="s">
        <v>3032</v>
      </c>
      <c r="F29" s="9" t="s">
        <v>3054</v>
      </c>
    </row>
    <row r="30" spans="1:6" ht="81.75" customHeight="1">
      <c r="A30" s="8" t="s">
        <v>3055</v>
      </c>
      <c r="B30" s="8" t="s">
        <v>3056</v>
      </c>
      <c r="C30" s="9" t="s">
        <v>3057</v>
      </c>
      <c r="D30" s="8" t="s">
        <v>3031</v>
      </c>
      <c r="E30" s="9" t="s">
        <v>3058</v>
      </c>
      <c r="F30" s="9" t="s">
        <v>3059</v>
      </c>
    </row>
    <row r="31" spans="1:6" ht="15" customHeight="1"/>
    <row r="32" spans="1:6" ht="60" customHeight="1">
      <c r="A32" s="3" t="s">
        <v>3060</v>
      </c>
      <c r="B32" s="4"/>
      <c r="C32" s="4"/>
      <c r="D32" s="4"/>
      <c r="E32" s="4"/>
      <c r="F32" s="4"/>
    </row>
    <row r="33" spans="1:6" ht="45.75" customHeight="1">
      <c r="A33" s="5" t="s">
        <v>13</v>
      </c>
      <c r="B33" s="5" t="s">
        <v>3061</v>
      </c>
      <c r="C33" s="5" t="s">
        <v>3062</v>
      </c>
      <c r="D33" s="5" t="s">
        <v>3063</v>
      </c>
      <c r="E33" s="5" t="s">
        <v>14</v>
      </c>
      <c r="F33" s="5" t="s">
        <v>3064</v>
      </c>
    </row>
    <row r="34" spans="1:6" ht="60" customHeight="1">
      <c r="A34" s="10" t="s">
        <v>3065</v>
      </c>
      <c r="B34" s="11" t="s">
        <v>3066</v>
      </c>
      <c r="C34" s="11" t="s">
        <v>3067</v>
      </c>
      <c r="D34" s="11" t="s">
        <v>3068</v>
      </c>
      <c r="E34" s="10" t="s">
        <v>3069</v>
      </c>
      <c r="F34" s="10" t="s">
        <v>2163</v>
      </c>
    </row>
    <row r="35" spans="1:6" ht="60" customHeight="1">
      <c r="A35" s="10" t="s">
        <v>3070</v>
      </c>
      <c r="B35" s="11" t="s">
        <v>3071</v>
      </c>
      <c r="C35" s="11" t="s">
        <v>3072</v>
      </c>
      <c r="D35" s="11" t="s">
        <v>3073</v>
      </c>
      <c r="E35" s="10" t="s">
        <v>3069</v>
      </c>
      <c r="F35" s="10" t="s">
        <v>2163</v>
      </c>
    </row>
    <row r="36" spans="1:6" ht="135.75" customHeight="1">
      <c r="A36" s="12" t="s">
        <v>3074</v>
      </c>
      <c r="B36" s="13" t="s">
        <v>3075</v>
      </c>
      <c r="C36" s="13" t="s">
        <v>3076</v>
      </c>
      <c r="D36" s="13" t="s">
        <v>3077</v>
      </c>
      <c r="E36" s="12" t="s">
        <v>3078</v>
      </c>
      <c r="F36" s="12" t="s">
        <v>2317</v>
      </c>
    </row>
    <row r="37" spans="1:6" ht="81.75" customHeight="1">
      <c r="A37" s="12" t="s">
        <v>3079</v>
      </c>
      <c r="B37" s="13" t="s">
        <v>3080</v>
      </c>
      <c r="C37" s="13" t="s">
        <v>3081</v>
      </c>
      <c r="D37" s="13" t="s">
        <v>3082</v>
      </c>
      <c r="E37" s="12" t="s">
        <v>3078</v>
      </c>
      <c r="F37" s="12" t="s">
        <v>2317</v>
      </c>
    </row>
    <row r="38" spans="1:6" ht="15" customHeight="1"/>
    <row r="39" spans="1:6" ht="60" customHeight="1">
      <c r="A39" s="3" t="s">
        <v>3083</v>
      </c>
      <c r="B39" s="4"/>
      <c r="C39" s="4"/>
      <c r="D39" s="4"/>
      <c r="E39" s="4"/>
      <c r="F39" s="4"/>
    </row>
    <row r="40" spans="1:6" ht="60" customHeight="1">
      <c r="A40" s="5" t="s">
        <v>3084</v>
      </c>
      <c r="B40" s="5" t="s">
        <v>3085</v>
      </c>
      <c r="C40" s="5" t="s">
        <v>3086</v>
      </c>
      <c r="D40" s="5" t="s">
        <v>3087</v>
      </c>
      <c r="E40" s="5" t="s">
        <v>3088</v>
      </c>
      <c r="F40" s="5" t="s">
        <v>3089</v>
      </c>
    </row>
    <row r="41" spans="1:6" ht="60" customHeight="1">
      <c r="A41" s="12" t="s">
        <v>3090</v>
      </c>
      <c r="B41" s="13" t="s">
        <v>3091</v>
      </c>
      <c r="C41" s="13" t="s">
        <v>3092</v>
      </c>
      <c r="D41" s="13" t="s">
        <v>3093</v>
      </c>
      <c r="E41" s="13" t="s">
        <v>3094</v>
      </c>
      <c r="F41" s="13" t="s">
        <v>3095</v>
      </c>
    </row>
    <row r="42" spans="1:6" ht="79.5" customHeight="1">
      <c r="A42" s="14" t="s">
        <v>3096</v>
      </c>
      <c r="B42" s="15" t="s">
        <v>3097</v>
      </c>
      <c r="C42" s="15" t="s">
        <v>3098</v>
      </c>
      <c r="D42" s="15" t="s">
        <v>3099</v>
      </c>
      <c r="E42" s="15" t="s">
        <v>3100</v>
      </c>
      <c r="F42" s="15" t="s">
        <v>3101</v>
      </c>
    </row>
    <row r="43" spans="1:6" ht="79.5" customHeight="1">
      <c r="A43" s="10" t="s">
        <v>3102</v>
      </c>
      <c r="B43" s="11" t="s">
        <v>3103</v>
      </c>
      <c r="C43" s="11" t="s">
        <v>3104</v>
      </c>
      <c r="D43" s="11" t="s">
        <v>3105</v>
      </c>
      <c r="E43" s="11" t="s">
        <v>3106</v>
      </c>
      <c r="F43" s="11" t="s">
        <v>3107</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23"/>
  <sheetViews>
    <sheetView workbookViewId="0"/>
  </sheetViews>
  <sheetFormatPr defaultRowHeight="15"/>
  <cols>
    <col min="1" max="1" width="6" customWidth="1"/>
    <col min="2" max="2" width="36" customWidth="1"/>
    <col min="3" max="3" width="70" customWidth="1"/>
    <col min="4" max="4" width="10" customWidth="1"/>
    <col min="5" max="5" width="14" customWidth="1"/>
    <col min="6" max="6" width="20" customWidth="1"/>
  </cols>
  <sheetData>
    <row r="1" spans="1:6" ht="15.75" customHeight="1">
      <c r="A1" s="525" t="s">
        <v>3108</v>
      </c>
      <c r="B1" s="494"/>
      <c r="C1" s="494"/>
      <c r="D1" s="494"/>
      <c r="E1" s="494"/>
      <c r="F1" s="494"/>
    </row>
    <row r="3" spans="1:6">
      <c r="A3" s="343" t="s">
        <v>1535</v>
      </c>
    </row>
    <row r="4" spans="1:6">
      <c r="A4" s="332" t="s">
        <v>12</v>
      </c>
      <c r="B4" s="332" t="s">
        <v>1386</v>
      </c>
      <c r="C4" s="332" t="s">
        <v>189</v>
      </c>
      <c r="D4" s="332" t="s">
        <v>2156</v>
      </c>
      <c r="E4" s="332" t="s">
        <v>2157</v>
      </c>
      <c r="F4" s="332" t="s">
        <v>2158</v>
      </c>
    </row>
    <row r="5" spans="1:6">
      <c r="A5" s="333" t="s">
        <v>2159</v>
      </c>
      <c r="B5" s="333" t="s">
        <v>3109</v>
      </c>
      <c r="C5" s="333" t="s">
        <v>3110</v>
      </c>
      <c r="D5" s="336" t="s">
        <v>1535</v>
      </c>
      <c r="E5" s="333" t="s">
        <v>2299</v>
      </c>
      <c r="F5" s="333" t="s">
        <v>3111</v>
      </c>
    </row>
    <row r="6" spans="1:6">
      <c r="A6" s="333" t="s">
        <v>2164</v>
      </c>
      <c r="B6" s="333" t="s">
        <v>3112</v>
      </c>
      <c r="C6" s="333" t="s">
        <v>3113</v>
      </c>
      <c r="D6" s="336" t="s">
        <v>1535</v>
      </c>
      <c r="E6" s="333" t="s">
        <v>2209</v>
      </c>
      <c r="F6" s="333" t="s">
        <v>3114</v>
      </c>
    </row>
    <row r="7" spans="1:6">
      <c r="A7" s="333" t="s">
        <v>2167</v>
      </c>
      <c r="B7" s="333" t="s">
        <v>3115</v>
      </c>
      <c r="C7" s="333" t="s">
        <v>3116</v>
      </c>
      <c r="D7" s="336" t="s">
        <v>1535</v>
      </c>
      <c r="E7" s="333" t="s">
        <v>2209</v>
      </c>
      <c r="F7" s="333" t="s">
        <v>3117</v>
      </c>
    </row>
    <row r="8" spans="1:6">
      <c r="A8" s="333" t="s">
        <v>2171</v>
      </c>
      <c r="B8" s="333" t="s">
        <v>3118</v>
      </c>
      <c r="C8" s="333" t="s">
        <v>3119</v>
      </c>
      <c r="D8" s="336" t="s">
        <v>1535</v>
      </c>
      <c r="E8" s="333" t="s">
        <v>2201</v>
      </c>
      <c r="F8" s="333" t="s">
        <v>3120</v>
      </c>
    </row>
    <row r="10" spans="1:6">
      <c r="A10" s="344" t="s">
        <v>1033</v>
      </c>
    </row>
    <row r="11" spans="1:6">
      <c r="A11" s="332" t="s">
        <v>12</v>
      </c>
      <c r="B11" s="332" t="s">
        <v>1386</v>
      </c>
      <c r="C11" s="332" t="s">
        <v>189</v>
      </c>
      <c r="D11" s="332" t="s">
        <v>2156</v>
      </c>
      <c r="E11" s="332" t="s">
        <v>2157</v>
      </c>
      <c r="F11" s="332" t="s">
        <v>2158</v>
      </c>
    </row>
    <row r="12" spans="1:6">
      <c r="A12" s="333" t="s">
        <v>2198</v>
      </c>
      <c r="B12" s="333" t="s">
        <v>3121</v>
      </c>
      <c r="C12" s="333" t="s">
        <v>3122</v>
      </c>
      <c r="D12" s="345" t="s">
        <v>1033</v>
      </c>
      <c r="E12" s="333" t="s">
        <v>2209</v>
      </c>
      <c r="F12" s="333" t="s">
        <v>2163</v>
      </c>
    </row>
    <row r="13" spans="1:6">
      <c r="A13" s="333" t="s">
        <v>2203</v>
      </c>
      <c r="B13" s="333" t="s">
        <v>3123</v>
      </c>
      <c r="C13" s="333" t="s">
        <v>3124</v>
      </c>
      <c r="D13" s="345" t="s">
        <v>1033</v>
      </c>
      <c r="E13" s="333" t="s">
        <v>2299</v>
      </c>
      <c r="F13" s="333" t="s">
        <v>2163</v>
      </c>
    </row>
    <row r="14" spans="1:6">
      <c r="A14" s="333" t="s">
        <v>2206</v>
      </c>
      <c r="B14" s="333" t="s">
        <v>3125</v>
      </c>
      <c r="C14" s="333" t="s">
        <v>3126</v>
      </c>
      <c r="D14" s="345" t="s">
        <v>1033</v>
      </c>
      <c r="E14" s="333" t="s">
        <v>2792</v>
      </c>
      <c r="F14" s="333" t="s">
        <v>2793</v>
      </c>
    </row>
    <row r="15" spans="1:6">
      <c r="A15" s="333" t="s">
        <v>2306</v>
      </c>
      <c r="B15" s="333" t="s">
        <v>3127</v>
      </c>
      <c r="C15" s="333" t="s">
        <v>3128</v>
      </c>
      <c r="D15" s="345" t="s">
        <v>1033</v>
      </c>
      <c r="E15" s="333" t="s">
        <v>2299</v>
      </c>
      <c r="F15" s="333" t="s">
        <v>2780</v>
      </c>
    </row>
    <row r="17" spans="1:6">
      <c r="A17" s="346" t="s">
        <v>1040</v>
      </c>
    </row>
    <row r="18" spans="1:6">
      <c r="A18" s="332" t="s">
        <v>12</v>
      </c>
      <c r="B18" s="332" t="s">
        <v>1386</v>
      </c>
      <c r="C18" s="332" t="s">
        <v>189</v>
      </c>
      <c r="D18" s="332" t="s">
        <v>2156</v>
      </c>
      <c r="E18" s="332" t="s">
        <v>2157</v>
      </c>
      <c r="F18" s="332" t="s">
        <v>2158</v>
      </c>
    </row>
    <row r="19" spans="1:6">
      <c r="A19" s="333" t="s">
        <v>2310</v>
      </c>
      <c r="B19" s="333" t="s">
        <v>3129</v>
      </c>
      <c r="C19" s="333" t="s">
        <v>3130</v>
      </c>
      <c r="D19" s="333" t="s">
        <v>1040</v>
      </c>
      <c r="E19" s="333" t="s">
        <v>2299</v>
      </c>
      <c r="F19" s="333" t="s">
        <v>2163</v>
      </c>
    </row>
    <row r="20" spans="1:6">
      <c r="A20" s="333" t="s">
        <v>2313</v>
      </c>
      <c r="B20" s="333" t="s">
        <v>3131</v>
      </c>
      <c r="C20" s="333" t="s">
        <v>2785</v>
      </c>
      <c r="D20" s="333" t="s">
        <v>1040</v>
      </c>
      <c r="E20" s="333" t="s">
        <v>2299</v>
      </c>
      <c r="F20" s="333" t="s">
        <v>2163</v>
      </c>
    </row>
    <row r="21" spans="1:6">
      <c r="A21" s="333" t="s">
        <v>2318</v>
      </c>
      <c r="B21" s="333" t="s">
        <v>2670</v>
      </c>
      <c r="C21" s="333" t="s">
        <v>3132</v>
      </c>
      <c r="D21" s="333" t="s">
        <v>1040</v>
      </c>
      <c r="E21" s="333" t="s">
        <v>2529</v>
      </c>
      <c r="F21" s="333" t="s">
        <v>2163</v>
      </c>
    </row>
    <row r="22" spans="1:6">
      <c r="A22" s="333" t="s">
        <v>2534</v>
      </c>
      <c r="B22" s="333" t="s">
        <v>2600</v>
      </c>
      <c r="C22" s="333" t="s">
        <v>3133</v>
      </c>
      <c r="D22" s="333" t="s">
        <v>1040</v>
      </c>
      <c r="E22" s="333" t="s">
        <v>2533</v>
      </c>
      <c r="F22" s="333" t="s">
        <v>2674</v>
      </c>
    </row>
    <row r="23" spans="1:6">
      <c r="A23" s="333" t="s">
        <v>2538</v>
      </c>
      <c r="B23" s="333" t="s">
        <v>3134</v>
      </c>
      <c r="C23" s="333" t="s">
        <v>3135</v>
      </c>
      <c r="D23" s="333" t="s">
        <v>1040</v>
      </c>
      <c r="E23" s="333" t="s">
        <v>2299</v>
      </c>
      <c r="F23" s="333" t="s">
        <v>2163</v>
      </c>
    </row>
  </sheetData>
  <mergeCells count="1">
    <mergeCell ref="A1:F1"/>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31"/>
  <sheetViews>
    <sheetView zoomScaleNormal="100" workbookViewId="0"/>
  </sheetViews>
  <sheetFormatPr defaultColWidth="8.5703125" defaultRowHeight="15"/>
  <cols>
    <col min="1" max="1" width="8" customWidth="1"/>
    <col min="2" max="2" width="32" customWidth="1"/>
    <col min="3" max="3" width="65" customWidth="1"/>
    <col min="4" max="4" width="12" customWidth="1"/>
    <col min="5" max="5" width="14" customWidth="1"/>
    <col min="6" max="6" width="35" customWidth="1"/>
  </cols>
  <sheetData>
    <row r="1" spans="1:6" ht="214.5" customHeight="1">
      <c r="A1" s="2" t="s">
        <v>3136</v>
      </c>
      <c r="B1" s="16"/>
      <c r="C1" s="16"/>
      <c r="D1" s="16"/>
      <c r="E1" s="16"/>
      <c r="F1" s="16"/>
    </row>
    <row r="4" spans="1:6" ht="45.75" customHeight="1">
      <c r="A4" s="17" t="s">
        <v>3137</v>
      </c>
      <c r="B4" s="17"/>
      <c r="C4" s="17"/>
      <c r="D4" s="17"/>
      <c r="E4" s="17"/>
      <c r="F4" s="17"/>
    </row>
    <row r="5" spans="1:6" ht="15" customHeight="1">
      <c r="A5" s="5" t="s">
        <v>12</v>
      </c>
      <c r="B5" s="5" t="s">
        <v>1386</v>
      </c>
      <c r="C5" s="5" t="s">
        <v>189</v>
      </c>
      <c r="D5" s="5" t="s">
        <v>2156</v>
      </c>
      <c r="E5" s="5" t="s">
        <v>2157</v>
      </c>
      <c r="F5" s="5" t="s">
        <v>3138</v>
      </c>
    </row>
    <row r="6" spans="1:6" ht="23.25" customHeight="1">
      <c r="A6" s="10" t="s">
        <v>2159</v>
      </c>
      <c r="B6" s="10" t="s">
        <v>3139</v>
      </c>
      <c r="C6" s="11" t="s">
        <v>3140</v>
      </c>
      <c r="D6" s="10" t="s">
        <v>1535</v>
      </c>
      <c r="E6" s="11" t="s">
        <v>3141</v>
      </c>
      <c r="F6" s="347" t="s">
        <v>3142</v>
      </c>
    </row>
    <row r="7" spans="1:6" ht="23.25" customHeight="1">
      <c r="A7" s="10" t="s">
        <v>2164</v>
      </c>
      <c r="B7" s="10" t="s">
        <v>3143</v>
      </c>
      <c r="C7" s="11" t="s">
        <v>3144</v>
      </c>
      <c r="D7" s="10" t="s">
        <v>1535</v>
      </c>
      <c r="E7" s="11" t="s">
        <v>3141</v>
      </c>
      <c r="F7" s="327" t="s">
        <v>3145</v>
      </c>
    </row>
    <row r="8" spans="1:6" ht="68.25" customHeight="1">
      <c r="A8" s="17" t="s">
        <v>3146</v>
      </c>
      <c r="B8" s="17"/>
      <c r="C8" s="17"/>
      <c r="D8" s="17"/>
      <c r="E8" s="17"/>
      <c r="F8" s="17"/>
    </row>
    <row r="9" spans="1:6" ht="15" customHeight="1">
      <c r="A9" s="5" t="s">
        <v>12</v>
      </c>
      <c r="B9" s="5" t="s">
        <v>1386</v>
      </c>
      <c r="C9" s="5" t="s">
        <v>189</v>
      </c>
      <c r="D9" s="5" t="s">
        <v>2156</v>
      </c>
      <c r="E9" s="5" t="s">
        <v>2157</v>
      </c>
      <c r="F9" s="5" t="s">
        <v>3138</v>
      </c>
    </row>
    <row r="10" spans="1:6" ht="34.5" customHeight="1">
      <c r="A10" s="6" t="s">
        <v>2198</v>
      </c>
      <c r="B10" s="6" t="s">
        <v>3147</v>
      </c>
      <c r="C10" s="7" t="s">
        <v>3148</v>
      </c>
      <c r="D10" s="6" t="s">
        <v>1033</v>
      </c>
      <c r="E10" s="7" t="s">
        <v>2996</v>
      </c>
      <c r="F10" s="328" t="s">
        <v>3149</v>
      </c>
    </row>
    <row r="11" spans="1:6" ht="23.25" customHeight="1">
      <c r="A11" s="8" t="s">
        <v>2203</v>
      </c>
      <c r="B11" s="8" t="s">
        <v>3150</v>
      </c>
      <c r="C11" s="9" t="s">
        <v>3151</v>
      </c>
      <c r="D11" s="8" t="s">
        <v>1033</v>
      </c>
      <c r="E11" s="9" t="s">
        <v>2299</v>
      </c>
      <c r="F11" s="329" t="s">
        <v>3152</v>
      </c>
    </row>
    <row r="12" spans="1:6" ht="34.5" customHeight="1">
      <c r="A12" s="6" t="s">
        <v>2206</v>
      </c>
      <c r="B12" s="6" t="s">
        <v>3153</v>
      </c>
      <c r="C12" s="7" t="s">
        <v>3154</v>
      </c>
      <c r="D12" s="6" t="s">
        <v>1033</v>
      </c>
      <c r="E12" s="7" t="s">
        <v>2529</v>
      </c>
      <c r="F12" s="328" t="s">
        <v>3155</v>
      </c>
    </row>
    <row r="13" spans="1:6" ht="23.25" customHeight="1">
      <c r="A13" s="8" t="s">
        <v>2306</v>
      </c>
      <c r="B13" s="8" t="s">
        <v>3156</v>
      </c>
      <c r="C13" s="9" t="s">
        <v>3157</v>
      </c>
      <c r="D13" s="8" t="s">
        <v>1033</v>
      </c>
      <c r="E13" s="9" t="s">
        <v>2299</v>
      </c>
      <c r="F13" s="329" t="s">
        <v>3158</v>
      </c>
    </row>
    <row r="14" spans="1:6" ht="23.25" customHeight="1">
      <c r="A14" s="6" t="s">
        <v>2411</v>
      </c>
      <c r="B14" s="6" t="s">
        <v>3159</v>
      </c>
      <c r="C14" s="7" t="s">
        <v>3160</v>
      </c>
      <c r="D14" s="6" t="s">
        <v>1033</v>
      </c>
      <c r="E14" s="7" t="s">
        <v>2299</v>
      </c>
      <c r="F14" s="348" t="s">
        <v>3161</v>
      </c>
    </row>
    <row r="15" spans="1:6" ht="45.75" customHeight="1">
      <c r="A15" s="17" t="s">
        <v>3162</v>
      </c>
      <c r="B15" s="17"/>
      <c r="C15" s="17"/>
      <c r="D15" s="17"/>
      <c r="E15" s="17"/>
      <c r="F15" s="17"/>
    </row>
    <row r="16" spans="1:6" ht="15" customHeight="1">
      <c r="A16" s="5" t="s">
        <v>12</v>
      </c>
      <c r="B16" s="5" t="s">
        <v>1386</v>
      </c>
      <c r="C16" s="5" t="s">
        <v>189</v>
      </c>
      <c r="D16" s="5" t="s">
        <v>2156</v>
      </c>
      <c r="E16" s="5" t="s">
        <v>2157</v>
      </c>
      <c r="F16" s="5" t="s">
        <v>3138</v>
      </c>
    </row>
    <row r="17" spans="1:6" ht="23.25" customHeight="1">
      <c r="A17" s="8" t="s">
        <v>2310</v>
      </c>
      <c r="B17" s="8" t="s">
        <v>3163</v>
      </c>
      <c r="C17" s="9" t="s">
        <v>3164</v>
      </c>
      <c r="D17" s="8" t="s">
        <v>1040</v>
      </c>
      <c r="E17" s="9" t="s">
        <v>2299</v>
      </c>
      <c r="F17" s="329" t="s">
        <v>3165</v>
      </c>
    </row>
    <row r="18" spans="1:6" ht="15" customHeight="1">
      <c r="A18" s="6" t="s">
        <v>2313</v>
      </c>
      <c r="B18" s="6" t="s">
        <v>3166</v>
      </c>
      <c r="C18" s="7" t="s">
        <v>3167</v>
      </c>
      <c r="D18" s="6" t="s">
        <v>1040</v>
      </c>
      <c r="E18" s="7" t="s">
        <v>2214</v>
      </c>
      <c r="F18" s="328" t="s">
        <v>3168</v>
      </c>
    </row>
    <row r="19" spans="1:6" ht="23.25" customHeight="1">
      <c r="A19" s="8" t="s">
        <v>2318</v>
      </c>
      <c r="B19" s="8" t="s">
        <v>3169</v>
      </c>
      <c r="C19" s="9" t="s">
        <v>3170</v>
      </c>
      <c r="D19" s="8" t="s">
        <v>1040</v>
      </c>
      <c r="E19" s="9" t="s">
        <v>2201</v>
      </c>
      <c r="F19" s="329" t="s">
        <v>3171</v>
      </c>
    </row>
    <row r="20" spans="1:6" ht="23.25" customHeight="1">
      <c r="A20" s="6" t="s">
        <v>2534</v>
      </c>
      <c r="B20" s="6" t="s">
        <v>3172</v>
      </c>
      <c r="C20" s="7" t="s">
        <v>3173</v>
      </c>
      <c r="D20" s="6" t="s">
        <v>1040</v>
      </c>
      <c r="E20" s="7" t="s">
        <v>2201</v>
      </c>
      <c r="F20" s="328" t="s">
        <v>3174</v>
      </c>
    </row>
    <row r="21" spans="1:6" ht="23.25" customHeight="1">
      <c r="A21" s="8" t="s">
        <v>2538</v>
      </c>
      <c r="B21" s="8" t="s">
        <v>3175</v>
      </c>
      <c r="C21" s="9" t="s">
        <v>3176</v>
      </c>
      <c r="D21" s="8" t="s">
        <v>1040</v>
      </c>
      <c r="E21" s="9" t="s">
        <v>2299</v>
      </c>
      <c r="F21" s="349" t="s">
        <v>3161</v>
      </c>
    </row>
    <row r="22" spans="1:6" ht="23.25" customHeight="1">
      <c r="A22" s="6" t="s">
        <v>3177</v>
      </c>
      <c r="B22" s="6" t="s">
        <v>3178</v>
      </c>
      <c r="C22" s="7" t="s">
        <v>3179</v>
      </c>
      <c r="D22" s="6" t="s">
        <v>1040</v>
      </c>
      <c r="E22" s="7" t="s">
        <v>2299</v>
      </c>
      <c r="F22" s="348" t="s">
        <v>3161</v>
      </c>
    </row>
    <row r="23" spans="1:6" ht="23.25" customHeight="1">
      <c r="A23" s="8" t="s">
        <v>3180</v>
      </c>
      <c r="B23" s="8" t="s">
        <v>3181</v>
      </c>
      <c r="C23" s="9" t="s">
        <v>3182</v>
      </c>
      <c r="D23" s="8" t="s">
        <v>1040</v>
      </c>
      <c r="E23" s="9" t="s">
        <v>2529</v>
      </c>
      <c r="F23" s="349" t="s">
        <v>3161</v>
      </c>
    </row>
    <row r="24" spans="1:6" ht="68.25" customHeight="1">
      <c r="A24" s="17" t="s">
        <v>3183</v>
      </c>
      <c r="B24" s="17"/>
      <c r="C24" s="17"/>
      <c r="D24" s="17"/>
      <c r="E24" s="17"/>
      <c r="F24" s="17"/>
    </row>
    <row r="25" spans="1:6" ht="15" customHeight="1">
      <c r="A25" s="5" t="s">
        <v>12</v>
      </c>
      <c r="B25" s="5" t="s">
        <v>1386</v>
      </c>
      <c r="C25" s="5" t="s">
        <v>189</v>
      </c>
      <c r="D25" s="5" t="s">
        <v>2156</v>
      </c>
      <c r="E25" s="5" t="s">
        <v>2157</v>
      </c>
      <c r="F25" s="5" t="s">
        <v>3138</v>
      </c>
    </row>
    <row r="26" spans="1:6" ht="23.25" customHeight="1">
      <c r="A26" s="6" t="s">
        <v>3184</v>
      </c>
      <c r="B26" s="6" t="s">
        <v>3134</v>
      </c>
      <c r="C26" s="7" t="s">
        <v>3185</v>
      </c>
      <c r="D26" s="6" t="s">
        <v>1055</v>
      </c>
      <c r="E26" s="7" t="s">
        <v>2299</v>
      </c>
      <c r="F26" s="7" t="s">
        <v>2163</v>
      </c>
    </row>
    <row r="27" spans="1:6" ht="23.25" customHeight="1">
      <c r="A27" s="8" t="s">
        <v>3186</v>
      </c>
      <c r="B27" s="8" t="s">
        <v>3187</v>
      </c>
      <c r="C27" s="9" t="s">
        <v>3188</v>
      </c>
      <c r="D27" s="8" t="s">
        <v>1055</v>
      </c>
      <c r="E27" s="9" t="s">
        <v>2299</v>
      </c>
      <c r="F27" s="9" t="s">
        <v>3189</v>
      </c>
    </row>
    <row r="28" spans="1:6" ht="15" customHeight="1">
      <c r="A28" s="6" t="s">
        <v>3190</v>
      </c>
      <c r="B28" s="6" t="s">
        <v>3191</v>
      </c>
      <c r="C28" s="7" t="s">
        <v>3192</v>
      </c>
      <c r="D28" s="6" t="s">
        <v>1055</v>
      </c>
      <c r="E28" s="7" t="s">
        <v>2533</v>
      </c>
      <c r="F28" s="7" t="s">
        <v>2625</v>
      </c>
    </row>
    <row r="29" spans="1:6" ht="15" customHeight="1">
      <c r="A29" s="8" t="s">
        <v>3193</v>
      </c>
      <c r="B29" s="8" t="s">
        <v>3194</v>
      </c>
      <c r="C29" s="9" t="s">
        <v>3195</v>
      </c>
      <c r="D29" s="8" t="s">
        <v>1055</v>
      </c>
      <c r="E29" s="9" t="s">
        <v>621</v>
      </c>
      <c r="F29" s="9" t="s">
        <v>2163</v>
      </c>
    </row>
    <row r="30" spans="1:6" ht="23.25" customHeight="1">
      <c r="A30" s="6" t="s">
        <v>3196</v>
      </c>
      <c r="B30" s="6" t="s">
        <v>3197</v>
      </c>
      <c r="C30" s="7" t="s">
        <v>3198</v>
      </c>
      <c r="D30" s="6" t="s">
        <v>1055</v>
      </c>
      <c r="E30" s="7" t="s">
        <v>3199</v>
      </c>
      <c r="F30" s="328" t="s">
        <v>3200</v>
      </c>
    </row>
    <row r="31" spans="1:6" ht="23.25" customHeight="1">
      <c r="A31" s="8" t="s">
        <v>3201</v>
      </c>
      <c r="B31" s="8" t="s">
        <v>3202</v>
      </c>
      <c r="C31" s="9" t="s">
        <v>3203</v>
      </c>
      <c r="D31" s="8" t="s">
        <v>1055</v>
      </c>
      <c r="E31" s="9" t="s">
        <v>3199</v>
      </c>
      <c r="F31" s="330" t="s">
        <v>3204</v>
      </c>
    </row>
  </sheetData>
  <pageMargins left="0.75" right="0.75" top="1" bottom="1"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41"/>
  <sheetViews>
    <sheetView workbookViewId="0"/>
  </sheetViews>
  <sheetFormatPr defaultRowHeight="15"/>
  <cols>
    <col min="1" max="1" width="18" customWidth="1"/>
    <col min="2" max="2" width="22" customWidth="1"/>
    <col min="3" max="3" width="14" customWidth="1"/>
    <col min="4" max="4" width="26" customWidth="1"/>
    <col min="5" max="5" width="28" customWidth="1"/>
    <col min="6" max="6" width="16" customWidth="1"/>
    <col min="7" max="7" width="30" customWidth="1"/>
  </cols>
  <sheetData>
    <row r="1" spans="1:7" ht="15.75" customHeight="1">
      <c r="A1" s="525" t="s">
        <v>3205</v>
      </c>
      <c r="B1" s="494"/>
      <c r="C1" s="494"/>
      <c r="D1" s="494"/>
      <c r="E1" s="494"/>
      <c r="F1" s="494"/>
      <c r="G1" s="494"/>
    </row>
    <row r="3" spans="1:7">
      <c r="A3" s="331" t="s">
        <v>3206</v>
      </c>
    </row>
    <row r="4" spans="1:7">
      <c r="A4" s="332" t="s">
        <v>12</v>
      </c>
      <c r="B4" s="332" t="s">
        <v>2120</v>
      </c>
      <c r="C4" s="332" t="s">
        <v>595</v>
      </c>
      <c r="D4" s="332" t="s">
        <v>2736</v>
      </c>
      <c r="E4" s="332" t="s">
        <v>260</v>
      </c>
      <c r="F4" s="332" t="s">
        <v>3207</v>
      </c>
      <c r="G4" s="332" t="s">
        <v>14</v>
      </c>
    </row>
    <row r="5" spans="1:7">
      <c r="A5" s="333" t="s">
        <v>15</v>
      </c>
      <c r="B5" s="333" t="s">
        <v>3208</v>
      </c>
      <c r="C5" s="333" t="s">
        <v>3209</v>
      </c>
      <c r="D5" s="333" t="s">
        <v>3210</v>
      </c>
      <c r="E5" s="333" t="s">
        <v>3211</v>
      </c>
      <c r="F5" s="333" t="s">
        <v>3212</v>
      </c>
      <c r="G5" s="334" t="s">
        <v>3213</v>
      </c>
    </row>
    <row r="6" spans="1:7">
      <c r="A6" s="333" t="s">
        <v>18</v>
      </c>
      <c r="B6" s="333" t="s">
        <v>3214</v>
      </c>
      <c r="C6" s="333" t="s">
        <v>3215</v>
      </c>
      <c r="D6" s="333" t="s">
        <v>3216</v>
      </c>
      <c r="E6" s="333" t="s">
        <v>3217</v>
      </c>
      <c r="F6" s="333" t="s">
        <v>3218</v>
      </c>
      <c r="G6" s="334" t="s">
        <v>3213</v>
      </c>
    </row>
    <row r="7" spans="1:7">
      <c r="A7" s="333" t="s">
        <v>20</v>
      </c>
      <c r="B7" s="333" t="s">
        <v>3219</v>
      </c>
      <c r="C7" s="333" t="s">
        <v>3215</v>
      </c>
      <c r="D7" s="333" t="s">
        <v>2744</v>
      </c>
      <c r="E7" s="333" t="s">
        <v>3220</v>
      </c>
      <c r="F7" s="333" t="s">
        <v>3221</v>
      </c>
      <c r="G7" s="334" t="s">
        <v>3213</v>
      </c>
    </row>
    <row r="8" spans="1:7">
      <c r="A8" s="333" t="s">
        <v>22</v>
      </c>
      <c r="B8" s="333" t="s">
        <v>3222</v>
      </c>
      <c r="C8" s="333" t="s">
        <v>3215</v>
      </c>
      <c r="D8" s="333" t="s">
        <v>3223</v>
      </c>
      <c r="E8" s="333" t="s">
        <v>3224</v>
      </c>
      <c r="F8" s="333" t="s">
        <v>3225</v>
      </c>
      <c r="G8" s="334" t="s">
        <v>3213</v>
      </c>
    </row>
    <row r="9" spans="1:7">
      <c r="A9" s="333" t="s">
        <v>24</v>
      </c>
      <c r="B9" s="333" t="s">
        <v>3226</v>
      </c>
      <c r="C9" s="333" t="s">
        <v>3215</v>
      </c>
      <c r="D9" s="333" t="s">
        <v>3227</v>
      </c>
      <c r="E9" s="333" t="s">
        <v>3228</v>
      </c>
      <c r="F9" s="333" t="s">
        <v>3229</v>
      </c>
      <c r="G9" s="334" t="s">
        <v>3213</v>
      </c>
    </row>
    <row r="10" spans="1:7">
      <c r="A10" s="333" t="s">
        <v>26</v>
      </c>
      <c r="B10" s="333" t="s">
        <v>3230</v>
      </c>
      <c r="C10" s="333" t="s">
        <v>3231</v>
      </c>
      <c r="D10" s="333" t="s">
        <v>2749</v>
      </c>
      <c r="E10" s="333" t="s">
        <v>3232</v>
      </c>
      <c r="F10" s="333" t="s">
        <v>3233</v>
      </c>
      <c r="G10" s="334" t="s">
        <v>3213</v>
      </c>
    </row>
    <row r="11" spans="1:7">
      <c r="A11" s="333" t="s">
        <v>28</v>
      </c>
      <c r="B11" s="333" t="s">
        <v>3234</v>
      </c>
      <c r="C11" s="333" t="s">
        <v>2127</v>
      </c>
      <c r="D11" s="333" t="s">
        <v>3235</v>
      </c>
      <c r="E11" s="333" t="s">
        <v>3236</v>
      </c>
      <c r="F11" s="333" t="s">
        <v>3237</v>
      </c>
      <c r="G11" s="334" t="s">
        <v>3213</v>
      </c>
    </row>
    <row r="12" spans="1:7">
      <c r="A12" s="333" t="s">
        <v>30</v>
      </c>
      <c r="B12" s="333" t="s">
        <v>3238</v>
      </c>
      <c r="C12" s="333" t="s">
        <v>3239</v>
      </c>
      <c r="D12" s="333" t="s">
        <v>3235</v>
      </c>
      <c r="E12" s="333" t="s">
        <v>3240</v>
      </c>
      <c r="F12" s="333" t="s">
        <v>3241</v>
      </c>
      <c r="G12" s="334" t="s">
        <v>3213</v>
      </c>
    </row>
    <row r="13" spans="1:7">
      <c r="A13" s="333" t="s">
        <v>32</v>
      </c>
      <c r="B13" s="333" t="s">
        <v>3242</v>
      </c>
      <c r="C13" s="333" t="s">
        <v>3243</v>
      </c>
      <c r="D13" s="333" t="s">
        <v>2749</v>
      </c>
      <c r="E13" s="333" t="s">
        <v>3244</v>
      </c>
      <c r="F13" s="333" t="s">
        <v>3245</v>
      </c>
      <c r="G13" s="334" t="s">
        <v>3213</v>
      </c>
    </row>
    <row r="14" spans="1:7">
      <c r="A14" s="333" t="s">
        <v>34</v>
      </c>
      <c r="B14" s="333" t="s">
        <v>3246</v>
      </c>
      <c r="C14" s="333" t="s">
        <v>744</v>
      </c>
      <c r="D14" s="333" t="s">
        <v>2753</v>
      </c>
      <c r="E14" s="333" t="s">
        <v>3247</v>
      </c>
      <c r="F14" s="333" t="s">
        <v>3248</v>
      </c>
      <c r="G14" s="335" t="s">
        <v>17</v>
      </c>
    </row>
    <row r="15" spans="1:7">
      <c r="A15" s="333" t="s">
        <v>36</v>
      </c>
      <c r="B15" s="333" t="s">
        <v>3249</v>
      </c>
      <c r="C15" s="333" t="s">
        <v>3250</v>
      </c>
      <c r="D15" s="333" t="s">
        <v>3251</v>
      </c>
      <c r="E15" s="333" t="s">
        <v>3252</v>
      </c>
      <c r="F15" s="333" t="s">
        <v>3253</v>
      </c>
      <c r="G15" s="335" t="s">
        <v>17</v>
      </c>
    </row>
    <row r="17" spans="1:7">
      <c r="A17" s="331" t="s">
        <v>3254</v>
      </c>
    </row>
    <row r="18" spans="1:7">
      <c r="A18" s="332" t="s">
        <v>1739</v>
      </c>
      <c r="B18" s="332" t="s">
        <v>3255</v>
      </c>
      <c r="C18" s="332" t="s">
        <v>311</v>
      </c>
      <c r="D18" s="332" t="s">
        <v>3256</v>
      </c>
      <c r="E18" s="332" t="s">
        <v>1865</v>
      </c>
      <c r="F18" s="332" t="s">
        <v>1197</v>
      </c>
      <c r="G18" s="332" t="s">
        <v>14</v>
      </c>
    </row>
    <row r="19" spans="1:7">
      <c r="A19" s="333" t="s">
        <v>2883</v>
      </c>
      <c r="B19" s="333" t="s">
        <v>2882</v>
      </c>
      <c r="C19" s="333" t="s">
        <v>2852</v>
      </c>
      <c r="D19" s="333" t="s">
        <v>3257</v>
      </c>
      <c r="E19" s="333" t="s">
        <v>2840</v>
      </c>
      <c r="F19" s="333" t="s">
        <v>1199</v>
      </c>
      <c r="G19" s="335" t="s">
        <v>3258</v>
      </c>
    </row>
    <row r="20" spans="1:7">
      <c r="A20" s="333" t="s">
        <v>2883</v>
      </c>
      <c r="B20" s="333" t="s">
        <v>3259</v>
      </c>
      <c r="C20" s="333" t="s">
        <v>3260</v>
      </c>
      <c r="D20" s="333" t="s">
        <v>3261</v>
      </c>
      <c r="E20" s="333" t="s">
        <v>2840</v>
      </c>
      <c r="F20" s="333" t="s">
        <v>1199</v>
      </c>
      <c r="G20" s="335" t="s">
        <v>3258</v>
      </c>
    </row>
    <row r="21" spans="1:7">
      <c r="A21" s="333" t="s">
        <v>2883</v>
      </c>
      <c r="B21" s="333" t="s">
        <v>2886</v>
      </c>
      <c r="C21" s="333" t="s">
        <v>3262</v>
      </c>
      <c r="D21" s="333" t="s">
        <v>3263</v>
      </c>
      <c r="E21" s="333" t="s">
        <v>3264</v>
      </c>
      <c r="F21" s="333" t="s">
        <v>1199</v>
      </c>
      <c r="G21" s="335" t="s">
        <v>3258</v>
      </c>
    </row>
    <row r="22" spans="1:7">
      <c r="A22" s="333" t="s">
        <v>2883</v>
      </c>
      <c r="B22" s="333" t="s">
        <v>3265</v>
      </c>
      <c r="C22" s="333" t="s">
        <v>3266</v>
      </c>
      <c r="D22" s="333" t="s">
        <v>3267</v>
      </c>
      <c r="E22" s="333" t="s">
        <v>2840</v>
      </c>
      <c r="F22" s="333" t="s">
        <v>1199</v>
      </c>
      <c r="G22" s="335" t="s">
        <v>3258</v>
      </c>
    </row>
    <row r="23" spans="1:7">
      <c r="A23" s="333" t="s">
        <v>2883</v>
      </c>
      <c r="B23" s="333" t="s">
        <v>3268</v>
      </c>
      <c r="C23" s="333" t="s">
        <v>3269</v>
      </c>
      <c r="D23" s="333" t="s">
        <v>3270</v>
      </c>
      <c r="E23" s="333" t="s">
        <v>2840</v>
      </c>
      <c r="F23" s="333" t="s">
        <v>1202</v>
      </c>
      <c r="G23" s="335" t="s">
        <v>3258</v>
      </c>
    </row>
    <row r="24" spans="1:7">
      <c r="A24" s="333" t="s">
        <v>2883</v>
      </c>
      <c r="B24" s="333" t="s">
        <v>3271</v>
      </c>
      <c r="C24" s="333" t="s">
        <v>3266</v>
      </c>
      <c r="D24" s="333" t="s">
        <v>3272</v>
      </c>
      <c r="E24" s="333" t="s">
        <v>2840</v>
      </c>
      <c r="F24" s="333" t="s">
        <v>1202</v>
      </c>
      <c r="G24" s="335" t="s">
        <v>3258</v>
      </c>
    </row>
    <row r="25" spans="1:7">
      <c r="A25" s="333" t="s">
        <v>2883</v>
      </c>
      <c r="B25" s="333" t="s">
        <v>2888</v>
      </c>
      <c r="C25" s="333" t="s">
        <v>3262</v>
      </c>
      <c r="D25" s="333" t="s">
        <v>3273</v>
      </c>
      <c r="E25" s="333" t="s">
        <v>3274</v>
      </c>
      <c r="F25" s="333" t="s">
        <v>1280</v>
      </c>
      <c r="G25" s="335" t="s">
        <v>3258</v>
      </c>
    </row>
    <row r="26" spans="1:7">
      <c r="A26" s="333" t="s">
        <v>2883</v>
      </c>
      <c r="B26" s="333" t="s">
        <v>2891</v>
      </c>
      <c r="C26" s="333" t="s">
        <v>3266</v>
      </c>
      <c r="D26" s="333" t="s">
        <v>3275</v>
      </c>
      <c r="E26" s="333" t="s">
        <v>3274</v>
      </c>
      <c r="F26" s="333" t="s">
        <v>1280</v>
      </c>
      <c r="G26" s="335" t="s">
        <v>3258</v>
      </c>
    </row>
    <row r="27" spans="1:7">
      <c r="A27" s="333" t="s">
        <v>2883</v>
      </c>
      <c r="B27" s="333" t="s">
        <v>2895</v>
      </c>
      <c r="C27" s="333" t="s">
        <v>3276</v>
      </c>
      <c r="D27" s="333" t="s">
        <v>3277</v>
      </c>
      <c r="E27" s="333" t="s">
        <v>3278</v>
      </c>
      <c r="F27" s="333" t="s">
        <v>3279</v>
      </c>
      <c r="G27" s="335" t="s">
        <v>3258</v>
      </c>
    </row>
    <row r="28" spans="1:7">
      <c r="A28" s="333" t="s">
        <v>3280</v>
      </c>
      <c r="B28" s="333" t="s">
        <v>2897</v>
      </c>
      <c r="C28" s="333" t="s">
        <v>2706</v>
      </c>
      <c r="D28" s="333" t="s">
        <v>3281</v>
      </c>
      <c r="E28" s="333" t="s">
        <v>3282</v>
      </c>
      <c r="F28" s="333" t="s">
        <v>1199</v>
      </c>
      <c r="G28" s="335" t="s">
        <v>3258</v>
      </c>
    </row>
    <row r="29" spans="1:7">
      <c r="A29" s="333" t="s">
        <v>3283</v>
      </c>
      <c r="B29" s="333" t="s">
        <v>2682</v>
      </c>
      <c r="C29" s="333" t="s">
        <v>3284</v>
      </c>
      <c r="D29" s="333" t="s">
        <v>3285</v>
      </c>
      <c r="E29" s="333" t="s">
        <v>2840</v>
      </c>
      <c r="F29" s="333" t="s">
        <v>3286</v>
      </c>
      <c r="G29" s="335" t="s">
        <v>3258</v>
      </c>
    </row>
    <row r="30" spans="1:7">
      <c r="A30" s="333" t="s">
        <v>3287</v>
      </c>
      <c r="B30" s="333" t="s">
        <v>2893</v>
      </c>
      <c r="C30" s="333" t="s">
        <v>2712</v>
      </c>
      <c r="D30" s="333" t="s">
        <v>3288</v>
      </c>
      <c r="E30" s="333" t="s">
        <v>3289</v>
      </c>
      <c r="F30" s="333" t="s">
        <v>1280</v>
      </c>
      <c r="G30" s="335" t="s">
        <v>3258</v>
      </c>
    </row>
    <row r="31" spans="1:7">
      <c r="A31" s="333" t="s">
        <v>3290</v>
      </c>
      <c r="B31" s="333" t="s">
        <v>3291</v>
      </c>
      <c r="C31" s="333" t="s">
        <v>3292</v>
      </c>
      <c r="D31" s="333" t="s">
        <v>3293</v>
      </c>
      <c r="E31" s="333" t="s">
        <v>3294</v>
      </c>
      <c r="F31" s="333" t="s">
        <v>1515</v>
      </c>
      <c r="G31" s="335" t="s">
        <v>3258</v>
      </c>
    </row>
    <row r="33" spans="1:7">
      <c r="A33" s="331" t="s">
        <v>3295</v>
      </c>
    </row>
    <row r="34" spans="1:7">
      <c r="A34" s="332" t="s">
        <v>13</v>
      </c>
      <c r="B34" s="332" t="s">
        <v>3296</v>
      </c>
      <c r="C34" s="332" t="s">
        <v>3064</v>
      </c>
      <c r="D34" s="332" t="s">
        <v>3297</v>
      </c>
      <c r="E34" s="332" t="s">
        <v>1444</v>
      </c>
      <c r="F34" s="332" t="s">
        <v>3298</v>
      </c>
      <c r="G34" s="332" t="s">
        <v>598</v>
      </c>
    </row>
    <row r="35" spans="1:7">
      <c r="A35" s="333" t="s">
        <v>3299</v>
      </c>
      <c r="B35" s="333" t="s">
        <v>3300</v>
      </c>
      <c r="C35" s="335" t="s">
        <v>2317</v>
      </c>
      <c r="D35" s="333" t="s">
        <v>3301</v>
      </c>
      <c r="E35" s="333" t="s">
        <v>3302</v>
      </c>
      <c r="F35" s="333" t="s">
        <v>1033</v>
      </c>
      <c r="G35" s="333" t="s">
        <v>3303</v>
      </c>
    </row>
    <row r="36" spans="1:7">
      <c r="A36" s="333" t="s">
        <v>3304</v>
      </c>
      <c r="B36" s="333" t="s">
        <v>3305</v>
      </c>
      <c r="C36" s="335" t="s">
        <v>2317</v>
      </c>
      <c r="D36" s="333" t="s">
        <v>3306</v>
      </c>
      <c r="E36" s="333" t="s">
        <v>3307</v>
      </c>
      <c r="F36" s="333" t="s">
        <v>1040</v>
      </c>
      <c r="G36" s="333" t="s">
        <v>3308</v>
      </c>
    </row>
    <row r="37" spans="1:7">
      <c r="A37" s="333" t="s">
        <v>3309</v>
      </c>
      <c r="B37" s="333" t="s">
        <v>3310</v>
      </c>
      <c r="C37" s="335" t="s">
        <v>3311</v>
      </c>
      <c r="D37" s="333" t="s">
        <v>3312</v>
      </c>
      <c r="E37" s="333" t="s">
        <v>3313</v>
      </c>
      <c r="F37" s="333" t="s">
        <v>1535</v>
      </c>
      <c r="G37" s="333" t="s">
        <v>3314</v>
      </c>
    </row>
    <row r="38" spans="1:7">
      <c r="A38" s="333" t="s">
        <v>3315</v>
      </c>
      <c r="B38" s="333" t="s">
        <v>3316</v>
      </c>
      <c r="C38" s="335" t="s">
        <v>2317</v>
      </c>
      <c r="D38" s="333" t="s">
        <v>3317</v>
      </c>
      <c r="E38" s="333" t="s">
        <v>3318</v>
      </c>
      <c r="F38" s="333" t="s">
        <v>1535</v>
      </c>
      <c r="G38" s="333" t="s">
        <v>3319</v>
      </c>
    </row>
    <row r="39" spans="1:7">
      <c r="A39" s="333" t="s">
        <v>3320</v>
      </c>
      <c r="B39" s="333" t="s">
        <v>3321</v>
      </c>
      <c r="C39" s="335" t="s">
        <v>2317</v>
      </c>
      <c r="D39" s="333" t="s">
        <v>3322</v>
      </c>
      <c r="E39" s="333" t="s">
        <v>3323</v>
      </c>
      <c r="F39" s="333" t="s">
        <v>3324</v>
      </c>
      <c r="G39" s="333" t="s">
        <v>3325</v>
      </c>
    </row>
    <row r="40" spans="1:7">
      <c r="A40" s="333" t="s">
        <v>3326</v>
      </c>
      <c r="B40" s="333" t="s">
        <v>3321</v>
      </c>
      <c r="C40" s="336" t="s">
        <v>3327</v>
      </c>
      <c r="D40" s="333" t="s">
        <v>3328</v>
      </c>
      <c r="E40" s="333" t="s">
        <v>2625</v>
      </c>
      <c r="F40" s="333" t="s">
        <v>3329</v>
      </c>
      <c r="G40" s="333" t="s">
        <v>3330</v>
      </c>
    </row>
    <row r="41" spans="1:7">
      <c r="A41" s="333" t="s">
        <v>3331</v>
      </c>
      <c r="B41" s="333" t="s">
        <v>3321</v>
      </c>
      <c r="C41" s="336" t="s">
        <v>3327</v>
      </c>
      <c r="D41" s="333" t="s">
        <v>3328</v>
      </c>
      <c r="E41" s="333" t="s">
        <v>2625</v>
      </c>
      <c r="F41" s="333" t="s">
        <v>3329</v>
      </c>
      <c r="G41" s="333" t="s">
        <v>3330</v>
      </c>
    </row>
  </sheetData>
  <mergeCells count="1">
    <mergeCell ref="A1:G1"/>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6"/>
  <sheetViews>
    <sheetView workbookViewId="0"/>
  </sheetViews>
  <sheetFormatPr defaultRowHeight="15"/>
  <cols>
    <col min="1" max="1" width="10" customWidth="1"/>
    <col min="2" max="2" width="12" customWidth="1"/>
    <col min="3" max="3" width="65" customWidth="1"/>
    <col min="4" max="5" width="12" customWidth="1"/>
    <col min="6" max="6" width="24" customWidth="1"/>
  </cols>
  <sheetData>
    <row r="1" spans="1:6">
      <c r="A1" s="332" t="s">
        <v>2542</v>
      </c>
      <c r="B1" s="332" t="s">
        <v>259</v>
      </c>
      <c r="C1" s="332" t="s">
        <v>2543</v>
      </c>
      <c r="D1" s="332" t="s">
        <v>311</v>
      </c>
      <c r="E1" s="332" t="s">
        <v>2364</v>
      </c>
      <c r="F1" s="332" t="s">
        <v>14</v>
      </c>
    </row>
    <row r="2" spans="1:6">
      <c r="A2" s="333" t="s">
        <v>3332</v>
      </c>
      <c r="B2" s="333" t="s">
        <v>710</v>
      </c>
      <c r="C2" s="333" t="s">
        <v>3333</v>
      </c>
      <c r="D2" s="333" t="s">
        <v>2625</v>
      </c>
      <c r="E2" s="333" t="s">
        <v>2625</v>
      </c>
      <c r="F2" s="335" t="s">
        <v>2086</v>
      </c>
    </row>
    <row r="3" spans="1:6">
      <c r="A3" s="333" t="s">
        <v>3334</v>
      </c>
      <c r="B3" s="333" t="s">
        <v>710</v>
      </c>
      <c r="C3" s="333" t="s">
        <v>3335</v>
      </c>
      <c r="D3" s="333" t="s">
        <v>2625</v>
      </c>
      <c r="E3" s="333" t="s">
        <v>2625</v>
      </c>
      <c r="F3" s="335" t="s">
        <v>472</v>
      </c>
    </row>
    <row r="4" spans="1:6">
      <c r="A4" s="333" t="s">
        <v>3336</v>
      </c>
      <c r="B4" s="333" t="s">
        <v>710</v>
      </c>
      <c r="C4" s="333" t="s">
        <v>3337</v>
      </c>
      <c r="D4" s="333" t="s">
        <v>2625</v>
      </c>
      <c r="E4" s="333" t="s">
        <v>2625</v>
      </c>
      <c r="F4" s="335" t="s">
        <v>1107</v>
      </c>
    </row>
    <row r="5" spans="1:6">
      <c r="A5" s="333" t="s">
        <v>3338</v>
      </c>
      <c r="B5" s="333" t="s">
        <v>710</v>
      </c>
      <c r="C5" s="333" t="s">
        <v>3339</v>
      </c>
      <c r="D5" s="333" t="s">
        <v>2625</v>
      </c>
      <c r="E5" s="333" t="s">
        <v>2625</v>
      </c>
      <c r="F5" s="335" t="s">
        <v>3340</v>
      </c>
    </row>
    <row r="6" spans="1:6">
      <c r="A6" s="333" t="s">
        <v>749</v>
      </c>
      <c r="B6" s="333" t="s">
        <v>74</v>
      </c>
      <c r="C6" s="333" t="s">
        <v>3341</v>
      </c>
      <c r="D6" s="333" t="s">
        <v>3342</v>
      </c>
      <c r="E6" s="333" t="s">
        <v>621</v>
      </c>
      <c r="F6" s="345" t="s">
        <v>3161</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45"/>
  <sheetViews>
    <sheetView zoomScaleNormal="100" workbookViewId="0"/>
  </sheetViews>
  <sheetFormatPr defaultColWidth="8.5703125" defaultRowHeight="15"/>
  <cols>
    <col min="1" max="1" width="31.85546875" customWidth="1"/>
    <col min="2" max="3" width="65" customWidth="1"/>
    <col min="4" max="4" width="12" customWidth="1"/>
    <col min="5" max="6" width="13.42578125" customWidth="1"/>
  </cols>
  <sheetData>
    <row r="1" spans="1:6" ht="15" customHeight="1">
      <c r="A1" s="18" t="s">
        <v>2542</v>
      </c>
      <c r="B1" s="18" t="s">
        <v>259</v>
      </c>
      <c r="C1" s="18" t="s">
        <v>2543</v>
      </c>
      <c r="D1" s="18" t="s">
        <v>311</v>
      </c>
      <c r="E1" s="18" t="s">
        <v>2364</v>
      </c>
      <c r="F1" s="18" t="s">
        <v>14</v>
      </c>
    </row>
    <row r="2" spans="1:6" ht="15" customHeight="1">
      <c r="A2" s="19" t="s">
        <v>15</v>
      </c>
      <c r="B2" s="20" t="s">
        <v>3343</v>
      </c>
      <c r="C2" s="19" t="s">
        <v>3344</v>
      </c>
      <c r="D2" s="19">
        <v>1629</v>
      </c>
      <c r="E2" s="19" t="s">
        <v>3345</v>
      </c>
      <c r="F2" s="21" t="s">
        <v>2094</v>
      </c>
    </row>
    <row r="3" spans="1:6" ht="15" customHeight="1">
      <c r="A3" s="19" t="s">
        <v>18</v>
      </c>
      <c r="B3" s="20" t="s">
        <v>3346</v>
      </c>
      <c r="C3" s="19" t="s">
        <v>3347</v>
      </c>
      <c r="D3" s="19">
        <v>1629</v>
      </c>
      <c r="E3" s="19" t="s">
        <v>3348</v>
      </c>
      <c r="F3" s="21" t="s">
        <v>2094</v>
      </c>
    </row>
    <row r="4" spans="1:6" ht="15" customHeight="1">
      <c r="A4" s="19" t="s">
        <v>20</v>
      </c>
      <c r="B4" s="20" t="s">
        <v>3349</v>
      </c>
      <c r="C4" s="19" t="s">
        <v>3350</v>
      </c>
      <c r="D4" s="19">
        <v>1629</v>
      </c>
      <c r="E4" s="19" t="s">
        <v>3351</v>
      </c>
      <c r="F4" s="21" t="s">
        <v>2094</v>
      </c>
    </row>
    <row r="5" spans="1:6" ht="15" customHeight="1">
      <c r="A5" s="19" t="s">
        <v>22</v>
      </c>
      <c r="B5" s="20" t="s">
        <v>3352</v>
      </c>
      <c r="C5" s="19" t="s">
        <v>3353</v>
      </c>
      <c r="D5" s="19">
        <v>1642</v>
      </c>
      <c r="E5" s="19" t="s">
        <v>3354</v>
      </c>
      <c r="F5" s="21" t="s">
        <v>2094</v>
      </c>
    </row>
    <row r="6" spans="1:6" ht="15" customHeight="1">
      <c r="A6" s="19" t="s">
        <v>3355</v>
      </c>
      <c r="B6" s="20" t="s">
        <v>3356</v>
      </c>
      <c r="C6" s="19" t="s">
        <v>3357</v>
      </c>
      <c r="D6" s="19">
        <v>1652</v>
      </c>
      <c r="E6" s="19" t="s">
        <v>3358</v>
      </c>
      <c r="F6" s="22" t="s">
        <v>3359</v>
      </c>
    </row>
    <row r="7" spans="1:6" ht="15" customHeight="1">
      <c r="A7" s="19" t="s">
        <v>24</v>
      </c>
      <c r="B7" s="20" t="s">
        <v>3360</v>
      </c>
      <c r="C7" s="19" t="s">
        <v>3361</v>
      </c>
      <c r="D7" s="19">
        <v>1652</v>
      </c>
      <c r="E7" s="19" t="s">
        <v>3362</v>
      </c>
      <c r="F7" s="21" t="s">
        <v>2094</v>
      </c>
    </row>
    <row r="8" spans="1:6" ht="15" customHeight="1">
      <c r="A8" s="23"/>
      <c r="B8" s="23"/>
      <c r="C8" s="23"/>
      <c r="D8" s="23"/>
      <c r="E8" s="23"/>
      <c r="F8" s="23"/>
    </row>
    <row r="9" spans="1:6" ht="15" customHeight="1">
      <c r="A9" s="24" t="s">
        <v>3363</v>
      </c>
      <c r="B9" s="23"/>
      <c r="C9" s="23"/>
      <c r="D9" s="23"/>
      <c r="E9" s="23"/>
      <c r="F9" s="23"/>
    </row>
    <row r="10" spans="1:6" ht="15" customHeight="1">
      <c r="A10" s="25" t="s">
        <v>3364</v>
      </c>
      <c r="B10" s="26" t="s">
        <v>3365</v>
      </c>
      <c r="C10" s="23"/>
      <c r="D10" s="23"/>
      <c r="E10" s="23"/>
      <c r="F10" s="23"/>
    </row>
    <row r="11" spans="1:6" ht="15" customHeight="1">
      <c r="A11" s="25" t="s">
        <v>3366</v>
      </c>
      <c r="B11" s="26" t="s">
        <v>3367</v>
      </c>
      <c r="C11" s="23"/>
      <c r="D11" s="23"/>
      <c r="E11" s="23"/>
      <c r="F11" s="23"/>
    </row>
    <row r="12" spans="1:6" ht="15" customHeight="1">
      <c r="A12" s="25" t="s">
        <v>2041</v>
      </c>
      <c r="B12" s="26" t="s">
        <v>3365</v>
      </c>
      <c r="C12" s="23"/>
      <c r="D12" s="23"/>
      <c r="E12" s="23"/>
      <c r="F12" s="23"/>
    </row>
    <row r="13" spans="1:6" ht="15" customHeight="1">
      <c r="A13" s="23"/>
      <c r="B13" s="23"/>
      <c r="C13" s="23"/>
      <c r="D13" s="23"/>
      <c r="E13" s="23"/>
      <c r="F13" s="23"/>
    </row>
    <row r="14" spans="1:6" ht="15" customHeight="1">
      <c r="A14" s="24" t="s">
        <v>3368</v>
      </c>
      <c r="B14" s="23"/>
      <c r="C14" s="23"/>
      <c r="D14" s="23"/>
      <c r="E14" s="23"/>
      <c r="F14" s="23"/>
    </row>
    <row r="15" spans="1:6" ht="15" customHeight="1">
      <c r="A15" s="26" t="s">
        <v>3369</v>
      </c>
      <c r="B15" s="27">
        <v>25</v>
      </c>
      <c r="C15" s="23"/>
      <c r="D15" s="23"/>
      <c r="E15" s="23"/>
      <c r="F15" s="23"/>
    </row>
    <row r="16" spans="1:6" ht="15" customHeight="1">
      <c r="A16" s="26" t="s">
        <v>813</v>
      </c>
      <c r="B16" s="27">
        <v>25</v>
      </c>
      <c r="C16" s="23"/>
      <c r="D16" s="23"/>
      <c r="E16" s="23"/>
      <c r="F16" s="23"/>
    </row>
    <row r="17" spans="1:6" ht="15" customHeight="1">
      <c r="A17" s="26" t="s">
        <v>3370</v>
      </c>
      <c r="B17" s="27">
        <v>0</v>
      </c>
      <c r="C17" s="23"/>
      <c r="D17" s="23"/>
      <c r="E17" s="23"/>
      <c r="F17" s="23"/>
    </row>
    <row r="18" spans="1:6" ht="15" customHeight="1">
      <c r="A18" s="26" t="s">
        <v>1168</v>
      </c>
      <c r="B18" s="27" t="s">
        <v>3371</v>
      </c>
      <c r="C18" s="23"/>
      <c r="D18" s="23"/>
      <c r="E18" s="23"/>
      <c r="F18" s="23"/>
    </row>
    <row r="19" spans="1:6" ht="15" customHeight="1">
      <c r="A19" s="23"/>
      <c r="B19" s="23"/>
      <c r="C19" s="23"/>
      <c r="D19" s="23"/>
      <c r="E19" s="23"/>
      <c r="F19" s="23"/>
    </row>
    <row r="20" spans="1:6" ht="15" customHeight="1">
      <c r="A20" s="24" t="s">
        <v>3372</v>
      </c>
      <c r="B20" s="23"/>
      <c r="C20" s="23"/>
      <c r="D20" s="23"/>
      <c r="E20" s="23"/>
      <c r="F20" s="23"/>
    </row>
    <row r="21" spans="1:6" ht="15" customHeight="1">
      <c r="A21" s="28" t="s">
        <v>3373</v>
      </c>
      <c r="B21" s="27" t="s">
        <v>3374</v>
      </c>
      <c r="C21" s="23"/>
      <c r="D21" s="23"/>
      <c r="E21" s="23"/>
      <c r="F21" s="23"/>
    </row>
    <row r="22" spans="1:6" ht="15" customHeight="1">
      <c r="A22" s="28" t="s">
        <v>3375</v>
      </c>
      <c r="B22" s="27" t="s">
        <v>3374</v>
      </c>
      <c r="C22" s="23"/>
      <c r="D22" s="23"/>
      <c r="E22" s="23"/>
      <c r="F22" s="23"/>
    </row>
    <row r="23" spans="1:6" ht="15" customHeight="1">
      <c r="A23" s="28" t="s">
        <v>3376</v>
      </c>
      <c r="B23" s="27" t="s">
        <v>3374</v>
      </c>
      <c r="C23" s="23"/>
      <c r="D23" s="23"/>
      <c r="E23" s="23"/>
      <c r="F23" s="23"/>
    </row>
    <row r="24" spans="1:6" ht="15" customHeight="1">
      <c r="A24" s="28" t="s">
        <v>3377</v>
      </c>
      <c r="B24" s="27" t="s">
        <v>3374</v>
      </c>
      <c r="C24" s="23"/>
      <c r="D24" s="23"/>
      <c r="E24" s="23"/>
      <c r="F24" s="23"/>
    </row>
    <row r="25" spans="1:6" ht="15" customHeight="1">
      <c r="A25" s="28" t="s">
        <v>3378</v>
      </c>
      <c r="B25" s="27" t="s">
        <v>3374</v>
      </c>
      <c r="C25" s="23"/>
      <c r="D25" s="23"/>
      <c r="E25" s="23"/>
      <c r="F25" s="23"/>
    </row>
    <row r="26" spans="1:6" ht="15" customHeight="1">
      <c r="A26" s="28" t="s">
        <v>3379</v>
      </c>
      <c r="B26" s="27" t="s">
        <v>3374</v>
      </c>
      <c r="C26" s="23"/>
      <c r="D26" s="23"/>
      <c r="E26" s="23"/>
      <c r="F26" s="23"/>
    </row>
    <row r="27" spans="1:6" ht="15" customHeight="1">
      <c r="A27" s="28" t="s">
        <v>3380</v>
      </c>
      <c r="B27" s="27" t="s">
        <v>3374</v>
      </c>
      <c r="C27" s="23"/>
      <c r="D27" s="23"/>
      <c r="E27" s="23"/>
      <c r="F27" s="23"/>
    </row>
    <row r="28" spans="1:6" ht="15" customHeight="1">
      <c r="A28" s="28" t="s">
        <v>3381</v>
      </c>
      <c r="B28" s="27" t="s">
        <v>3374</v>
      </c>
      <c r="C28" s="23"/>
      <c r="D28" s="23"/>
      <c r="E28" s="23"/>
      <c r="F28" s="23"/>
    </row>
    <row r="29" spans="1:6" ht="15" customHeight="1">
      <c r="A29" s="28" t="s">
        <v>3382</v>
      </c>
      <c r="B29" s="27" t="s">
        <v>3374</v>
      </c>
      <c r="C29" s="23"/>
      <c r="D29" s="23"/>
      <c r="E29" s="23"/>
      <c r="F29" s="23"/>
    </row>
    <row r="30" spans="1:6" ht="15" customHeight="1">
      <c r="A30" s="28" t="s">
        <v>3383</v>
      </c>
      <c r="B30" s="27" t="s">
        <v>3374</v>
      </c>
      <c r="C30" s="23"/>
      <c r="D30" s="23"/>
      <c r="E30" s="23"/>
      <c r="F30" s="23"/>
    </row>
    <row r="31" spans="1:6" ht="15" customHeight="1">
      <c r="A31" s="28" t="s">
        <v>3384</v>
      </c>
      <c r="B31" s="27" t="s">
        <v>3374</v>
      </c>
      <c r="C31" s="23"/>
      <c r="D31" s="23"/>
      <c r="E31" s="23"/>
      <c r="F31" s="23"/>
    </row>
    <row r="32" spans="1:6" ht="15" customHeight="1">
      <c r="A32" s="28" t="s">
        <v>3385</v>
      </c>
      <c r="B32" s="27" t="s">
        <v>3374</v>
      </c>
      <c r="C32" s="23"/>
      <c r="D32" s="23"/>
      <c r="E32" s="23"/>
      <c r="F32" s="23"/>
    </row>
    <row r="33" spans="1:6" ht="15" customHeight="1">
      <c r="A33" s="28" t="s">
        <v>3386</v>
      </c>
      <c r="B33" s="27" t="s">
        <v>3374</v>
      </c>
      <c r="C33" s="23"/>
      <c r="D33" s="23"/>
      <c r="E33" s="23"/>
      <c r="F33" s="23"/>
    </row>
    <row r="34" spans="1:6" ht="15" customHeight="1">
      <c r="A34" s="28" t="s">
        <v>3387</v>
      </c>
      <c r="B34" s="27" t="s">
        <v>3374</v>
      </c>
      <c r="C34" s="23"/>
      <c r="D34" s="23"/>
      <c r="E34" s="23"/>
      <c r="F34" s="23"/>
    </row>
    <row r="35" spans="1:6" ht="15" customHeight="1">
      <c r="A35" s="28" t="s">
        <v>3388</v>
      </c>
      <c r="B35" s="27" t="s">
        <v>3374</v>
      </c>
      <c r="C35" s="23"/>
      <c r="D35" s="23"/>
      <c r="E35" s="23"/>
      <c r="F35" s="23"/>
    </row>
    <row r="36" spans="1:6" ht="15" customHeight="1">
      <c r="A36" s="28" t="s">
        <v>3389</v>
      </c>
      <c r="B36" s="27" t="s">
        <v>3374</v>
      </c>
      <c r="C36" s="23"/>
      <c r="D36" s="23"/>
      <c r="E36" s="23"/>
      <c r="F36" s="23"/>
    </row>
    <row r="37" spans="1:6" ht="15" customHeight="1">
      <c r="A37" s="28" t="s">
        <v>3390</v>
      </c>
      <c r="B37" s="27" t="s">
        <v>3374</v>
      </c>
      <c r="C37" s="23"/>
      <c r="D37" s="23"/>
      <c r="E37" s="23"/>
      <c r="F37" s="23"/>
    </row>
    <row r="38" spans="1:6" ht="15" customHeight="1">
      <c r="A38" s="28" t="s">
        <v>3391</v>
      </c>
      <c r="B38" s="27" t="s">
        <v>3374</v>
      </c>
      <c r="C38" s="23"/>
      <c r="D38" s="23"/>
      <c r="E38" s="23"/>
      <c r="F38" s="23"/>
    </row>
    <row r="39" spans="1:6" ht="15" customHeight="1">
      <c r="A39" s="28" t="s">
        <v>3392</v>
      </c>
      <c r="B39" s="27" t="s">
        <v>3374</v>
      </c>
      <c r="C39" s="23"/>
      <c r="D39" s="23"/>
      <c r="E39" s="23"/>
      <c r="F39" s="23"/>
    </row>
    <row r="40" spans="1:6" ht="15" customHeight="1">
      <c r="A40" s="28" t="s">
        <v>3393</v>
      </c>
      <c r="B40" s="27" t="s">
        <v>3374</v>
      </c>
      <c r="C40" s="23"/>
      <c r="D40" s="23"/>
      <c r="E40" s="23"/>
      <c r="F40" s="23"/>
    </row>
    <row r="41" spans="1:6" ht="15" customHeight="1">
      <c r="A41" s="28" t="s">
        <v>3394</v>
      </c>
      <c r="B41" s="27" t="s">
        <v>3374</v>
      </c>
      <c r="C41" s="23"/>
      <c r="D41" s="23"/>
      <c r="E41" s="23"/>
      <c r="F41" s="23"/>
    </row>
    <row r="42" spans="1:6" ht="15" customHeight="1">
      <c r="A42" s="28" t="s">
        <v>3395</v>
      </c>
      <c r="B42" s="27" t="s">
        <v>3374</v>
      </c>
      <c r="C42" s="23"/>
      <c r="D42" s="23"/>
      <c r="E42" s="23"/>
      <c r="F42" s="23"/>
    </row>
    <row r="43" spans="1:6" ht="15" customHeight="1">
      <c r="A43" s="28" t="s">
        <v>3396</v>
      </c>
      <c r="B43" s="27" t="s">
        <v>3374</v>
      </c>
      <c r="C43" s="23"/>
      <c r="D43" s="23"/>
      <c r="E43" s="23"/>
      <c r="F43" s="23"/>
    </row>
    <row r="44" spans="1:6" ht="15" customHeight="1">
      <c r="A44" s="28" t="s">
        <v>3397</v>
      </c>
      <c r="B44" s="27" t="s">
        <v>3374</v>
      </c>
      <c r="C44" s="23"/>
      <c r="D44" s="23"/>
      <c r="E44" s="23"/>
      <c r="F44" s="23"/>
    </row>
    <row r="45" spans="1:6" ht="15" customHeight="1">
      <c r="A45" s="28" t="s">
        <v>3398</v>
      </c>
      <c r="B45" s="27" t="s">
        <v>3374</v>
      </c>
      <c r="C45" s="23"/>
      <c r="D45" s="23"/>
      <c r="E45" s="23"/>
      <c r="F45" s="23"/>
    </row>
  </sheetData>
  <pageMargins left="0.75" right="0.75" top="1" bottom="1"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F124"/>
  <sheetViews>
    <sheetView topLeftCell="A43" zoomScaleNormal="100" workbookViewId="0"/>
  </sheetViews>
  <sheetFormatPr defaultColWidth="8.5703125" defaultRowHeight="15"/>
  <cols>
    <col min="1" max="1" width="65" customWidth="1"/>
    <col min="2" max="2" width="41.140625" customWidth="1"/>
    <col min="3" max="3" width="13.42578125" customWidth="1"/>
    <col min="4" max="4" width="65" customWidth="1"/>
    <col min="5" max="6" width="12" customWidth="1"/>
  </cols>
  <sheetData>
    <row r="1" spans="1:6" ht="18" customHeight="1">
      <c r="A1" s="529" t="s">
        <v>3399</v>
      </c>
      <c r="B1" s="494"/>
      <c r="C1" s="494"/>
      <c r="D1" s="494"/>
      <c r="E1" s="494"/>
      <c r="F1" s="494"/>
    </row>
    <row r="2" spans="1:6" ht="15" customHeight="1">
      <c r="A2" s="528" t="s">
        <v>3400</v>
      </c>
      <c r="B2" s="494"/>
      <c r="C2" s="494"/>
      <c r="D2" s="494"/>
      <c r="E2" s="494"/>
      <c r="F2" s="494"/>
    </row>
    <row r="3" spans="1:6" ht="39.75" customHeight="1">
      <c r="A3" s="527" t="s">
        <v>3401</v>
      </c>
      <c r="B3" s="494"/>
      <c r="C3" s="494"/>
      <c r="D3" s="494"/>
      <c r="E3" s="494"/>
      <c r="F3" s="494"/>
    </row>
    <row r="4" spans="1:6" ht="15" customHeight="1">
      <c r="A4" s="23"/>
      <c r="B4" s="23"/>
      <c r="C4" s="23"/>
      <c r="D4" s="23"/>
      <c r="E4" s="23"/>
      <c r="F4" s="23"/>
    </row>
    <row r="5" spans="1:6" ht="15" customHeight="1">
      <c r="A5" s="526" t="s">
        <v>3402</v>
      </c>
      <c r="B5" s="494"/>
      <c r="C5" s="494"/>
      <c r="D5" s="494"/>
      <c r="E5" s="494"/>
      <c r="F5" s="494"/>
    </row>
    <row r="6" spans="1:6" ht="15" customHeight="1">
      <c r="A6" s="29" t="s">
        <v>2322</v>
      </c>
      <c r="B6" s="29" t="s">
        <v>3283</v>
      </c>
      <c r="C6" s="29" t="s">
        <v>14</v>
      </c>
      <c r="D6" s="29" t="s">
        <v>3403</v>
      </c>
      <c r="E6" s="29" t="s">
        <v>2156</v>
      </c>
      <c r="F6" s="29" t="s">
        <v>3404</v>
      </c>
    </row>
    <row r="7" spans="1:6" ht="30" customHeight="1">
      <c r="A7" s="30" t="s">
        <v>3405</v>
      </c>
      <c r="B7" s="31" t="s">
        <v>3406</v>
      </c>
      <c r="C7" s="32" t="s">
        <v>3407</v>
      </c>
      <c r="D7" s="33" t="s">
        <v>3408</v>
      </c>
      <c r="E7" s="31"/>
      <c r="F7" s="31" t="s">
        <v>3409</v>
      </c>
    </row>
    <row r="8" spans="1:6" ht="30" customHeight="1">
      <c r="A8" s="34" t="s">
        <v>3410</v>
      </c>
      <c r="B8" s="35" t="s">
        <v>3406</v>
      </c>
      <c r="C8" s="36" t="s">
        <v>3411</v>
      </c>
      <c r="D8" s="37" t="s">
        <v>3412</v>
      </c>
      <c r="E8" s="35"/>
      <c r="F8" s="35" t="s">
        <v>3409</v>
      </c>
    </row>
    <row r="9" spans="1:6" ht="30" customHeight="1">
      <c r="A9" s="30" t="s">
        <v>3413</v>
      </c>
      <c r="B9" s="31" t="s">
        <v>3406</v>
      </c>
      <c r="C9" s="32" t="s">
        <v>3407</v>
      </c>
      <c r="D9" s="33" t="s">
        <v>3414</v>
      </c>
      <c r="E9" s="31"/>
      <c r="F9" s="31" t="s">
        <v>3409</v>
      </c>
    </row>
    <row r="10" spans="1:6" ht="30" customHeight="1">
      <c r="A10" s="34" t="s">
        <v>3415</v>
      </c>
      <c r="B10" s="35" t="s">
        <v>3406</v>
      </c>
      <c r="C10" s="36" t="s">
        <v>3411</v>
      </c>
      <c r="D10" s="37" t="s">
        <v>3416</v>
      </c>
      <c r="E10" s="35"/>
      <c r="F10" s="35" t="s">
        <v>3409</v>
      </c>
    </row>
    <row r="11" spans="1:6" ht="30" customHeight="1">
      <c r="A11" s="30" t="s">
        <v>3417</v>
      </c>
      <c r="B11" s="31" t="s">
        <v>3406</v>
      </c>
      <c r="C11" s="32" t="s">
        <v>3407</v>
      </c>
      <c r="D11" s="33" t="s">
        <v>3418</v>
      </c>
      <c r="E11" s="31"/>
      <c r="F11" s="31" t="s">
        <v>3409</v>
      </c>
    </row>
    <row r="12" spans="1:6" ht="30" customHeight="1">
      <c r="A12" s="34" t="s">
        <v>3419</v>
      </c>
      <c r="B12" s="35" t="s">
        <v>3406</v>
      </c>
      <c r="C12" s="36" t="s">
        <v>3411</v>
      </c>
      <c r="D12" s="37" t="s">
        <v>3420</v>
      </c>
      <c r="E12" s="35"/>
      <c r="F12" s="35" t="s">
        <v>3409</v>
      </c>
    </row>
    <row r="13" spans="1:6" ht="30" customHeight="1">
      <c r="A13" s="30" t="s">
        <v>3421</v>
      </c>
      <c r="B13" s="31" t="s">
        <v>3406</v>
      </c>
      <c r="C13" s="32" t="s">
        <v>3407</v>
      </c>
      <c r="D13" s="33" t="s">
        <v>3422</v>
      </c>
      <c r="E13" s="31"/>
      <c r="F13" s="31" t="s">
        <v>3409</v>
      </c>
    </row>
    <row r="14" spans="1:6" ht="30" customHeight="1">
      <c r="A14" s="34" t="s">
        <v>3423</v>
      </c>
      <c r="B14" s="35" t="s">
        <v>3406</v>
      </c>
      <c r="C14" s="36" t="s">
        <v>3411</v>
      </c>
      <c r="D14" s="37" t="s">
        <v>3424</v>
      </c>
      <c r="E14" s="35"/>
      <c r="F14" s="35" t="s">
        <v>3409</v>
      </c>
    </row>
    <row r="15" spans="1:6" ht="30" customHeight="1">
      <c r="A15" s="30" t="s">
        <v>3425</v>
      </c>
      <c r="B15" s="31" t="s">
        <v>3406</v>
      </c>
      <c r="C15" s="38" t="s">
        <v>3426</v>
      </c>
      <c r="D15" s="33" t="s">
        <v>3427</v>
      </c>
      <c r="E15" s="31"/>
      <c r="F15" s="31" t="s">
        <v>3409</v>
      </c>
    </row>
    <row r="16" spans="1:6" ht="15" customHeight="1">
      <c r="A16" s="23"/>
      <c r="B16" s="23"/>
      <c r="C16" s="23"/>
      <c r="D16" s="23"/>
      <c r="E16" s="23"/>
      <c r="F16" s="23"/>
    </row>
    <row r="17" spans="1:6" ht="15" customHeight="1">
      <c r="A17" s="526" t="s">
        <v>3428</v>
      </c>
      <c r="B17" s="494"/>
      <c r="C17" s="494"/>
      <c r="D17" s="494"/>
      <c r="E17" s="494"/>
      <c r="F17" s="494"/>
    </row>
    <row r="18" spans="1:6" ht="15" customHeight="1">
      <c r="A18" s="29" t="s">
        <v>2322</v>
      </c>
      <c r="B18" s="29" t="s">
        <v>3283</v>
      </c>
      <c r="C18" s="29" t="s">
        <v>14</v>
      </c>
      <c r="D18" s="29" t="s">
        <v>3403</v>
      </c>
      <c r="E18" s="29" t="s">
        <v>2156</v>
      </c>
      <c r="F18" s="29" t="s">
        <v>3404</v>
      </c>
    </row>
    <row r="19" spans="1:6" ht="30" customHeight="1">
      <c r="A19" s="30" t="s">
        <v>3429</v>
      </c>
      <c r="B19" s="31" t="s">
        <v>1758</v>
      </c>
      <c r="C19" s="32" t="s">
        <v>3407</v>
      </c>
      <c r="D19" s="33" t="s">
        <v>3430</v>
      </c>
      <c r="E19" s="31"/>
      <c r="F19" s="31" t="s">
        <v>3409</v>
      </c>
    </row>
    <row r="20" spans="1:6" ht="30" customHeight="1">
      <c r="A20" s="30" t="s">
        <v>3431</v>
      </c>
      <c r="B20" s="31" t="s">
        <v>1758</v>
      </c>
      <c r="C20" s="32" t="s">
        <v>3407</v>
      </c>
      <c r="D20" s="33" t="s">
        <v>3432</v>
      </c>
      <c r="E20" s="31"/>
      <c r="F20" s="31" t="s">
        <v>3409</v>
      </c>
    </row>
    <row r="21" spans="1:6" ht="30" customHeight="1">
      <c r="A21" s="30" t="s">
        <v>3433</v>
      </c>
      <c r="B21" s="31" t="s">
        <v>1758</v>
      </c>
      <c r="C21" s="31" t="s">
        <v>3434</v>
      </c>
      <c r="D21" s="33" t="s">
        <v>3435</v>
      </c>
      <c r="E21" s="31"/>
      <c r="F21" s="31" t="s">
        <v>3409</v>
      </c>
    </row>
    <row r="22" spans="1:6" ht="30" customHeight="1">
      <c r="A22" s="30" t="s">
        <v>3436</v>
      </c>
      <c r="B22" s="31" t="s">
        <v>1758</v>
      </c>
      <c r="C22" s="32" t="s">
        <v>3407</v>
      </c>
      <c r="D22" s="33" t="s">
        <v>3437</v>
      </c>
      <c r="E22" s="31"/>
      <c r="F22" s="31" t="s">
        <v>3409</v>
      </c>
    </row>
    <row r="23" spans="1:6" ht="30" customHeight="1">
      <c r="A23" s="30" t="s">
        <v>3438</v>
      </c>
      <c r="B23" s="31" t="s">
        <v>1758</v>
      </c>
      <c r="C23" s="32" t="s">
        <v>3407</v>
      </c>
      <c r="D23" s="33" t="s">
        <v>3439</v>
      </c>
      <c r="E23" s="31"/>
      <c r="F23" s="31" t="s">
        <v>3409</v>
      </c>
    </row>
    <row r="24" spans="1:6" ht="30" customHeight="1">
      <c r="A24" s="30" t="s">
        <v>3440</v>
      </c>
      <c r="B24" s="31" t="s">
        <v>1758</v>
      </c>
      <c r="C24" s="32" t="s">
        <v>3407</v>
      </c>
      <c r="D24" s="33" t="s">
        <v>3441</v>
      </c>
      <c r="E24" s="31"/>
      <c r="F24" s="31" t="s">
        <v>3409</v>
      </c>
    </row>
    <row r="25" spans="1:6" ht="30" customHeight="1">
      <c r="A25" s="30" t="s">
        <v>3442</v>
      </c>
      <c r="B25" s="31" t="s">
        <v>1758</v>
      </c>
      <c r="C25" s="32" t="s">
        <v>3407</v>
      </c>
      <c r="D25" s="33" t="s">
        <v>3443</v>
      </c>
      <c r="E25" s="31"/>
      <c r="F25" s="31" t="s">
        <v>3409</v>
      </c>
    </row>
    <row r="26" spans="1:6" ht="30" customHeight="1">
      <c r="A26" s="34" t="s">
        <v>3444</v>
      </c>
      <c r="B26" s="35" t="s">
        <v>1758</v>
      </c>
      <c r="C26" s="36" t="s">
        <v>3411</v>
      </c>
      <c r="D26" s="37" t="s">
        <v>3445</v>
      </c>
      <c r="E26" s="35"/>
      <c r="F26" s="35" t="s">
        <v>3409</v>
      </c>
    </row>
    <row r="27" spans="1:6" ht="30" customHeight="1">
      <c r="A27" s="30" t="s">
        <v>3446</v>
      </c>
      <c r="B27" s="31" t="s">
        <v>1758</v>
      </c>
      <c r="C27" s="31" t="s">
        <v>3434</v>
      </c>
      <c r="D27" s="33" t="s">
        <v>3447</v>
      </c>
      <c r="E27" s="31"/>
      <c r="F27" s="31" t="s">
        <v>3409</v>
      </c>
    </row>
    <row r="28" spans="1:6" ht="15" customHeight="1">
      <c r="A28" s="23"/>
      <c r="B28" s="23"/>
      <c r="C28" s="23"/>
      <c r="D28" s="23"/>
      <c r="E28" s="23"/>
      <c r="F28" s="23"/>
    </row>
    <row r="29" spans="1:6" ht="15" customHeight="1">
      <c r="A29" s="526" t="s">
        <v>3448</v>
      </c>
      <c r="B29" s="494"/>
      <c r="C29" s="494"/>
      <c r="D29" s="494"/>
      <c r="E29" s="494"/>
      <c r="F29" s="494"/>
    </row>
    <row r="30" spans="1:6" ht="15" customHeight="1">
      <c r="A30" s="29" t="s">
        <v>2322</v>
      </c>
      <c r="B30" s="29" t="s">
        <v>3283</v>
      </c>
      <c r="C30" s="29" t="s">
        <v>14</v>
      </c>
      <c r="D30" s="29" t="s">
        <v>3403</v>
      </c>
      <c r="E30" s="29" t="s">
        <v>2156</v>
      </c>
      <c r="F30" s="29" t="s">
        <v>3404</v>
      </c>
    </row>
    <row r="31" spans="1:6" ht="30" customHeight="1">
      <c r="A31" s="30" t="s">
        <v>3449</v>
      </c>
      <c r="B31" s="31" t="s">
        <v>3450</v>
      </c>
      <c r="C31" s="32" t="s">
        <v>3407</v>
      </c>
      <c r="D31" s="33" t="s">
        <v>3451</v>
      </c>
      <c r="E31" s="31"/>
      <c r="F31" s="31" t="s">
        <v>3409</v>
      </c>
    </row>
    <row r="32" spans="1:6" ht="30" customHeight="1">
      <c r="A32" s="34" t="s">
        <v>3452</v>
      </c>
      <c r="B32" s="35" t="s">
        <v>3450</v>
      </c>
      <c r="C32" s="36" t="s">
        <v>3426</v>
      </c>
      <c r="D32" s="37" t="s">
        <v>3453</v>
      </c>
      <c r="E32" s="35"/>
      <c r="F32" s="35" t="s">
        <v>3409</v>
      </c>
    </row>
    <row r="33" spans="1:6" ht="30" customHeight="1">
      <c r="A33" s="34" t="s">
        <v>3454</v>
      </c>
      <c r="B33" s="35" t="s">
        <v>3450</v>
      </c>
      <c r="C33" s="35" t="s">
        <v>3426</v>
      </c>
      <c r="D33" s="37" t="s">
        <v>3455</v>
      </c>
      <c r="E33" s="35"/>
      <c r="F33" s="35" t="s">
        <v>3409</v>
      </c>
    </row>
    <row r="34" spans="1:6" ht="30" customHeight="1">
      <c r="A34" s="34" t="s">
        <v>3456</v>
      </c>
      <c r="B34" s="35" t="s">
        <v>3450</v>
      </c>
      <c r="C34" s="35" t="s">
        <v>3426</v>
      </c>
      <c r="D34" s="37" t="s">
        <v>3457</v>
      </c>
      <c r="E34" s="35"/>
      <c r="F34" s="35" t="s">
        <v>3409</v>
      </c>
    </row>
    <row r="35" spans="1:6" ht="15" customHeight="1">
      <c r="A35" s="23"/>
      <c r="B35" s="23"/>
      <c r="C35" s="23"/>
      <c r="D35" s="23"/>
      <c r="E35" s="23"/>
      <c r="F35" s="23"/>
    </row>
    <row r="36" spans="1:6" ht="15" customHeight="1">
      <c r="A36" s="526" t="s">
        <v>3458</v>
      </c>
      <c r="B36" s="494"/>
      <c r="C36" s="494"/>
      <c r="D36" s="494"/>
      <c r="E36" s="494"/>
      <c r="F36" s="494"/>
    </row>
    <row r="37" spans="1:6" ht="15" customHeight="1">
      <c r="A37" s="29" t="s">
        <v>2322</v>
      </c>
      <c r="B37" s="29" t="s">
        <v>3283</v>
      </c>
      <c r="C37" s="29" t="s">
        <v>14</v>
      </c>
      <c r="D37" s="29" t="s">
        <v>3403</v>
      </c>
      <c r="E37" s="29" t="s">
        <v>2156</v>
      </c>
      <c r="F37" s="29" t="s">
        <v>3404</v>
      </c>
    </row>
    <row r="38" spans="1:6" ht="30" customHeight="1">
      <c r="A38" s="34" t="s">
        <v>3459</v>
      </c>
      <c r="B38" s="35" t="s">
        <v>3460</v>
      </c>
      <c r="C38" s="36" t="s">
        <v>3411</v>
      </c>
      <c r="D38" s="37" t="s">
        <v>3461</v>
      </c>
      <c r="E38" s="35"/>
      <c r="F38" s="35" t="s">
        <v>3409</v>
      </c>
    </row>
    <row r="39" spans="1:6" ht="30" customHeight="1">
      <c r="A39" s="34" t="s">
        <v>3462</v>
      </c>
      <c r="B39" s="35" t="s">
        <v>3460</v>
      </c>
      <c r="C39" s="36" t="s">
        <v>3411</v>
      </c>
      <c r="D39" s="37" t="s">
        <v>3463</v>
      </c>
      <c r="E39" s="35"/>
      <c r="F39" s="35" t="s">
        <v>3409</v>
      </c>
    </row>
    <row r="40" spans="1:6" ht="30" customHeight="1">
      <c r="A40" s="34" t="s">
        <v>3464</v>
      </c>
      <c r="B40" s="35" t="s">
        <v>3460</v>
      </c>
      <c r="C40" s="36" t="s">
        <v>3411</v>
      </c>
      <c r="D40" s="37" t="s">
        <v>3465</v>
      </c>
      <c r="E40" s="35"/>
      <c r="F40" s="35" t="s">
        <v>3409</v>
      </c>
    </row>
    <row r="41" spans="1:6" ht="30" customHeight="1">
      <c r="A41" s="34" t="s">
        <v>3466</v>
      </c>
      <c r="B41" s="35" t="s">
        <v>3460</v>
      </c>
      <c r="C41" s="36" t="s">
        <v>3411</v>
      </c>
      <c r="D41" s="37" t="s">
        <v>3467</v>
      </c>
      <c r="E41" s="35"/>
      <c r="F41" s="35" t="s">
        <v>3409</v>
      </c>
    </row>
    <row r="42" spans="1:6" ht="30" customHeight="1">
      <c r="A42" s="34" t="s">
        <v>3468</v>
      </c>
      <c r="B42" s="35" t="s">
        <v>3460</v>
      </c>
      <c r="C42" s="36" t="s">
        <v>3411</v>
      </c>
      <c r="D42" s="37" t="s">
        <v>3469</v>
      </c>
      <c r="E42" s="35"/>
      <c r="F42" s="35" t="s">
        <v>3409</v>
      </c>
    </row>
    <row r="43" spans="1:6" ht="15" customHeight="1">
      <c r="A43" s="23"/>
      <c r="B43" s="23"/>
      <c r="C43" s="23"/>
      <c r="D43" s="23"/>
      <c r="E43" s="23"/>
      <c r="F43" s="23"/>
    </row>
    <row r="44" spans="1:6" ht="15" customHeight="1">
      <c r="A44" s="526" t="s">
        <v>3470</v>
      </c>
      <c r="B44" s="494"/>
      <c r="C44" s="494"/>
      <c r="D44" s="494"/>
      <c r="E44" s="494"/>
      <c r="F44" s="494"/>
    </row>
    <row r="45" spans="1:6" ht="15" customHeight="1">
      <c r="A45" s="29" t="s">
        <v>2322</v>
      </c>
      <c r="B45" s="29" t="s">
        <v>3283</v>
      </c>
      <c r="C45" s="29" t="s">
        <v>14</v>
      </c>
      <c r="D45" s="29" t="s">
        <v>3403</v>
      </c>
      <c r="E45" s="29" t="s">
        <v>2156</v>
      </c>
      <c r="F45" s="29" t="s">
        <v>3404</v>
      </c>
    </row>
    <row r="46" spans="1:6" ht="30" customHeight="1">
      <c r="A46" s="30" t="s">
        <v>3471</v>
      </c>
      <c r="B46" s="31" t="s">
        <v>3472</v>
      </c>
      <c r="C46" s="31" t="s">
        <v>3434</v>
      </c>
      <c r="D46" s="33" t="s">
        <v>3473</v>
      </c>
      <c r="E46" s="31"/>
      <c r="F46" s="31" t="s">
        <v>3409</v>
      </c>
    </row>
    <row r="47" spans="1:6" ht="30" customHeight="1">
      <c r="A47" s="34" t="s">
        <v>3474</v>
      </c>
      <c r="B47" s="35" t="s">
        <v>3472</v>
      </c>
      <c r="C47" s="35" t="s">
        <v>3426</v>
      </c>
      <c r="D47" s="37" t="s">
        <v>3475</v>
      </c>
      <c r="E47" s="35"/>
      <c r="F47" s="35" t="s">
        <v>3409</v>
      </c>
    </row>
    <row r="48" spans="1:6" ht="30" customHeight="1">
      <c r="A48" s="34" t="s">
        <v>3476</v>
      </c>
      <c r="B48" s="35" t="s">
        <v>3472</v>
      </c>
      <c r="C48" s="35" t="s">
        <v>3426</v>
      </c>
      <c r="D48" s="37" t="s">
        <v>3477</v>
      </c>
      <c r="E48" s="35"/>
      <c r="F48" s="35" t="s">
        <v>3409</v>
      </c>
    </row>
    <row r="49" spans="1:6" ht="30" customHeight="1">
      <c r="A49" s="34" t="s">
        <v>3478</v>
      </c>
      <c r="B49" s="35" t="s">
        <v>3472</v>
      </c>
      <c r="C49" s="35" t="s">
        <v>3426</v>
      </c>
      <c r="D49" s="37" t="s">
        <v>3479</v>
      </c>
      <c r="E49" s="35"/>
      <c r="F49" s="35" t="s">
        <v>3409</v>
      </c>
    </row>
    <row r="50" spans="1:6" ht="30" customHeight="1">
      <c r="A50" s="34" t="s">
        <v>3480</v>
      </c>
      <c r="B50" s="35" t="s">
        <v>3472</v>
      </c>
      <c r="C50" s="35" t="s">
        <v>3426</v>
      </c>
      <c r="D50" s="37" t="s">
        <v>3481</v>
      </c>
      <c r="E50" s="35"/>
      <c r="F50" s="35" t="s">
        <v>3409</v>
      </c>
    </row>
    <row r="51" spans="1:6" ht="30" customHeight="1">
      <c r="A51" s="34" t="s">
        <v>3482</v>
      </c>
      <c r="B51" s="35" t="s">
        <v>3472</v>
      </c>
      <c r="C51" s="35" t="s">
        <v>3426</v>
      </c>
      <c r="D51" s="37" t="s">
        <v>3483</v>
      </c>
      <c r="E51" s="35"/>
      <c r="F51" s="35" t="s">
        <v>3409</v>
      </c>
    </row>
    <row r="52" spans="1:6" ht="15" customHeight="1">
      <c r="A52" s="23"/>
      <c r="B52" s="23"/>
      <c r="C52" s="23"/>
      <c r="D52" s="23"/>
      <c r="E52" s="23"/>
      <c r="F52" s="23"/>
    </row>
    <row r="53" spans="1:6" ht="15" customHeight="1">
      <c r="A53" s="526" t="s">
        <v>3484</v>
      </c>
      <c r="B53" s="494"/>
      <c r="C53" s="494"/>
      <c r="D53" s="494"/>
      <c r="E53" s="494"/>
      <c r="F53" s="494"/>
    </row>
    <row r="54" spans="1:6" ht="15" customHeight="1">
      <c r="A54" s="29" t="s">
        <v>2322</v>
      </c>
      <c r="B54" s="29" t="s">
        <v>3283</v>
      </c>
      <c r="C54" s="29" t="s">
        <v>14</v>
      </c>
      <c r="D54" s="29" t="s">
        <v>3403</v>
      </c>
      <c r="E54" s="29" t="s">
        <v>2156</v>
      </c>
      <c r="F54" s="29" t="s">
        <v>3404</v>
      </c>
    </row>
    <row r="55" spans="1:6" ht="30" customHeight="1">
      <c r="A55" s="34" t="s">
        <v>3485</v>
      </c>
      <c r="B55" s="35" t="s">
        <v>3486</v>
      </c>
      <c r="C55" s="36" t="s">
        <v>3411</v>
      </c>
      <c r="D55" s="37" t="s">
        <v>3487</v>
      </c>
      <c r="E55" s="35"/>
      <c r="F55" s="35" t="s">
        <v>3409</v>
      </c>
    </row>
    <row r="56" spans="1:6" ht="30" customHeight="1">
      <c r="A56" s="34" t="s">
        <v>3488</v>
      </c>
      <c r="B56" s="35" t="s">
        <v>3486</v>
      </c>
      <c r="C56" s="36" t="s">
        <v>3411</v>
      </c>
      <c r="D56" s="37" t="s">
        <v>3489</v>
      </c>
      <c r="E56" s="35"/>
      <c r="F56" s="35" t="s">
        <v>3409</v>
      </c>
    </row>
    <row r="57" spans="1:6" ht="30" customHeight="1">
      <c r="A57" s="34" t="s">
        <v>3490</v>
      </c>
      <c r="B57" s="35" t="s">
        <v>3486</v>
      </c>
      <c r="C57" s="36" t="s">
        <v>3411</v>
      </c>
      <c r="D57" s="37" t="s">
        <v>3491</v>
      </c>
      <c r="E57" s="35"/>
      <c r="F57" s="35" t="s">
        <v>3409</v>
      </c>
    </row>
    <row r="58" spans="1:6" ht="30" customHeight="1">
      <c r="A58" s="30" t="s">
        <v>3492</v>
      </c>
      <c r="B58" s="31" t="s">
        <v>3486</v>
      </c>
      <c r="C58" s="32" t="s">
        <v>3407</v>
      </c>
      <c r="D58" s="33" t="s">
        <v>3493</v>
      </c>
      <c r="E58" s="31"/>
      <c r="F58" s="31" t="s">
        <v>3409</v>
      </c>
    </row>
    <row r="59" spans="1:6" ht="15" customHeight="1">
      <c r="A59" s="23"/>
      <c r="B59" s="23"/>
      <c r="C59" s="23"/>
      <c r="D59" s="23"/>
      <c r="E59" s="23"/>
      <c r="F59" s="23"/>
    </row>
    <row r="60" spans="1:6" ht="15" customHeight="1">
      <c r="A60" s="526" t="s">
        <v>3494</v>
      </c>
      <c r="B60" s="494"/>
      <c r="C60" s="494"/>
      <c r="D60" s="494"/>
      <c r="E60" s="494"/>
      <c r="F60" s="494"/>
    </row>
    <row r="61" spans="1:6" ht="15" customHeight="1">
      <c r="A61" s="29" t="s">
        <v>2322</v>
      </c>
      <c r="B61" s="29" t="s">
        <v>3283</v>
      </c>
      <c r="C61" s="29" t="s">
        <v>14</v>
      </c>
      <c r="D61" s="29" t="s">
        <v>3403</v>
      </c>
      <c r="E61" s="29" t="s">
        <v>2156</v>
      </c>
      <c r="F61" s="29" t="s">
        <v>3404</v>
      </c>
    </row>
    <row r="62" spans="1:6" ht="30" customHeight="1">
      <c r="A62" s="34" t="s">
        <v>3495</v>
      </c>
      <c r="B62" s="35" t="s">
        <v>3496</v>
      </c>
      <c r="C62" s="36" t="s">
        <v>3411</v>
      </c>
      <c r="D62" s="37" t="s">
        <v>3497</v>
      </c>
      <c r="E62" s="35"/>
      <c r="F62" s="35" t="s">
        <v>3409</v>
      </c>
    </row>
    <row r="63" spans="1:6" ht="30" customHeight="1">
      <c r="A63" s="34" t="s">
        <v>3498</v>
      </c>
      <c r="B63" s="35" t="s">
        <v>3496</v>
      </c>
      <c r="C63" s="36" t="s">
        <v>3411</v>
      </c>
      <c r="D63" s="37" t="s">
        <v>3499</v>
      </c>
      <c r="E63" s="35"/>
      <c r="F63" s="35" t="s">
        <v>3409</v>
      </c>
    </row>
    <row r="64" spans="1:6" ht="30" customHeight="1">
      <c r="A64" s="34" t="s">
        <v>3500</v>
      </c>
      <c r="B64" s="35" t="s">
        <v>3496</v>
      </c>
      <c r="C64" s="36" t="s">
        <v>3411</v>
      </c>
      <c r="D64" s="37" t="s">
        <v>3501</v>
      </c>
      <c r="E64" s="35"/>
      <c r="F64" s="35" t="s">
        <v>3409</v>
      </c>
    </row>
    <row r="65" spans="1:6" ht="15" customHeight="1">
      <c r="A65" s="23"/>
      <c r="B65" s="23"/>
      <c r="C65" s="23"/>
      <c r="D65" s="23"/>
      <c r="E65" s="23"/>
      <c r="F65" s="23"/>
    </row>
    <row r="66" spans="1:6" ht="15" customHeight="1">
      <c r="A66" s="526" t="s">
        <v>3502</v>
      </c>
      <c r="B66" s="494"/>
      <c r="C66" s="494"/>
      <c r="D66" s="494"/>
      <c r="E66" s="494"/>
      <c r="F66" s="494"/>
    </row>
    <row r="67" spans="1:6" ht="15" customHeight="1">
      <c r="A67" s="29" t="s">
        <v>2322</v>
      </c>
      <c r="B67" s="29" t="s">
        <v>3283</v>
      </c>
      <c r="C67" s="29" t="s">
        <v>14</v>
      </c>
      <c r="D67" s="29" t="s">
        <v>3403</v>
      </c>
      <c r="E67" s="29" t="s">
        <v>2156</v>
      </c>
      <c r="F67" s="29" t="s">
        <v>3404</v>
      </c>
    </row>
    <row r="68" spans="1:6" ht="30" customHeight="1">
      <c r="A68" s="30" t="s">
        <v>3503</v>
      </c>
      <c r="B68" s="31" t="s">
        <v>3504</v>
      </c>
      <c r="C68" s="31" t="s">
        <v>3434</v>
      </c>
      <c r="D68" s="33" t="s">
        <v>3505</v>
      </c>
      <c r="E68" s="31"/>
      <c r="F68" s="31" t="s">
        <v>3409</v>
      </c>
    </row>
    <row r="69" spans="1:6" ht="30" customHeight="1">
      <c r="A69" s="30" t="s">
        <v>3506</v>
      </c>
      <c r="B69" s="31" t="s">
        <v>3504</v>
      </c>
      <c r="C69" s="31" t="s">
        <v>3434</v>
      </c>
      <c r="D69" s="33" t="s">
        <v>3507</v>
      </c>
      <c r="E69" s="31"/>
      <c r="F69" s="31" t="s">
        <v>3409</v>
      </c>
    </row>
    <row r="70" spans="1:6" ht="30" customHeight="1">
      <c r="A70" s="30" t="s">
        <v>3508</v>
      </c>
      <c r="B70" s="31" t="s">
        <v>3504</v>
      </c>
      <c r="C70" s="31" t="s">
        <v>3434</v>
      </c>
      <c r="D70" s="33" t="s">
        <v>3509</v>
      </c>
      <c r="E70" s="31"/>
      <c r="F70" s="31" t="s">
        <v>3409</v>
      </c>
    </row>
    <row r="71" spans="1:6" ht="30" customHeight="1">
      <c r="A71" s="30" t="s">
        <v>3510</v>
      </c>
      <c r="B71" s="31" t="s">
        <v>3504</v>
      </c>
      <c r="C71" s="31" t="s">
        <v>3434</v>
      </c>
      <c r="D71" s="33" t="s">
        <v>3511</v>
      </c>
      <c r="E71" s="31"/>
      <c r="F71" s="31" t="s">
        <v>3409</v>
      </c>
    </row>
    <row r="72" spans="1:6" ht="30" customHeight="1">
      <c r="A72" s="30" t="s">
        <v>3512</v>
      </c>
      <c r="B72" s="31" t="s">
        <v>3504</v>
      </c>
      <c r="C72" s="31" t="s">
        <v>3434</v>
      </c>
      <c r="D72" s="33" t="s">
        <v>3513</v>
      </c>
      <c r="E72" s="31"/>
      <c r="F72" s="31" t="s">
        <v>3409</v>
      </c>
    </row>
    <row r="73" spans="1:6" ht="30" customHeight="1">
      <c r="A73" s="30" t="s">
        <v>3514</v>
      </c>
      <c r="B73" s="31" t="s">
        <v>3504</v>
      </c>
      <c r="C73" s="31" t="s">
        <v>3434</v>
      </c>
      <c r="D73" s="33" t="s">
        <v>3515</v>
      </c>
      <c r="E73" s="31"/>
      <c r="F73" s="31" t="s">
        <v>3409</v>
      </c>
    </row>
    <row r="74" spans="1:6" ht="15" customHeight="1">
      <c r="A74" s="23"/>
      <c r="B74" s="23"/>
      <c r="C74" s="23"/>
      <c r="D74" s="23"/>
      <c r="E74" s="23"/>
      <c r="F74" s="23"/>
    </row>
    <row r="75" spans="1:6" ht="15" customHeight="1">
      <c r="A75" s="526" t="s">
        <v>3516</v>
      </c>
      <c r="B75" s="494"/>
      <c r="C75" s="494"/>
      <c r="D75" s="494"/>
      <c r="E75" s="494"/>
      <c r="F75" s="494"/>
    </row>
    <row r="76" spans="1:6" ht="15" customHeight="1">
      <c r="A76" s="29" t="s">
        <v>2322</v>
      </c>
      <c r="B76" s="29" t="s">
        <v>3283</v>
      </c>
      <c r="C76" s="29" t="s">
        <v>14</v>
      </c>
      <c r="D76" s="29" t="s">
        <v>3403</v>
      </c>
      <c r="E76" s="29" t="s">
        <v>2156</v>
      </c>
      <c r="F76" s="29" t="s">
        <v>3404</v>
      </c>
    </row>
    <row r="77" spans="1:6" ht="30" customHeight="1">
      <c r="A77" s="34" t="s">
        <v>3517</v>
      </c>
      <c r="B77" s="35" t="s">
        <v>1769</v>
      </c>
      <c r="C77" s="36" t="s">
        <v>3411</v>
      </c>
      <c r="D77" s="37" t="s">
        <v>3518</v>
      </c>
      <c r="E77" s="35"/>
      <c r="F77" s="35" t="s">
        <v>3409</v>
      </c>
    </row>
    <row r="78" spans="1:6" ht="30" customHeight="1">
      <c r="A78" s="34" t="s">
        <v>3519</v>
      </c>
      <c r="B78" s="35" t="s">
        <v>1769</v>
      </c>
      <c r="C78" s="36" t="s">
        <v>3411</v>
      </c>
      <c r="D78" s="37" t="s">
        <v>3520</v>
      </c>
      <c r="E78" s="35"/>
      <c r="F78" s="35" t="s">
        <v>3409</v>
      </c>
    </row>
    <row r="79" spans="1:6" ht="30" customHeight="1">
      <c r="A79" s="34" t="s">
        <v>3521</v>
      </c>
      <c r="B79" s="35" t="s">
        <v>1769</v>
      </c>
      <c r="C79" s="36" t="s">
        <v>3426</v>
      </c>
      <c r="D79" s="37" t="s">
        <v>3522</v>
      </c>
      <c r="E79" s="35"/>
      <c r="F79" s="35" t="s">
        <v>3409</v>
      </c>
    </row>
    <row r="80" spans="1:6" ht="30" customHeight="1">
      <c r="A80" s="34" t="s">
        <v>3523</v>
      </c>
      <c r="B80" s="35" t="s">
        <v>1769</v>
      </c>
      <c r="C80" s="36" t="s">
        <v>3411</v>
      </c>
      <c r="D80" s="37" t="s">
        <v>3524</v>
      </c>
      <c r="E80" s="35"/>
      <c r="F80" s="35" t="s">
        <v>3409</v>
      </c>
    </row>
    <row r="81" spans="1:6" ht="15" customHeight="1">
      <c r="A81" s="23"/>
      <c r="B81" s="23"/>
      <c r="C81" s="23"/>
      <c r="D81" s="23"/>
      <c r="E81" s="23"/>
      <c r="F81" s="23"/>
    </row>
    <row r="82" spans="1:6" ht="15" customHeight="1">
      <c r="A82" s="526" t="s">
        <v>3525</v>
      </c>
      <c r="B82" s="494"/>
      <c r="C82" s="494"/>
      <c r="D82" s="494"/>
      <c r="E82" s="494"/>
      <c r="F82" s="494"/>
    </row>
    <row r="83" spans="1:6" ht="15" customHeight="1">
      <c r="A83" s="29" t="s">
        <v>2322</v>
      </c>
      <c r="B83" s="29" t="s">
        <v>3283</v>
      </c>
      <c r="C83" s="29" t="s">
        <v>14</v>
      </c>
      <c r="D83" s="29" t="s">
        <v>3403</v>
      </c>
      <c r="E83" s="29" t="s">
        <v>2156</v>
      </c>
      <c r="F83" s="29" t="s">
        <v>3404</v>
      </c>
    </row>
    <row r="84" spans="1:6" ht="30" customHeight="1">
      <c r="A84" s="34" t="s">
        <v>3526</v>
      </c>
      <c r="B84" s="35" t="s">
        <v>3527</v>
      </c>
      <c r="C84" s="36" t="s">
        <v>3411</v>
      </c>
      <c r="D84" s="37" t="s">
        <v>3528</v>
      </c>
      <c r="E84" s="35"/>
      <c r="F84" s="35" t="s">
        <v>3409</v>
      </c>
    </row>
    <row r="85" spans="1:6" ht="30" customHeight="1">
      <c r="A85" s="34" t="s">
        <v>3529</v>
      </c>
      <c r="B85" s="35" t="s">
        <v>3527</v>
      </c>
      <c r="C85" s="36" t="s">
        <v>3411</v>
      </c>
      <c r="D85" s="37" t="s">
        <v>3530</v>
      </c>
      <c r="E85" s="35"/>
      <c r="F85" s="35" t="s">
        <v>3409</v>
      </c>
    </row>
    <row r="86" spans="1:6" ht="30" customHeight="1">
      <c r="A86" s="34" t="s">
        <v>3531</v>
      </c>
      <c r="B86" s="35" t="s">
        <v>3527</v>
      </c>
      <c r="C86" s="36" t="s">
        <v>3411</v>
      </c>
      <c r="D86" s="37" t="s">
        <v>3532</v>
      </c>
      <c r="E86" s="35"/>
      <c r="F86" s="35" t="s">
        <v>3409</v>
      </c>
    </row>
    <row r="87" spans="1:6" ht="30" customHeight="1">
      <c r="A87" s="34" t="s">
        <v>3533</v>
      </c>
      <c r="B87" s="35" t="s">
        <v>3527</v>
      </c>
      <c r="C87" s="36" t="s">
        <v>3411</v>
      </c>
      <c r="D87" s="37" t="s">
        <v>3534</v>
      </c>
      <c r="E87" s="35"/>
      <c r="F87" s="35" t="s">
        <v>3409</v>
      </c>
    </row>
    <row r="88" spans="1:6" ht="30" customHeight="1">
      <c r="A88" s="34" t="s">
        <v>3535</v>
      </c>
      <c r="B88" s="35" t="s">
        <v>3527</v>
      </c>
      <c r="C88" s="36" t="s">
        <v>3411</v>
      </c>
      <c r="D88" s="37" t="s">
        <v>3536</v>
      </c>
      <c r="E88" s="35"/>
      <c r="F88" s="35" t="s">
        <v>3409</v>
      </c>
    </row>
    <row r="89" spans="1:6" ht="30" customHeight="1">
      <c r="A89" s="34" t="s">
        <v>3537</v>
      </c>
      <c r="B89" s="35" t="s">
        <v>3527</v>
      </c>
      <c r="C89" s="36" t="s">
        <v>3411</v>
      </c>
      <c r="D89" s="37" t="s">
        <v>3538</v>
      </c>
      <c r="E89" s="35"/>
      <c r="F89" s="35" t="s">
        <v>3409</v>
      </c>
    </row>
    <row r="90" spans="1:6" ht="15" customHeight="1">
      <c r="A90" s="23"/>
      <c r="B90" s="23"/>
      <c r="C90" s="23"/>
      <c r="D90" s="23"/>
      <c r="E90" s="23"/>
      <c r="F90" s="23"/>
    </row>
    <row r="91" spans="1:6" ht="15" customHeight="1">
      <c r="A91" s="526" t="s">
        <v>3539</v>
      </c>
      <c r="B91" s="494"/>
      <c r="C91" s="494"/>
      <c r="D91" s="494"/>
      <c r="E91" s="494"/>
      <c r="F91" s="494"/>
    </row>
    <row r="92" spans="1:6" ht="15" customHeight="1">
      <c r="A92" s="29" t="s">
        <v>2322</v>
      </c>
      <c r="B92" s="29" t="s">
        <v>3283</v>
      </c>
      <c r="C92" s="29" t="s">
        <v>14</v>
      </c>
      <c r="D92" s="29" t="s">
        <v>3403</v>
      </c>
      <c r="E92" s="29" t="s">
        <v>2156</v>
      </c>
      <c r="F92" s="29" t="s">
        <v>3404</v>
      </c>
    </row>
    <row r="93" spans="1:6" ht="30" customHeight="1">
      <c r="A93" s="30" t="s">
        <v>3540</v>
      </c>
      <c r="B93" s="31" t="s">
        <v>3541</v>
      </c>
      <c r="C93" s="32" t="s">
        <v>3407</v>
      </c>
      <c r="D93" s="33" t="s">
        <v>3542</v>
      </c>
      <c r="E93" s="31"/>
      <c r="F93" s="31" t="s">
        <v>3409</v>
      </c>
    </row>
    <row r="94" spans="1:6" ht="30" customHeight="1">
      <c r="A94" s="30" t="s">
        <v>3543</v>
      </c>
      <c r="B94" s="31" t="s">
        <v>3541</v>
      </c>
      <c r="C94" s="32" t="s">
        <v>3407</v>
      </c>
      <c r="D94" s="33" t="s">
        <v>3544</v>
      </c>
      <c r="E94" s="31"/>
      <c r="F94" s="31" t="s">
        <v>3409</v>
      </c>
    </row>
    <row r="95" spans="1:6" ht="30" customHeight="1">
      <c r="A95" s="30" t="s">
        <v>3545</v>
      </c>
      <c r="B95" s="31" t="s">
        <v>3541</v>
      </c>
      <c r="C95" s="32" t="s">
        <v>3407</v>
      </c>
      <c r="D95" s="33" t="s">
        <v>3546</v>
      </c>
      <c r="E95" s="31"/>
      <c r="F95" s="31" t="s">
        <v>3409</v>
      </c>
    </row>
    <row r="96" spans="1:6" ht="15" customHeight="1">
      <c r="A96" s="23"/>
      <c r="B96" s="23"/>
      <c r="C96" s="23"/>
      <c r="D96" s="23"/>
      <c r="E96" s="23"/>
      <c r="F96" s="23"/>
    </row>
    <row r="97" spans="1:6" ht="15" customHeight="1">
      <c r="A97" s="526" t="s">
        <v>3547</v>
      </c>
      <c r="B97" s="494"/>
      <c r="C97" s="494"/>
      <c r="D97" s="494"/>
      <c r="E97" s="494"/>
      <c r="F97" s="494"/>
    </row>
    <row r="98" spans="1:6" ht="15" customHeight="1">
      <c r="A98" s="29" t="s">
        <v>2322</v>
      </c>
      <c r="B98" s="29" t="s">
        <v>3283</v>
      </c>
      <c r="C98" s="29" t="s">
        <v>14</v>
      </c>
      <c r="D98" s="29" t="s">
        <v>3403</v>
      </c>
      <c r="E98" s="29" t="s">
        <v>2156</v>
      </c>
      <c r="F98" s="29" t="s">
        <v>3404</v>
      </c>
    </row>
    <row r="99" spans="1:6" ht="30" customHeight="1">
      <c r="A99" s="30" t="s">
        <v>3548</v>
      </c>
      <c r="B99" s="31" t="s">
        <v>3549</v>
      </c>
      <c r="C99" s="31" t="s">
        <v>3434</v>
      </c>
      <c r="D99" s="33" t="s">
        <v>3550</v>
      </c>
      <c r="E99" s="31"/>
      <c r="F99" s="31" t="s">
        <v>3409</v>
      </c>
    </row>
    <row r="100" spans="1:6" ht="30" customHeight="1">
      <c r="A100" s="30" t="s">
        <v>3551</v>
      </c>
      <c r="B100" s="31" t="s">
        <v>3549</v>
      </c>
      <c r="C100" s="31" t="s">
        <v>3434</v>
      </c>
      <c r="D100" s="33" t="s">
        <v>3552</v>
      </c>
      <c r="E100" s="31"/>
      <c r="F100" s="31" t="s">
        <v>3409</v>
      </c>
    </row>
    <row r="101" spans="1:6" ht="30" customHeight="1">
      <c r="A101" s="30" t="s">
        <v>3553</v>
      </c>
      <c r="B101" s="31" t="s">
        <v>3549</v>
      </c>
      <c r="C101" s="31" t="s">
        <v>3434</v>
      </c>
      <c r="D101" s="33" t="s">
        <v>3554</v>
      </c>
      <c r="E101" s="31"/>
      <c r="F101" s="31" t="s">
        <v>3409</v>
      </c>
    </row>
    <row r="102" spans="1:6" ht="30" customHeight="1">
      <c r="A102" s="30" t="s">
        <v>3555</v>
      </c>
      <c r="B102" s="31" t="s">
        <v>3549</v>
      </c>
      <c r="C102" s="31" t="s">
        <v>3434</v>
      </c>
      <c r="D102" s="33" t="s">
        <v>3556</v>
      </c>
      <c r="E102" s="31"/>
      <c r="F102" s="31" t="s">
        <v>3409</v>
      </c>
    </row>
    <row r="103" spans="1:6" ht="30" customHeight="1">
      <c r="A103" s="30" t="s">
        <v>3557</v>
      </c>
      <c r="B103" s="31" t="s">
        <v>3549</v>
      </c>
      <c r="C103" s="31" t="s">
        <v>3434</v>
      </c>
      <c r="D103" s="33" t="s">
        <v>3558</v>
      </c>
      <c r="E103" s="31"/>
      <c r="F103" s="31" t="s">
        <v>3409</v>
      </c>
    </row>
    <row r="104" spans="1:6" ht="15" customHeight="1">
      <c r="A104" s="23"/>
      <c r="B104" s="23"/>
      <c r="C104" s="23"/>
      <c r="D104" s="23"/>
      <c r="E104" s="23"/>
      <c r="F104" s="23"/>
    </row>
    <row r="105" spans="1:6" ht="15" customHeight="1">
      <c r="A105" s="526" t="s">
        <v>3559</v>
      </c>
      <c r="B105" s="494"/>
      <c r="C105" s="494"/>
      <c r="D105" s="494"/>
      <c r="E105" s="494"/>
      <c r="F105" s="494"/>
    </row>
    <row r="106" spans="1:6" ht="15" customHeight="1">
      <c r="A106" s="29" t="s">
        <v>2322</v>
      </c>
      <c r="B106" s="29" t="s">
        <v>3283</v>
      </c>
      <c r="C106" s="29" t="s">
        <v>14</v>
      </c>
      <c r="D106" s="29" t="s">
        <v>3403</v>
      </c>
      <c r="E106" s="29" t="s">
        <v>2156</v>
      </c>
      <c r="F106" s="29" t="s">
        <v>3404</v>
      </c>
    </row>
    <row r="107" spans="1:6" ht="30" customHeight="1">
      <c r="A107" s="30" t="s">
        <v>3560</v>
      </c>
      <c r="B107" s="31" t="s">
        <v>3561</v>
      </c>
      <c r="C107" s="32" t="s">
        <v>3407</v>
      </c>
      <c r="D107" s="33" t="s">
        <v>3493</v>
      </c>
      <c r="E107" s="31"/>
      <c r="F107" s="31" t="s">
        <v>3409</v>
      </c>
    </row>
    <row r="108" spans="1:6" ht="30" customHeight="1">
      <c r="A108" s="30" t="s">
        <v>3562</v>
      </c>
      <c r="B108" s="31" t="s">
        <v>3561</v>
      </c>
      <c r="C108" s="31" t="s">
        <v>3434</v>
      </c>
      <c r="D108" s="33" t="s">
        <v>3563</v>
      </c>
      <c r="E108" s="31"/>
      <c r="F108" s="31" t="s">
        <v>3409</v>
      </c>
    </row>
    <row r="109" spans="1:6" ht="30" customHeight="1">
      <c r="A109" s="30" t="s">
        <v>3564</v>
      </c>
      <c r="B109" s="31" t="s">
        <v>3561</v>
      </c>
      <c r="C109" s="31" t="s">
        <v>3434</v>
      </c>
      <c r="D109" s="33" t="s">
        <v>3565</v>
      </c>
      <c r="E109" s="31"/>
      <c r="F109" s="31" t="s">
        <v>3409</v>
      </c>
    </row>
    <row r="110" spans="1:6" ht="30" customHeight="1">
      <c r="A110" s="30" t="s">
        <v>3566</v>
      </c>
      <c r="B110" s="31" t="s">
        <v>3561</v>
      </c>
      <c r="C110" s="31" t="s">
        <v>3434</v>
      </c>
      <c r="D110" s="33" t="s">
        <v>3567</v>
      </c>
      <c r="E110" s="31"/>
      <c r="F110" s="31" t="s">
        <v>3409</v>
      </c>
    </row>
    <row r="111" spans="1:6" ht="30" customHeight="1">
      <c r="A111" s="30" t="s">
        <v>3568</v>
      </c>
      <c r="B111" s="31" t="s">
        <v>3561</v>
      </c>
      <c r="C111" s="31" t="s">
        <v>3434</v>
      </c>
      <c r="D111" s="33" t="s">
        <v>3569</v>
      </c>
      <c r="E111" s="31"/>
      <c r="F111" s="31" t="s">
        <v>3409</v>
      </c>
    </row>
    <row r="112" spans="1:6" ht="15" customHeight="1">
      <c r="A112" s="23"/>
      <c r="B112" s="23"/>
      <c r="C112" s="23"/>
      <c r="D112" s="23"/>
      <c r="E112" s="23"/>
      <c r="F112" s="23"/>
    </row>
    <row r="113" spans="1:6" ht="15" customHeight="1">
      <c r="A113" s="526" t="s">
        <v>3570</v>
      </c>
      <c r="B113" s="494"/>
      <c r="C113" s="494"/>
      <c r="D113" s="494"/>
      <c r="E113" s="494"/>
      <c r="F113" s="494"/>
    </row>
    <row r="114" spans="1:6" ht="15" customHeight="1">
      <c r="A114" s="29" t="s">
        <v>2322</v>
      </c>
      <c r="B114" s="29" t="s">
        <v>3283</v>
      </c>
      <c r="C114" s="29" t="s">
        <v>14</v>
      </c>
      <c r="D114" s="29" t="s">
        <v>3403</v>
      </c>
      <c r="E114" s="29" t="s">
        <v>2156</v>
      </c>
      <c r="F114" s="29" t="s">
        <v>3404</v>
      </c>
    </row>
    <row r="115" spans="1:6" ht="30" customHeight="1">
      <c r="A115" s="34" t="s">
        <v>3571</v>
      </c>
      <c r="B115" s="35" t="s">
        <v>3572</v>
      </c>
      <c r="C115" s="36" t="s">
        <v>3411</v>
      </c>
      <c r="D115" s="37" t="s">
        <v>3573</v>
      </c>
      <c r="E115" s="35"/>
      <c r="F115" s="35" t="s">
        <v>3409</v>
      </c>
    </row>
    <row r="116" spans="1:6" ht="15" customHeight="1">
      <c r="A116" s="23"/>
      <c r="B116" s="23"/>
      <c r="C116" s="23"/>
      <c r="D116" s="23"/>
      <c r="E116" s="23"/>
      <c r="F116" s="23"/>
    </row>
    <row r="117" spans="1:6" ht="15" customHeight="1">
      <c r="A117" s="526" t="s">
        <v>3574</v>
      </c>
      <c r="B117" s="494"/>
      <c r="C117" s="494"/>
      <c r="D117" s="494"/>
      <c r="E117" s="494"/>
      <c r="F117" s="494"/>
    </row>
    <row r="118" spans="1:6" ht="15" customHeight="1">
      <c r="A118" s="29" t="s">
        <v>2322</v>
      </c>
      <c r="B118" s="29" t="s">
        <v>3283</v>
      </c>
      <c r="C118" s="29" t="s">
        <v>14</v>
      </c>
      <c r="D118" s="29" t="s">
        <v>3403</v>
      </c>
      <c r="E118" s="29" t="s">
        <v>2156</v>
      </c>
      <c r="F118" s="29" t="s">
        <v>3404</v>
      </c>
    </row>
    <row r="119" spans="1:6" ht="30" customHeight="1">
      <c r="A119" s="34" t="s">
        <v>3575</v>
      </c>
      <c r="B119" s="35" t="s">
        <v>3576</v>
      </c>
      <c r="C119" s="36" t="s">
        <v>3411</v>
      </c>
      <c r="D119" s="37" t="s">
        <v>3577</v>
      </c>
      <c r="E119" s="35"/>
      <c r="F119" s="35" t="s">
        <v>3409</v>
      </c>
    </row>
    <row r="120" spans="1:6" ht="30" customHeight="1">
      <c r="A120" s="34" t="s">
        <v>3578</v>
      </c>
      <c r="B120" s="35" t="s">
        <v>3576</v>
      </c>
      <c r="C120" s="36" t="s">
        <v>3411</v>
      </c>
      <c r="D120" s="37" t="s">
        <v>3579</v>
      </c>
      <c r="E120" s="35"/>
      <c r="F120" s="35" t="s">
        <v>3409</v>
      </c>
    </row>
    <row r="121" spans="1:6" ht="30" customHeight="1">
      <c r="A121" s="34" t="s">
        <v>3580</v>
      </c>
      <c r="B121" s="35" t="s">
        <v>3576</v>
      </c>
      <c r="C121" s="36" t="s">
        <v>3411</v>
      </c>
      <c r="D121" s="37" t="s">
        <v>3581</v>
      </c>
      <c r="E121" s="35"/>
      <c r="F121" s="35" t="s">
        <v>3409</v>
      </c>
    </row>
    <row r="122" spans="1:6" ht="15" customHeight="1">
      <c r="A122" s="23"/>
      <c r="B122" s="23"/>
      <c r="C122" s="23"/>
      <c r="D122" s="23"/>
      <c r="E122" s="23"/>
      <c r="F122" s="23"/>
    </row>
    <row r="123" spans="1:6" ht="15" customHeight="1">
      <c r="A123" s="23"/>
      <c r="B123" s="23"/>
      <c r="C123" s="23"/>
      <c r="D123" s="23"/>
      <c r="E123" s="23"/>
      <c r="F123" s="23"/>
    </row>
    <row r="124" spans="1:6" ht="15" customHeight="1">
      <c r="A124" s="530" t="s">
        <v>3582</v>
      </c>
      <c r="B124" s="494"/>
      <c r="C124" s="494"/>
      <c r="D124" s="494"/>
      <c r="E124" s="494"/>
      <c r="F124" s="494"/>
    </row>
  </sheetData>
  <mergeCells count="19">
    <mergeCell ref="A124:F124"/>
    <mergeCell ref="A117:F117"/>
    <mergeCell ref="A82:F82"/>
    <mergeCell ref="A60:F60"/>
    <mergeCell ref="A36:F36"/>
    <mergeCell ref="A1:F1"/>
    <mergeCell ref="A2:F2"/>
    <mergeCell ref="A5:F5"/>
    <mergeCell ref="A97:F97"/>
    <mergeCell ref="A17:F17"/>
    <mergeCell ref="A91:F91"/>
    <mergeCell ref="A53:F53"/>
    <mergeCell ref="A29:F29"/>
    <mergeCell ref="A44:F44"/>
    <mergeCell ref="A66:F66"/>
    <mergeCell ref="A75:F75"/>
    <mergeCell ref="A105:F105"/>
    <mergeCell ref="A3:F3"/>
    <mergeCell ref="A113:F113"/>
  </mergeCells>
  <pageMargins left="0.75" right="0.75" top="1" bottom="1"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104"/>
  <sheetViews>
    <sheetView zoomScaleNormal="100" workbookViewId="0">
      <selection activeCell="A2" sqref="A2"/>
    </sheetView>
  </sheetViews>
  <sheetFormatPr defaultColWidth="28" defaultRowHeight="15"/>
  <cols>
    <col min="1" max="1" width="65" style="39" customWidth="1"/>
    <col min="2" max="2" width="65" customWidth="1"/>
    <col min="3" max="20" width="28" style="39" customWidth="1"/>
    <col min="21" max="16384" width="28" style="39"/>
  </cols>
  <sheetData>
    <row r="1" spans="1:2" ht="24" customHeight="1">
      <c r="A1" s="533" t="s">
        <v>3583</v>
      </c>
      <c r="B1" s="494"/>
    </row>
    <row r="2" spans="1:2" ht="28.5" customHeight="1">
      <c r="A2" s="531" t="s">
        <v>3584</v>
      </c>
      <c r="B2" s="494"/>
    </row>
    <row r="3" spans="1:2" ht="15" customHeight="1">
      <c r="A3" s="532" t="s">
        <v>3585</v>
      </c>
      <c r="B3" s="494"/>
    </row>
    <row r="4" spans="1:2" ht="15" customHeight="1">
      <c r="A4" s="40" t="s">
        <v>3586</v>
      </c>
      <c r="B4" s="41" t="s">
        <v>3587</v>
      </c>
    </row>
    <row r="5" spans="1:2" ht="15" customHeight="1">
      <c r="A5" s="371" t="s">
        <v>14</v>
      </c>
      <c r="B5" s="372" t="s">
        <v>3588</v>
      </c>
    </row>
    <row r="6" spans="1:2" ht="23.25" customHeight="1">
      <c r="A6" s="40" t="s">
        <v>14</v>
      </c>
      <c r="B6" s="41" t="s">
        <v>3589</v>
      </c>
    </row>
    <row r="7" spans="1:2" ht="28.5" customHeight="1">
      <c r="A7" s="532" t="s">
        <v>3590</v>
      </c>
      <c r="B7" s="494"/>
    </row>
    <row r="8" spans="1:2" ht="28.5" customHeight="1">
      <c r="A8" s="42" t="s">
        <v>3471</v>
      </c>
      <c r="B8" s="43" t="s">
        <v>3591</v>
      </c>
    </row>
    <row r="9" spans="1:2" ht="30" customHeight="1">
      <c r="A9" s="42" t="s">
        <v>3446</v>
      </c>
      <c r="B9" s="43" t="s">
        <v>3592</v>
      </c>
    </row>
    <row r="10" spans="1:2" ht="30" customHeight="1">
      <c r="A10" s="42" t="s">
        <v>3433</v>
      </c>
      <c r="B10" s="43" t="s">
        <v>3593</v>
      </c>
    </row>
    <row r="11" spans="1:2" ht="30" customHeight="1">
      <c r="A11" s="42" t="s">
        <v>3594</v>
      </c>
      <c r="B11" s="43" t="s">
        <v>3595</v>
      </c>
    </row>
    <row r="12" spans="1:2" ht="25.5" customHeight="1">
      <c r="A12" s="42" t="s">
        <v>3596</v>
      </c>
      <c r="B12" s="43" t="s">
        <v>3597</v>
      </c>
    </row>
    <row r="13" spans="1:2" ht="25.5" customHeight="1">
      <c r="A13" s="42" t="s">
        <v>3598</v>
      </c>
      <c r="B13" s="43" t="s">
        <v>3599</v>
      </c>
    </row>
    <row r="14" spans="1:2" ht="15" customHeight="1">
      <c r="A14" s="532" t="s">
        <v>3600</v>
      </c>
      <c r="B14" s="494"/>
    </row>
    <row r="15" spans="1:2" ht="15" customHeight="1">
      <c r="A15" s="40" t="s">
        <v>3601</v>
      </c>
      <c r="B15" s="41" t="s">
        <v>3602</v>
      </c>
    </row>
    <row r="16" spans="1:2" ht="15" customHeight="1">
      <c r="A16" s="40" t="s">
        <v>505</v>
      </c>
      <c r="B16" s="41" t="s">
        <v>3603</v>
      </c>
    </row>
    <row r="17" spans="1:2" ht="15" customHeight="1">
      <c r="A17" s="40" t="s">
        <v>3604</v>
      </c>
      <c r="B17" s="41" t="s">
        <v>3605</v>
      </c>
    </row>
    <row r="18" spans="1:2" ht="15" customHeight="1">
      <c r="A18" s="40" t="s">
        <v>450</v>
      </c>
      <c r="B18" s="41" t="s">
        <v>3606</v>
      </c>
    </row>
    <row r="19" spans="1:2" ht="15" customHeight="1">
      <c r="A19" s="40" t="s">
        <v>3607</v>
      </c>
      <c r="B19" s="41" t="s">
        <v>1648</v>
      </c>
    </row>
    <row r="20" spans="1:2" ht="15" customHeight="1">
      <c r="A20" s="40" t="s">
        <v>3608</v>
      </c>
      <c r="B20" s="41" t="s">
        <v>3609</v>
      </c>
    </row>
    <row r="21" spans="1:2" ht="15" customHeight="1">
      <c r="A21" s="40" t="s">
        <v>710</v>
      </c>
      <c r="B21" s="41" t="s">
        <v>3610</v>
      </c>
    </row>
    <row r="22" spans="1:2" ht="15" customHeight="1">
      <c r="A22" s="532" t="s">
        <v>3611</v>
      </c>
      <c r="B22" s="494"/>
    </row>
    <row r="23" spans="1:2" ht="25.5" customHeight="1">
      <c r="A23" s="44" t="s">
        <v>3612</v>
      </c>
      <c r="B23" s="45" t="s">
        <v>3613</v>
      </c>
    </row>
    <row r="24" spans="1:2" ht="15" customHeight="1">
      <c r="A24" s="40" t="s">
        <v>3614</v>
      </c>
      <c r="B24" s="41" t="s">
        <v>3615</v>
      </c>
    </row>
    <row r="25" spans="1:2" ht="15" customHeight="1">
      <c r="A25" s="532" t="s">
        <v>3616</v>
      </c>
      <c r="B25" s="494"/>
    </row>
    <row r="26" spans="1:2" ht="15" customHeight="1">
      <c r="A26" s="40" t="s">
        <v>15</v>
      </c>
      <c r="B26" s="41" t="s">
        <v>3617</v>
      </c>
    </row>
    <row r="27" spans="1:2" ht="15" customHeight="1">
      <c r="A27" s="40" t="s">
        <v>18</v>
      </c>
      <c r="B27" s="41" t="s">
        <v>3618</v>
      </c>
    </row>
    <row r="28" spans="1:2" ht="15" customHeight="1">
      <c r="A28" s="40" t="s">
        <v>20</v>
      </c>
      <c r="B28" s="41" t="s">
        <v>3619</v>
      </c>
    </row>
    <row r="29" spans="1:2" ht="15" customHeight="1">
      <c r="A29" s="40" t="s">
        <v>22</v>
      </c>
      <c r="B29" s="41" t="s">
        <v>3620</v>
      </c>
    </row>
    <row r="30" spans="1:2" ht="15" customHeight="1">
      <c r="A30" s="40" t="s">
        <v>3621</v>
      </c>
      <c r="B30" s="41" t="s">
        <v>3622</v>
      </c>
    </row>
    <row r="31" spans="1:2" ht="15" customHeight="1">
      <c r="A31" s="532" t="s">
        <v>3623</v>
      </c>
      <c r="B31" s="494"/>
    </row>
    <row r="32" spans="1:2" ht="15" customHeight="1">
      <c r="A32" s="40" t="s">
        <v>1492</v>
      </c>
      <c r="B32" s="41" t="s">
        <v>3624</v>
      </c>
    </row>
    <row r="33" spans="1:2" ht="15" customHeight="1">
      <c r="A33" s="40" t="s">
        <v>1494</v>
      </c>
      <c r="B33" s="41" t="s">
        <v>3625</v>
      </c>
    </row>
    <row r="34" spans="1:2" ht="25.5" customHeight="1">
      <c r="A34" s="40" t="s">
        <v>1496</v>
      </c>
      <c r="B34" s="41" t="s">
        <v>3626</v>
      </c>
    </row>
    <row r="35" spans="1:2" ht="15" customHeight="1">
      <c r="A35" s="40" t="s">
        <v>3627</v>
      </c>
      <c r="B35" s="41" t="s">
        <v>3628</v>
      </c>
    </row>
    <row r="36" spans="1:2" ht="15" customHeight="1">
      <c r="A36" s="40" t="s">
        <v>1500</v>
      </c>
      <c r="B36" s="41" t="s">
        <v>3629</v>
      </c>
    </row>
    <row r="37" spans="1:2" ht="15" customHeight="1">
      <c r="A37" s="532" t="s">
        <v>3630</v>
      </c>
      <c r="B37" s="494"/>
    </row>
    <row r="38" spans="1:2" ht="25.5" customHeight="1">
      <c r="A38" s="40" t="s">
        <v>3631</v>
      </c>
      <c r="B38" s="41" t="s">
        <v>3632</v>
      </c>
    </row>
    <row r="39" spans="1:2" ht="25.5" customHeight="1">
      <c r="A39" s="40" t="s">
        <v>3633</v>
      </c>
      <c r="B39" s="41" t="s">
        <v>3634</v>
      </c>
    </row>
    <row r="40" spans="1:2" ht="15" customHeight="1">
      <c r="A40" s="40" t="s">
        <v>3635</v>
      </c>
      <c r="B40" s="41" t="s">
        <v>3636</v>
      </c>
    </row>
    <row r="41" spans="1:2" ht="25.5" customHeight="1">
      <c r="A41" s="40" t="s">
        <v>3637</v>
      </c>
      <c r="B41" s="41" t="s">
        <v>3638</v>
      </c>
    </row>
    <row r="42" spans="1:2" ht="15" customHeight="1">
      <c r="A42" s="40" t="s">
        <v>3639</v>
      </c>
      <c r="B42" s="41" t="s">
        <v>3640</v>
      </c>
    </row>
    <row r="43" spans="1:2" ht="45.75" customHeight="1">
      <c r="A43" s="46" t="s">
        <v>3641</v>
      </c>
      <c r="B43" s="11" t="s">
        <v>3642</v>
      </c>
    </row>
    <row r="104" ht="15.75" customHeight="1"/>
  </sheetData>
  <mergeCells count="9">
    <mergeCell ref="A1:B1"/>
    <mergeCell ref="A31:B31"/>
    <mergeCell ref="A3:B3"/>
    <mergeCell ref="A22:B22"/>
    <mergeCell ref="A2:B2"/>
    <mergeCell ref="A7:B7"/>
    <mergeCell ref="A25:B25"/>
    <mergeCell ref="A37:B37"/>
    <mergeCell ref="A14:B14"/>
  </mergeCells>
  <pageMargins left="0.7" right="0.7" top="0.75" bottom="0.75"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221"/>
  <sheetViews>
    <sheetView zoomScaleNormal="100" workbookViewId="0">
      <pane ySplit="4" topLeftCell="A59" activePane="bottomLeft" state="frozen"/>
      <selection pane="bottomLeft" activeCell="F221" sqref="F221"/>
    </sheetView>
  </sheetViews>
  <sheetFormatPr defaultColWidth="9" defaultRowHeight="15"/>
  <cols>
    <col min="1" max="1" width="57.140625" style="47" customWidth="1"/>
    <col min="2" max="6" width="65" style="47" customWidth="1"/>
    <col min="7" max="24" width="9" style="47" customWidth="1"/>
    <col min="25" max="16384" width="9" style="47"/>
  </cols>
  <sheetData>
    <row r="1" spans="1:6" ht="36" customHeight="1">
      <c r="A1" s="536" t="s">
        <v>3643</v>
      </c>
      <c r="B1" s="535"/>
      <c r="C1" s="535"/>
      <c r="D1" s="535"/>
      <c r="E1" s="535"/>
      <c r="F1" s="535"/>
    </row>
    <row r="2" spans="1:6" ht="15" customHeight="1">
      <c r="A2" s="48"/>
      <c r="B2" s="48"/>
      <c r="C2" s="48"/>
      <c r="D2" s="48"/>
      <c r="E2" s="48"/>
      <c r="F2" s="48"/>
    </row>
    <row r="3" spans="1:6" ht="27.75" customHeight="1">
      <c r="A3" s="534" t="s">
        <v>3644</v>
      </c>
      <c r="B3" s="535"/>
      <c r="C3" s="535"/>
      <c r="D3" s="535"/>
      <c r="E3" s="535"/>
      <c r="F3" s="535"/>
    </row>
    <row r="4" spans="1:6" ht="21.75" customHeight="1">
      <c r="A4" s="49" t="s">
        <v>3645</v>
      </c>
      <c r="B4" s="49" t="s">
        <v>3646</v>
      </c>
      <c r="C4" s="49" t="s">
        <v>3647</v>
      </c>
      <c r="D4" s="49" t="s">
        <v>3648</v>
      </c>
      <c r="E4" s="49" t="s">
        <v>3649</v>
      </c>
      <c r="F4" s="49" t="s">
        <v>14</v>
      </c>
    </row>
    <row r="5" spans="1:6" ht="21.75" customHeight="1">
      <c r="A5" s="50" t="s">
        <v>3650</v>
      </c>
      <c r="B5" s="51">
        <f>COUNTA(Requirements!A2:A108)</f>
        <v>35</v>
      </c>
      <c r="C5" s="52">
        <f>COUNTIF(Requirements!C2:C108,"✅ DEPLOYED*")</f>
        <v>35</v>
      </c>
      <c r="D5" s="51">
        <f>B5-C5</f>
        <v>0</v>
      </c>
      <c r="E5" s="53">
        <f>IF(B5=0,0,C5/B5)</f>
        <v>1</v>
      </c>
      <c r="F5" s="54" t="str">
        <f>IF(D5=0,"✅ ALL DEPLOYED",D5&amp;" OPEN")</f>
        <v>✅ ALL DEPLOYED</v>
      </c>
    </row>
    <row r="6" spans="1:6" ht="21.75" customHeight="1">
      <c r="A6" s="55" t="s">
        <v>3651</v>
      </c>
      <c r="B6" s="56">
        <f>COUNTA('3 Action Items'!A2:A100)</f>
        <v>27</v>
      </c>
      <c r="C6" s="57">
        <f>COUNTIF('3 Action Items'!F2:F100,"*✅*")</f>
        <v>27</v>
      </c>
      <c r="D6" s="56">
        <f>B6-C6</f>
        <v>0</v>
      </c>
      <c r="E6" s="58">
        <f>IF(B6=0,0,C6/B6)</f>
        <v>1</v>
      </c>
      <c r="F6" s="59" t="str">
        <f>IF(D6=0,"✅ ALL DONE",D6&amp;" OPEN")</f>
        <v>✅ ALL DONE</v>
      </c>
    </row>
    <row r="7" spans="1:6" ht="21.75" customHeight="1">
      <c r="A7" s="50" t="s">
        <v>3652</v>
      </c>
      <c r="B7" s="51">
        <f>COUNTA(Backlog!A2:A109)</f>
        <v>45</v>
      </c>
      <c r="C7" s="52">
        <f>COUNTIF(Backlog!C2:C109,"✅*")</f>
        <v>39</v>
      </c>
      <c r="D7" s="51">
        <f>B7-C7</f>
        <v>6</v>
      </c>
      <c r="E7" s="53">
        <f>C7/B7</f>
        <v>0.8666666666666667</v>
      </c>
      <c r="F7" s="60" t="str">
        <f>IF(D7=0,"✅ ALL DEPLOYED",D7&amp;" OPEN")</f>
        <v>6 OPEN</v>
      </c>
    </row>
    <row r="8" spans="1:6" ht="21.75" customHeight="1">
      <c r="A8" s="61" t="s">
        <v>3653</v>
      </c>
      <c r="B8" s="62">
        <f>SUM(B5:B7)</f>
        <v>107</v>
      </c>
      <c r="C8" s="63">
        <f>SUM(C5:C7)</f>
        <v>101</v>
      </c>
      <c r="D8" s="62">
        <f>SUM(D5:D7)</f>
        <v>6</v>
      </c>
      <c r="E8" s="64">
        <f>IF(B8=0,0,C8/B8)</f>
        <v>0.94392523364485981</v>
      </c>
      <c r="F8" s="63" t="str">
        <f>IF(D8=0,"✅ 100% COMPLETE",D8&amp;" REMAINING")</f>
        <v>6 REMAINING</v>
      </c>
    </row>
    <row r="9" spans="1:6" ht="21.75" customHeight="1">
      <c r="A9" s="55"/>
      <c r="B9" s="56"/>
      <c r="C9" s="57"/>
      <c r="D9" s="56"/>
      <c r="E9" s="58"/>
      <c r="F9" s="65"/>
    </row>
    <row r="10" spans="1:6" ht="21.75" customHeight="1">
      <c r="A10" s="48" t="s">
        <v>3654</v>
      </c>
      <c r="B10" s="48">
        <v>35</v>
      </c>
      <c r="C10" s="48">
        <v>35</v>
      </c>
      <c r="D10" s="48">
        <v>0</v>
      </c>
      <c r="E10" s="48">
        <v>1</v>
      </c>
      <c r="F10" s="48" t="s">
        <v>3655</v>
      </c>
    </row>
    <row r="11" spans="1:6" ht="27.75" customHeight="1">
      <c r="A11" s="534" t="s">
        <v>3656</v>
      </c>
      <c r="B11" s="535"/>
      <c r="C11" s="535"/>
      <c r="D11" s="535"/>
      <c r="E11" s="535"/>
      <c r="F11" s="535"/>
    </row>
    <row r="12" spans="1:6" ht="21.75" customHeight="1">
      <c r="A12" s="49" t="s">
        <v>14</v>
      </c>
      <c r="B12" s="49" t="s">
        <v>3657</v>
      </c>
      <c r="C12" s="49" t="s">
        <v>3658</v>
      </c>
      <c r="D12" s="66"/>
      <c r="E12" s="49" t="s">
        <v>3659</v>
      </c>
      <c r="F12" s="49">
        <f>COUNTA('Test Results'!D2:D510)</f>
        <v>314</v>
      </c>
    </row>
    <row r="13" spans="1:6" ht="21.75" customHeight="1">
      <c r="A13" s="67" t="s">
        <v>3660</v>
      </c>
      <c r="B13" s="54">
        <f>COUNTIF('Test Results'!D2:D510,"✅*")</f>
        <v>189</v>
      </c>
      <c r="C13" s="68">
        <f>IF(F12=0,0,B13/F12)</f>
        <v>0.60191082802547768</v>
      </c>
      <c r="D13" s="69"/>
      <c r="E13" s="69"/>
      <c r="F13" s="69"/>
    </row>
    <row r="14" spans="1:6" ht="21.75" customHeight="1">
      <c r="A14" s="70" t="s">
        <v>3661</v>
      </c>
      <c r="B14" s="71">
        <f>COUNTIF('Test Results'!D2:D510,"❌*")</f>
        <v>14</v>
      </c>
      <c r="C14" s="72">
        <f>IF(F12=0,0,B14/F12)</f>
        <v>4.4585987261146494E-2</v>
      </c>
      <c r="D14" s="69"/>
      <c r="E14" s="69"/>
      <c r="F14" s="69"/>
    </row>
    <row r="15" spans="1:6" ht="21.75" customHeight="1">
      <c r="A15" s="73" t="s">
        <v>3662</v>
      </c>
      <c r="B15" s="74">
        <f>COUNTIF('Test Results'!D2:D510,"⏱️*")</f>
        <v>25</v>
      </c>
      <c r="C15" s="68">
        <f>IF(F12=0,0,B15/F12)</f>
        <v>7.9617834394904455E-2</v>
      </c>
      <c r="D15" s="69"/>
      <c r="E15" s="69"/>
      <c r="F15" s="69"/>
    </row>
    <row r="16" spans="1:6" ht="21.75" customHeight="1">
      <c r="A16" s="75" t="s">
        <v>3663</v>
      </c>
      <c r="B16" s="65">
        <f>COUNTIF('Test Results'!D2:D510,"⚠️*")</f>
        <v>32</v>
      </c>
      <c r="C16" s="72">
        <f>IF(F12=0,0,B16/F12)</f>
        <v>0.10191082802547771</v>
      </c>
      <c r="D16" s="69"/>
      <c r="E16" s="69"/>
      <c r="F16" s="69"/>
    </row>
    <row r="17" spans="1:6" ht="21.75" customHeight="1">
      <c r="A17" s="76" t="s">
        <v>3664</v>
      </c>
      <c r="B17" s="77">
        <f>F12-B13-B14-B15-B16</f>
        <v>54</v>
      </c>
      <c r="C17" s="68">
        <f>IF(F12=0,0,B17/F12)</f>
        <v>0.17197452229299362</v>
      </c>
      <c r="D17" s="69"/>
      <c r="E17" s="69"/>
      <c r="F17" s="69"/>
    </row>
    <row r="18" spans="1:6" ht="21.75" customHeight="1">
      <c r="A18" s="61" t="s">
        <v>3665</v>
      </c>
      <c r="B18" s="62">
        <f>B13</f>
        <v>189</v>
      </c>
      <c r="C18" s="64">
        <f>IF((B13+B14+B15)=0,0,B13/(B13+B14+B15))</f>
        <v>0.82894736842105265</v>
      </c>
      <c r="D18" s="69"/>
      <c r="E18" s="69"/>
      <c r="F18" s="69"/>
    </row>
    <row r="19" spans="1:6" ht="21.75" customHeight="1">
      <c r="A19" s="78"/>
      <c r="B19" s="48"/>
      <c r="C19" s="48"/>
      <c r="D19" s="48"/>
      <c r="E19" s="48"/>
      <c r="F19" s="48"/>
    </row>
    <row r="20" spans="1:6" ht="27.75" customHeight="1">
      <c r="A20" s="537" t="s">
        <v>3666</v>
      </c>
      <c r="B20" s="535"/>
      <c r="C20" s="535"/>
      <c r="D20" s="535"/>
      <c r="E20" s="535"/>
      <c r="F20" s="535"/>
    </row>
    <row r="21" spans="1:6" ht="15" customHeight="1">
      <c r="A21" s="79" t="s">
        <v>12</v>
      </c>
      <c r="B21" s="79" t="s">
        <v>2156</v>
      </c>
      <c r="C21" s="79" t="s">
        <v>260</v>
      </c>
      <c r="D21" s="79" t="s">
        <v>3667</v>
      </c>
      <c r="E21" s="79" t="s">
        <v>14</v>
      </c>
      <c r="F21" s="79" t="s">
        <v>1444</v>
      </c>
    </row>
    <row r="22" spans="1:6" ht="102.75" customHeight="1">
      <c r="A22" s="6">
        <v>1</v>
      </c>
      <c r="B22" s="6" t="s">
        <v>1033</v>
      </c>
      <c r="C22" s="7" t="s">
        <v>3668</v>
      </c>
      <c r="D22" s="7" t="s">
        <v>3669</v>
      </c>
      <c r="E22" s="6" t="s">
        <v>3670</v>
      </c>
      <c r="F22" s="7" t="s">
        <v>3671</v>
      </c>
    </row>
    <row r="23" spans="1:6" ht="77.25" customHeight="1">
      <c r="A23" s="8">
        <v>2</v>
      </c>
      <c r="B23" s="8" t="s">
        <v>1033</v>
      </c>
      <c r="C23" s="9" t="s">
        <v>3672</v>
      </c>
      <c r="D23" s="9" t="s">
        <v>2780</v>
      </c>
      <c r="E23" s="8" t="s">
        <v>3673</v>
      </c>
      <c r="F23" s="9" t="s">
        <v>3671</v>
      </c>
    </row>
    <row r="24" spans="1:6" ht="141" customHeight="1">
      <c r="A24" s="6">
        <v>3</v>
      </c>
      <c r="B24" s="6" t="s">
        <v>1033</v>
      </c>
      <c r="C24" s="7" t="s">
        <v>3674</v>
      </c>
      <c r="D24" s="7" t="s">
        <v>2780</v>
      </c>
      <c r="E24" s="6" t="s">
        <v>3673</v>
      </c>
      <c r="F24" s="7" t="s">
        <v>3675</v>
      </c>
    </row>
    <row r="25" spans="1:6" ht="21.75" customHeight="1">
      <c r="A25" s="8">
        <v>4</v>
      </c>
      <c r="B25" s="8" t="s">
        <v>1040</v>
      </c>
      <c r="C25" s="9" t="s">
        <v>3676</v>
      </c>
      <c r="D25" s="9" t="s">
        <v>2780</v>
      </c>
      <c r="E25" s="8" t="s">
        <v>3673</v>
      </c>
      <c r="F25" s="9" t="s">
        <v>678</v>
      </c>
    </row>
    <row r="26" spans="1:6" ht="27.75" customHeight="1">
      <c r="A26" s="538" t="s">
        <v>3677</v>
      </c>
      <c r="B26" s="535"/>
      <c r="C26" s="535"/>
      <c r="D26" s="535"/>
      <c r="E26" s="535"/>
      <c r="F26" s="535"/>
    </row>
    <row r="27" spans="1:6" ht="21.75" customHeight="1">
      <c r="A27" s="80" t="s">
        <v>1442</v>
      </c>
      <c r="B27" s="79" t="s">
        <v>1443</v>
      </c>
      <c r="C27" s="79"/>
      <c r="D27" s="79" t="s">
        <v>1739</v>
      </c>
      <c r="E27" s="79" t="s">
        <v>3678</v>
      </c>
      <c r="F27" s="79" t="s">
        <v>14</v>
      </c>
    </row>
    <row r="28" spans="1:6" ht="21.75" customHeight="1">
      <c r="A28" s="1" t="s">
        <v>3679</v>
      </c>
      <c r="B28" s="1" t="s">
        <v>3680</v>
      </c>
      <c r="C28" s="1"/>
      <c r="D28" s="1" t="s">
        <v>749</v>
      </c>
      <c r="E28" s="1" t="s">
        <v>1512</v>
      </c>
      <c r="F28" s="1" t="s">
        <v>3681</v>
      </c>
    </row>
    <row r="29" spans="1:6" ht="21.75" customHeight="1">
      <c r="A29" s="55" t="s">
        <v>3682</v>
      </c>
      <c r="B29" s="56" t="s">
        <v>3683</v>
      </c>
      <c r="C29" s="55"/>
      <c r="D29" s="55" t="s">
        <v>3684</v>
      </c>
      <c r="E29" s="55" t="s">
        <v>3685</v>
      </c>
      <c r="F29" s="59" t="s">
        <v>3681</v>
      </c>
    </row>
    <row r="30" spans="1:6" ht="21.75" customHeight="1">
      <c r="A30" s="50" t="s">
        <v>3686</v>
      </c>
      <c r="B30" s="51" t="s">
        <v>3687</v>
      </c>
      <c r="C30" s="50"/>
      <c r="D30" s="50" t="s">
        <v>3688</v>
      </c>
      <c r="E30" s="50" t="s">
        <v>3689</v>
      </c>
      <c r="F30" s="54" t="s">
        <v>3681</v>
      </c>
    </row>
    <row r="31" spans="1:6" ht="21.75" customHeight="1">
      <c r="A31" s="55" t="s">
        <v>3690</v>
      </c>
      <c r="B31" s="56" t="s">
        <v>3691</v>
      </c>
      <c r="C31" s="55"/>
      <c r="D31" s="55" t="s">
        <v>3692</v>
      </c>
      <c r="E31" s="55" t="s">
        <v>3693</v>
      </c>
      <c r="F31" s="59" t="s">
        <v>3694</v>
      </c>
    </row>
    <row r="32" spans="1:6" ht="21.75" customHeight="1">
      <c r="A32" s="50" t="s">
        <v>3695</v>
      </c>
      <c r="B32" s="51" t="s">
        <v>3696</v>
      </c>
      <c r="C32" s="50"/>
      <c r="D32" s="50" t="s">
        <v>3697</v>
      </c>
      <c r="E32" s="50" t="s">
        <v>3698</v>
      </c>
      <c r="F32" s="54" t="s">
        <v>3694</v>
      </c>
    </row>
    <row r="33" spans="1:6" ht="21.75" customHeight="1">
      <c r="A33" s="55" t="s">
        <v>3699</v>
      </c>
      <c r="B33" s="56" t="s">
        <v>3700</v>
      </c>
      <c r="C33" s="50"/>
      <c r="D33" s="55" t="s">
        <v>3701</v>
      </c>
      <c r="E33" s="55" t="s">
        <v>3702</v>
      </c>
      <c r="F33" s="59" t="s">
        <v>3681</v>
      </c>
    </row>
    <row r="34" spans="1:6" ht="21.75" customHeight="1">
      <c r="A34" s="48"/>
      <c r="B34" s="81">
        <v>46096.729487129633</v>
      </c>
      <c r="C34" s="48"/>
      <c r="D34" s="48"/>
      <c r="E34" s="48"/>
      <c r="F34" s="48"/>
    </row>
    <row r="35" spans="1:6" ht="21.75" customHeight="1">
      <c r="A35" s="82" t="s">
        <v>3703</v>
      </c>
      <c r="B35" s="83">
        <v>46097.020833333343</v>
      </c>
      <c r="C35" s="48"/>
      <c r="D35" s="48"/>
      <c r="E35" s="48"/>
      <c r="F35" s="48"/>
    </row>
    <row r="36" spans="1:6" ht="21.75" customHeight="1">
      <c r="A36" s="84"/>
      <c r="B36" s="48"/>
      <c r="C36" s="48"/>
      <c r="D36" s="48"/>
      <c r="E36" s="48"/>
      <c r="F36" s="48"/>
    </row>
    <row r="37" spans="1:6" ht="27.75" customHeight="1">
      <c r="A37" s="537" t="s">
        <v>3704</v>
      </c>
      <c r="B37" s="535"/>
      <c r="C37" s="535"/>
      <c r="D37" s="535"/>
      <c r="E37" s="535"/>
      <c r="F37" s="535"/>
    </row>
    <row r="38" spans="1:6" ht="21.75" customHeight="1">
      <c r="A38" s="79" t="s">
        <v>12</v>
      </c>
      <c r="B38" s="79" t="s">
        <v>2628</v>
      </c>
      <c r="C38" s="79" t="s">
        <v>189</v>
      </c>
      <c r="D38" s="79" t="s">
        <v>3705</v>
      </c>
      <c r="E38" s="79" t="s">
        <v>2908</v>
      </c>
      <c r="F38" s="79" t="s">
        <v>3706</v>
      </c>
    </row>
    <row r="39" spans="1:6" ht="21.75" customHeight="1">
      <c r="A39" s="51">
        <v>1</v>
      </c>
      <c r="B39" s="50" t="s">
        <v>3707</v>
      </c>
      <c r="C39" s="50" t="s">
        <v>3708</v>
      </c>
      <c r="D39" s="67" t="s">
        <v>3709</v>
      </c>
      <c r="E39" s="50" t="s">
        <v>3710</v>
      </c>
      <c r="F39" s="50" t="s">
        <v>3711</v>
      </c>
    </row>
    <row r="40" spans="1:6" ht="21.75" customHeight="1">
      <c r="A40" s="56">
        <v>2</v>
      </c>
      <c r="B40" s="55" t="s">
        <v>3712</v>
      </c>
      <c r="C40" s="55" t="s">
        <v>3713</v>
      </c>
      <c r="D40" s="85" t="s">
        <v>3709</v>
      </c>
      <c r="E40" s="55" t="s">
        <v>3714</v>
      </c>
      <c r="F40" s="55" t="s">
        <v>3715</v>
      </c>
    </row>
    <row r="41" spans="1:6" ht="21.75" customHeight="1">
      <c r="A41" s="51">
        <v>3</v>
      </c>
      <c r="B41" s="50" t="s">
        <v>3716</v>
      </c>
      <c r="C41" s="50" t="s">
        <v>3717</v>
      </c>
      <c r="D41" s="67" t="s">
        <v>3709</v>
      </c>
      <c r="E41" s="50" t="s">
        <v>3718</v>
      </c>
      <c r="F41" s="50" t="s">
        <v>3719</v>
      </c>
    </row>
    <row r="42" spans="1:6" ht="21.75" customHeight="1">
      <c r="A42" s="56">
        <v>4</v>
      </c>
      <c r="B42" s="55" t="s">
        <v>3720</v>
      </c>
      <c r="C42" s="55" t="s">
        <v>3721</v>
      </c>
      <c r="D42" s="85" t="s">
        <v>3709</v>
      </c>
      <c r="E42" s="55" t="s">
        <v>3722</v>
      </c>
      <c r="F42" s="55" t="s">
        <v>3723</v>
      </c>
    </row>
    <row r="43" spans="1:6" ht="21.75" customHeight="1">
      <c r="A43" s="51">
        <v>5</v>
      </c>
      <c r="B43" s="50" t="s">
        <v>3724</v>
      </c>
      <c r="C43" s="50" t="s">
        <v>3725</v>
      </c>
      <c r="D43" s="67" t="s">
        <v>3726</v>
      </c>
      <c r="E43" s="50" t="s">
        <v>3727</v>
      </c>
      <c r="F43" s="50" t="s">
        <v>3728</v>
      </c>
    </row>
    <row r="44" spans="1:6" ht="21.75" customHeight="1">
      <c r="A44" s="56">
        <v>6</v>
      </c>
      <c r="B44" s="55" t="s">
        <v>3729</v>
      </c>
      <c r="C44" s="55" t="s">
        <v>3730</v>
      </c>
      <c r="D44" s="75" t="s">
        <v>3731</v>
      </c>
      <c r="E44" s="55" t="s">
        <v>3732</v>
      </c>
      <c r="F44" s="55" t="s">
        <v>3733</v>
      </c>
    </row>
    <row r="45" spans="1:6" ht="21.75" customHeight="1">
      <c r="A45" s="51">
        <v>7</v>
      </c>
      <c r="B45" s="50" t="s">
        <v>3734</v>
      </c>
      <c r="C45" s="50" t="s">
        <v>3735</v>
      </c>
      <c r="D45" s="67" t="s">
        <v>3709</v>
      </c>
      <c r="E45" s="50" t="s">
        <v>3736</v>
      </c>
      <c r="F45" s="50" t="s">
        <v>3737</v>
      </c>
    </row>
    <row r="46" spans="1:6" ht="21.75" customHeight="1">
      <c r="A46" s="56">
        <v>8</v>
      </c>
      <c r="B46" s="55" t="s">
        <v>3738</v>
      </c>
      <c r="C46" s="55" t="s">
        <v>3739</v>
      </c>
      <c r="D46" s="85" t="s">
        <v>3709</v>
      </c>
      <c r="E46" s="55" t="s">
        <v>3740</v>
      </c>
      <c r="F46" s="55" t="s">
        <v>3741</v>
      </c>
    </row>
    <row r="47" spans="1:6" ht="21.75" customHeight="1">
      <c r="A47" s="51">
        <v>9</v>
      </c>
      <c r="B47" s="50" t="s">
        <v>3742</v>
      </c>
      <c r="C47" s="50" t="s">
        <v>3743</v>
      </c>
      <c r="D47" s="67" t="s">
        <v>3709</v>
      </c>
      <c r="E47" s="50" t="s">
        <v>3744</v>
      </c>
      <c r="F47" s="50" t="s">
        <v>3745</v>
      </c>
    </row>
    <row r="48" spans="1:6" ht="21.75" customHeight="1">
      <c r="A48" s="48" t="s">
        <v>3703</v>
      </c>
      <c r="B48" s="83">
        <v>46094.782276863429</v>
      </c>
      <c r="C48" s="48"/>
      <c r="D48" s="48"/>
      <c r="E48" s="48"/>
      <c r="F48" s="48"/>
    </row>
    <row r="49" spans="1:6" ht="21.75" customHeight="1">
      <c r="A49" s="86"/>
      <c r="B49" s="87"/>
      <c r="C49" s="69"/>
      <c r="D49" s="69"/>
      <c r="E49" s="69"/>
      <c r="F49" s="69"/>
    </row>
    <row r="50" spans="1:6" ht="15" customHeight="1">
      <c r="A50" s="88" t="s">
        <v>3746</v>
      </c>
      <c r="B50" s="89"/>
      <c r="C50" s="89"/>
      <c r="D50" s="89"/>
      <c r="E50" s="89"/>
      <c r="F50" s="89"/>
    </row>
    <row r="51" spans="1:6" ht="15" customHeight="1">
      <c r="A51" s="90" t="s">
        <v>3747</v>
      </c>
      <c r="B51" s="90" t="s">
        <v>1386</v>
      </c>
      <c r="C51" s="90" t="s">
        <v>14</v>
      </c>
      <c r="D51" s="90" t="s">
        <v>1780</v>
      </c>
      <c r="E51" s="90" t="s">
        <v>3748</v>
      </c>
      <c r="F51" s="90" t="s">
        <v>259</v>
      </c>
    </row>
    <row r="52" spans="1:6" ht="94.5" customHeight="1">
      <c r="A52" s="69">
        <v>1</v>
      </c>
      <c r="B52" s="69" t="s">
        <v>3749</v>
      </c>
      <c r="C52" s="69" t="s">
        <v>3750</v>
      </c>
      <c r="D52" s="69" t="s">
        <v>3751</v>
      </c>
      <c r="E52" s="69"/>
      <c r="F52" s="69"/>
    </row>
    <row r="53" spans="1:6" ht="81" customHeight="1">
      <c r="A53" s="69">
        <v>1</v>
      </c>
      <c r="B53" s="69" t="s">
        <v>3752</v>
      </c>
      <c r="C53" s="69" t="s">
        <v>3750</v>
      </c>
      <c r="D53" s="91" t="s">
        <v>3753</v>
      </c>
      <c r="E53" s="69"/>
      <c r="F53" s="69"/>
    </row>
    <row r="54" spans="1:6" ht="81" customHeight="1">
      <c r="A54" s="69">
        <v>1</v>
      </c>
      <c r="B54" s="69" t="s">
        <v>3754</v>
      </c>
      <c r="C54" s="69" t="s">
        <v>3750</v>
      </c>
      <c r="D54" s="91" t="s">
        <v>3755</v>
      </c>
      <c r="E54" s="69"/>
      <c r="F54" s="69"/>
    </row>
    <row r="55" spans="1:6" ht="67.5" customHeight="1">
      <c r="A55" s="69">
        <v>2</v>
      </c>
      <c r="B55" s="69" t="s">
        <v>3756</v>
      </c>
      <c r="C55" s="69" t="s">
        <v>3750</v>
      </c>
      <c r="D55" s="69" t="s">
        <v>3757</v>
      </c>
      <c r="E55" s="69"/>
      <c r="F55" s="69"/>
    </row>
    <row r="56" spans="1:6" ht="40.5" customHeight="1">
      <c r="A56" s="69">
        <v>2</v>
      </c>
      <c r="B56" s="69" t="s">
        <v>3758</v>
      </c>
      <c r="C56" s="69" t="s">
        <v>3750</v>
      </c>
      <c r="D56" s="69" t="s">
        <v>3759</v>
      </c>
      <c r="E56" s="69" t="s">
        <v>2316</v>
      </c>
      <c r="F56" s="69"/>
    </row>
    <row r="57" spans="1:6" ht="229.5" customHeight="1">
      <c r="A57" s="69">
        <v>2</v>
      </c>
      <c r="B57" s="69" t="s">
        <v>3760</v>
      </c>
      <c r="C57" s="69" t="s">
        <v>3750</v>
      </c>
      <c r="D57" s="69" t="s">
        <v>3761</v>
      </c>
      <c r="E57" s="69" t="s">
        <v>2316</v>
      </c>
      <c r="F57" s="69" t="s">
        <v>3762</v>
      </c>
    </row>
    <row r="58" spans="1:6" ht="243" customHeight="1">
      <c r="A58" s="69">
        <v>2</v>
      </c>
      <c r="B58" s="69" t="s">
        <v>3763</v>
      </c>
      <c r="C58" s="69" t="s">
        <v>3750</v>
      </c>
      <c r="D58" s="69" t="s">
        <v>3764</v>
      </c>
      <c r="E58" s="69" t="s">
        <v>2316</v>
      </c>
      <c r="F58" s="69" t="s">
        <v>3765</v>
      </c>
    </row>
    <row r="59" spans="1:6" ht="270" customHeight="1">
      <c r="A59" s="69">
        <v>2</v>
      </c>
      <c r="B59" s="69" t="s">
        <v>3766</v>
      </c>
      <c r="C59" s="69" t="s">
        <v>3750</v>
      </c>
      <c r="D59" s="69" t="s">
        <v>3767</v>
      </c>
      <c r="E59" s="69" t="s">
        <v>2316</v>
      </c>
      <c r="F59" s="69" t="s">
        <v>3768</v>
      </c>
    </row>
    <row r="60" spans="1:6" ht="121.5" customHeight="1">
      <c r="A60" s="69">
        <v>2</v>
      </c>
      <c r="B60" s="69" t="s">
        <v>3769</v>
      </c>
      <c r="C60" s="69" t="s">
        <v>3750</v>
      </c>
      <c r="D60" s="69" t="s">
        <v>3770</v>
      </c>
      <c r="E60" s="69"/>
      <c r="F60" s="69"/>
    </row>
    <row r="61" spans="1:6" ht="135" customHeight="1">
      <c r="A61" s="69">
        <v>2</v>
      </c>
      <c r="B61" s="69" t="s">
        <v>3771</v>
      </c>
      <c r="C61" s="69" t="s">
        <v>3750</v>
      </c>
      <c r="D61" s="69" t="s">
        <v>3772</v>
      </c>
      <c r="E61" s="69" t="s">
        <v>2316</v>
      </c>
      <c r="F61" s="69" t="s">
        <v>3773</v>
      </c>
    </row>
    <row r="62" spans="1:6" ht="108" customHeight="1">
      <c r="A62" s="69">
        <v>3</v>
      </c>
      <c r="B62" s="69" t="s">
        <v>3774</v>
      </c>
      <c r="C62" s="69" t="s">
        <v>3750</v>
      </c>
      <c r="D62" s="69" t="s">
        <v>3775</v>
      </c>
      <c r="E62" s="69" t="s">
        <v>2316</v>
      </c>
      <c r="F62" s="69"/>
    </row>
    <row r="63" spans="1:6" ht="121.5" customHeight="1">
      <c r="A63" s="69">
        <v>3</v>
      </c>
      <c r="B63" s="69" t="s">
        <v>3776</v>
      </c>
      <c r="C63" s="69" t="s">
        <v>3750</v>
      </c>
      <c r="D63" s="69" t="s">
        <v>3777</v>
      </c>
      <c r="E63" s="69" t="s">
        <v>2316</v>
      </c>
      <c r="F63" s="69"/>
    </row>
    <row r="64" spans="1:6" ht="15" customHeight="1">
      <c r="A64" s="69"/>
      <c r="B64" s="69"/>
      <c r="C64" s="69"/>
      <c r="D64" s="69"/>
      <c r="E64" s="69"/>
      <c r="F64" s="69"/>
    </row>
    <row r="65" spans="1:6" ht="94.5" customHeight="1">
      <c r="A65" s="92" t="s">
        <v>3778</v>
      </c>
      <c r="B65" s="93" t="s">
        <v>3779</v>
      </c>
      <c r="C65" s="69"/>
      <c r="D65" s="69"/>
      <c r="E65" s="69"/>
      <c r="F65" s="69"/>
    </row>
    <row r="66" spans="1:6" ht="135" customHeight="1">
      <c r="A66" s="90" t="s">
        <v>226</v>
      </c>
      <c r="B66" s="69" t="s">
        <v>3780</v>
      </c>
      <c r="C66" s="69"/>
      <c r="D66" s="69"/>
      <c r="E66" s="69"/>
      <c r="F66" s="69"/>
    </row>
    <row r="67" spans="1:6" ht="40.5" customHeight="1">
      <c r="A67" s="94" t="s">
        <v>3781</v>
      </c>
      <c r="B67" s="69" t="s">
        <v>3782</v>
      </c>
      <c r="C67" s="69"/>
      <c r="D67" s="69"/>
      <c r="E67" s="69"/>
      <c r="F67" s="69"/>
    </row>
    <row r="68" spans="1:6" ht="15" customHeight="1">
      <c r="A68" s="23"/>
      <c r="B68" s="23"/>
      <c r="C68" s="23"/>
      <c r="D68" s="23"/>
      <c r="E68" s="23"/>
      <c r="F68" s="23"/>
    </row>
    <row r="69" spans="1:6" ht="15" customHeight="1">
      <c r="A69" s="23"/>
      <c r="B69" s="23"/>
      <c r="C69" s="23"/>
      <c r="D69" s="23"/>
      <c r="E69" s="23"/>
      <c r="F69" s="23"/>
    </row>
    <row r="70" spans="1:6" ht="15" customHeight="1">
      <c r="A70" s="23"/>
      <c r="B70" s="23"/>
      <c r="C70" s="23"/>
      <c r="D70" s="23"/>
      <c r="E70" s="23"/>
      <c r="F70" s="23"/>
    </row>
    <row r="71" spans="1:6" ht="15" customHeight="1">
      <c r="A71" s="23"/>
      <c r="B71" s="23"/>
      <c r="C71" s="23"/>
      <c r="D71" s="23"/>
      <c r="E71" s="23"/>
      <c r="F71" s="23"/>
    </row>
    <row r="72" spans="1:6" ht="15" customHeight="1">
      <c r="A72" s="23"/>
      <c r="B72" s="23"/>
      <c r="C72" s="23"/>
      <c r="D72" s="23"/>
      <c r="E72" s="23"/>
      <c r="F72" s="23"/>
    </row>
    <row r="73" spans="1:6" ht="15" customHeight="1">
      <c r="A73" s="23"/>
      <c r="B73" s="23"/>
      <c r="C73" s="23"/>
      <c r="D73" s="23"/>
      <c r="E73" s="23"/>
      <c r="F73" s="23"/>
    </row>
    <row r="74" spans="1:6" ht="15" customHeight="1">
      <c r="A74" s="23"/>
      <c r="B74" s="23"/>
      <c r="C74" s="23"/>
      <c r="D74" s="23"/>
      <c r="E74" s="23"/>
      <c r="F74" s="23"/>
    </row>
    <row r="75" spans="1:6" ht="15" customHeight="1">
      <c r="A75" s="23"/>
      <c r="B75" s="23"/>
      <c r="C75" s="23"/>
      <c r="D75" s="23"/>
      <c r="E75" s="23"/>
      <c r="F75" s="23"/>
    </row>
    <row r="76" spans="1:6" ht="15" customHeight="1">
      <c r="A76" s="23"/>
      <c r="B76" s="23"/>
      <c r="C76" s="23"/>
      <c r="D76" s="23"/>
      <c r="E76" s="23"/>
      <c r="F76" s="23"/>
    </row>
    <row r="77" spans="1:6" ht="15" customHeight="1">
      <c r="A77" s="23"/>
      <c r="B77" s="23"/>
      <c r="C77" s="23"/>
      <c r="D77" s="23"/>
      <c r="E77" s="23"/>
      <c r="F77" s="23"/>
    </row>
    <row r="78" spans="1:6" ht="15" customHeight="1">
      <c r="A78" s="23"/>
      <c r="B78" s="23"/>
      <c r="C78" s="23"/>
      <c r="D78" s="23"/>
      <c r="E78" s="23"/>
      <c r="F78" s="23"/>
    </row>
    <row r="79" spans="1:6" ht="15" customHeight="1">
      <c r="A79" s="23"/>
      <c r="B79" s="23"/>
      <c r="C79" s="23"/>
      <c r="D79" s="23"/>
      <c r="E79" s="23"/>
      <c r="F79" s="23"/>
    </row>
    <row r="80" spans="1:6" ht="15" customHeight="1">
      <c r="A80" s="23"/>
      <c r="B80" s="23"/>
      <c r="C80" s="23"/>
      <c r="D80" s="23"/>
      <c r="E80" s="23"/>
      <c r="F80" s="23"/>
    </row>
    <row r="81" spans="1:6" ht="15" customHeight="1">
      <c r="A81" s="23"/>
      <c r="B81" s="23"/>
      <c r="C81" s="23"/>
      <c r="D81" s="23"/>
      <c r="E81" s="23"/>
      <c r="F81" s="23"/>
    </row>
    <row r="82" spans="1:6" ht="15" customHeight="1">
      <c r="A82" s="23"/>
      <c r="B82" s="23"/>
      <c r="C82" s="23"/>
      <c r="D82" s="23"/>
      <c r="E82" s="23"/>
      <c r="F82" s="23"/>
    </row>
    <row r="83" spans="1:6" ht="15" customHeight="1">
      <c r="A83" s="23"/>
      <c r="B83" s="23"/>
      <c r="C83" s="23"/>
      <c r="D83" s="23"/>
      <c r="E83" s="23"/>
      <c r="F83" s="23"/>
    </row>
    <row r="84" spans="1:6" ht="15" customHeight="1">
      <c r="A84" s="23"/>
      <c r="B84" s="23"/>
      <c r="C84" s="23"/>
      <c r="D84" s="23"/>
      <c r="E84" s="23"/>
      <c r="F84" s="23"/>
    </row>
    <row r="85" spans="1:6" ht="15" customHeight="1">
      <c r="A85" s="23"/>
      <c r="B85" s="23"/>
      <c r="C85" s="23"/>
      <c r="D85" s="23"/>
      <c r="E85" s="23"/>
      <c r="F85" s="23"/>
    </row>
    <row r="86" spans="1:6" ht="15" customHeight="1">
      <c r="A86" s="23"/>
      <c r="B86" s="23"/>
      <c r="C86" s="23"/>
      <c r="D86" s="23"/>
      <c r="E86" s="23"/>
      <c r="F86" s="23"/>
    </row>
    <row r="87" spans="1:6" ht="15" customHeight="1">
      <c r="A87" s="23"/>
      <c r="B87" s="23"/>
      <c r="C87" s="23"/>
      <c r="D87" s="23"/>
      <c r="E87" s="23"/>
      <c r="F87" s="23"/>
    </row>
    <row r="88" spans="1:6" ht="15" customHeight="1">
      <c r="A88" s="23"/>
      <c r="B88" s="23"/>
      <c r="C88" s="23"/>
      <c r="D88" s="23"/>
      <c r="E88" s="23"/>
      <c r="F88" s="23"/>
    </row>
    <row r="89" spans="1:6" ht="15" customHeight="1">
      <c r="A89" s="23"/>
      <c r="B89" s="23"/>
      <c r="C89" s="23"/>
      <c r="D89" s="23"/>
      <c r="E89" s="23"/>
      <c r="F89" s="23"/>
    </row>
    <row r="90" spans="1:6" ht="15" customHeight="1">
      <c r="A90" s="23"/>
      <c r="B90" s="23"/>
      <c r="C90" s="23"/>
      <c r="D90" s="23"/>
      <c r="E90" s="23"/>
      <c r="F90" s="23"/>
    </row>
    <row r="91" spans="1:6" ht="15" customHeight="1">
      <c r="A91" s="23"/>
      <c r="B91" s="23"/>
      <c r="C91" s="23"/>
      <c r="D91" s="23"/>
      <c r="E91" s="23"/>
      <c r="F91" s="23"/>
    </row>
    <row r="92" spans="1:6" ht="15" customHeight="1">
      <c r="A92" s="23"/>
      <c r="B92" s="23"/>
      <c r="C92" s="23"/>
      <c r="D92" s="23"/>
      <c r="E92" s="23"/>
      <c r="F92" s="23"/>
    </row>
    <row r="93" spans="1:6" ht="15" customHeight="1">
      <c r="A93" s="23"/>
      <c r="B93" s="23"/>
      <c r="C93" s="23"/>
      <c r="D93" s="23"/>
      <c r="E93" s="23"/>
      <c r="F93" s="23"/>
    </row>
    <row r="94" spans="1:6" ht="15" customHeight="1">
      <c r="A94" s="23"/>
      <c r="B94" s="23"/>
      <c r="C94" s="23"/>
      <c r="D94" s="23"/>
      <c r="E94" s="23"/>
      <c r="F94" s="23"/>
    </row>
    <row r="95" spans="1:6" ht="15" customHeight="1">
      <c r="A95" s="23"/>
      <c r="B95" s="23"/>
      <c r="C95" s="23"/>
      <c r="D95" s="23"/>
      <c r="E95" s="23"/>
      <c r="F95" s="23"/>
    </row>
    <row r="96" spans="1:6" ht="15" customHeight="1">
      <c r="A96" s="23"/>
      <c r="B96" s="23"/>
      <c r="C96" s="23"/>
      <c r="D96" s="23"/>
      <c r="E96" s="23"/>
      <c r="F96" s="23"/>
    </row>
    <row r="97" spans="1:6" ht="15" customHeight="1">
      <c r="A97" s="23"/>
      <c r="B97" s="23"/>
      <c r="C97" s="23"/>
      <c r="D97" s="23"/>
      <c r="E97" s="23"/>
      <c r="F97" s="23"/>
    </row>
    <row r="98" spans="1:6" ht="15" customHeight="1">
      <c r="A98" s="23"/>
      <c r="B98" s="23"/>
      <c r="C98" s="23"/>
      <c r="D98" s="23"/>
      <c r="E98" s="23"/>
      <c r="F98" s="23"/>
    </row>
    <row r="99" spans="1:6" ht="15" customHeight="1">
      <c r="A99" s="23"/>
      <c r="B99" s="23"/>
      <c r="C99" s="23"/>
      <c r="D99" s="23"/>
      <c r="E99" s="23"/>
      <c r="F99" s="23"/>
    </row>
    <row r="100" spans="1:6" ht="15" customHeight="1">
      <c r="A100" s="23"/>
      <c r="B100" s="23"/>
      <c r="C100" s="23"/>
      <c r="D100" s="23"/>
      <c r="E100" s="23"/>
      <c r="F100" s="23"/>
    </row>
    <row r="101" spans="1:6" ht="15" customHeight="1">
      <c r="A101" s="23"/>
      <c r="B101" s="23"/>
      <c r="C101" s="23"/>
      <c r="D101" s="23"/>
      <c r="E101" s="23"/>
      <c r="F101" s="23"/>
    </row>
    <row r="102" spans="1:6" ht="15" customHeight="1">
      <c r="A102" s="23"/>
      <c r="B102" s="23"/>
      <c r="C102" s="23"/>
      <c r="D102" s="23"/>
      <c r="E102" s="23"/>
      <c r="F102" s="23"/>
    </row>
    <row r="103" spans="1:6" ht="15" customHeight="1">
      <c r="A103" s="23"/>
      <c r="B103" s="23"/>
      <c r="C103" s="23"/>
      <c r="D103" s="23"/>
      <c r="E103" s="23"/>
      <c r="F103" s="23"/>
    </row>
    <row r="104" spans="1:6" ht="15" customHeight="1">
      <c r="A104" s="23"/>
      <c r="B104" s="23"/>
      <c r="C104" s="23"/>
      <c r="D104" s="23"/>
      <c r="E104" s="23"/>
      <c r="F104" s="23"/>
    </row>
    <row r="105" spans="1:6" ht="15" customHeight="1">
      <c r="A105" s="23"/>
      <c r="B105" s="23"/>
      <c r="C105" s="23"/>
      <c r="D105" s="23"/>
      <c r="E105" s="23"/>
      <c r="F105" s="23"/>
    </row>
    <row r="106" spans="1:6" ht="15" customHeight="1">
      <c r="A106" s="23"/>
      <c r="B106" s="23"/>
      <c r="C106" s="23"/>
      <c r="D106" s="23"/>
      <c r="E106" s="23"/>
      <c r="F106" s="23"/>
    </row>
    <row r="107" spans="1:6" ht="15" customHeight="1">
      <c r="A107" s="23"/>
      <c r="B107" s="23"/>
      <c r="C107" s="23"/>
      <c r="D107" s="23"/>
      <c r="E107" s="23"/>
      <c r="F107" s="23"/>
    </row>
    <row r="108" spans="1:6" ht="15" customHeight="1">
      <c r="A108" s="23"/>
      <c r="B108" s="23"/>
      <c r="C108" s="23"/>
      <c r="D108" s="23"/>
      <c r="E108" s="23"/>
      <c r="F108" s="23"/>
    </row>
    <row r="109" spans="1:6" ht="15" customHeight="1">
      <c r="A109" s="23"/>
      <c r="B109" s="23"/>
      <c r="C109" s="23"/>
      <c r="D109" s="23"/>
      <c r="E109" s="23"/>
      <c r="F109" s="23"/>
    </row>
    <row r="110" spans="1:6" ht="15" customHeight="1">
      <c r="A110" s="23"/>
      <c r="B110" s="23"/>
      <c r="C110" s="23"/>
      <c r="D110" s="23"/>
      <c r="E110" s="23"/>
      <c r="F110" s="23"/>
    </row>
    <row r="111" spans="1:6" ht="15" customHeight="1">
      <c r="A111" s="23"/>
      <c r="B111" s="23"/>
      <c r="C111" s="23"/>
      <c r="D111" s="23"/>
      <c r="E111" s="23"/>
      <c r="F111" s="23"/>
    </row>
    <row r="112" spans="1:6" ht="15" customHeight="1">
      <c r="A112" s="23"/>
      <c r="B112" s="23"/>
      <c r="C112" s="23"/>
      <c r="D112" s="23"/>
      <c r="E112" s="23"/>
      <c r="F112" s="23"/>
    </row>
    <row r="113" spans="1:6" ht="15" customHeight="1">
      <c r="A113" s="23"/>
      <c r="B113" s="23"/>
      <c r="C113" s="23"/>
      <c r="D113" s="23"/>
      <c r="E113" s="23"/>
      <c r="F113" s="23"/>
    </row>
    <row r="114" spans="1:6" ht="15" customHeight="1">
      <c r="A114" s="23"/>
      <c r="B114" s="23"/>
      <c r="C114" s="23"/>
      <c r="D114" s="23"/>
      <c r="E114" s="23"/>
      <c r="F114" s="23"/>
    </row>
    <row r="115" spans="1:6" ht="15" customHeight="1">
      <c r="A115" s="23"/>
      <c r="B115" s="23"/>
      <c r="C115" s="23"/>
      <c r="D115" s="23"/>
      <c r="E115" s="23"/>
      <c r="F115" s="23"/>
    </row>
    <row r="116" spans="1:6" ht="15" customHeight="1">
      <c r="A116" s="23"/>
      <c r="B116" s="23"/>
      <c r="C116" s="23"/>
      <c r="D116" s="23"/>
      <c r="E116" s="23"/>
      <c r="F116" s="23"/>
    </row>
    <row r="117" spans="1:6" ht="15" customHeight="1">
      <c r="A117" s="23"/>
      <c r="B117" s="23"/>
      <c r="C117" s="23"/>
      <c r="D117" s="23"/>
      <c r="E117" s="23"/>
      <c r="F117" s="23"/>
    </row>
    <row r="118" spans="1:6" ht="15" customHeight="1">
      <c r="A118" s="23"/>
      <c r="B118" s="23"/>
      <c r="C118" s="23"/>
      <c r="D118" s="23"/>
      <c r="E118" s="23"/>
      <c r="F118" s="23"/>
    </row>
    <row r="119" spans="1:6" ht="15" customHeight="1">
      <c r="A119" s="23"/>
      <c r="B119" s="23"/>
      <c r="C119" s="23"/>
      <c r="D119" s="23"/>
      <c r="E119" s="23"/>
      <c r="F119" s="23"/>
    </row>
    <row r="120" spans="1:6" ht="15" customHeight="1">
      <c r="A120" s="23"/>
      <c r="B120" s="23"/>
      <c r="C120" s="23"/>
      <c r="D120" s="23"/>
      <c r="E120" s="23"/>
      <c r="F120" s="23"/>
    </row>
    <row r="121" spans="1:6" ht="15" customHeight="1">
      <c r="A121" s="23"/>
      <c r="B121" s="23"/>
      <c r="C121" s="23"/>
      <c r="D121" s="23"/>
      <c r="E121" s="23"/>
      <c r="F121" s="23"/>
    </row>
    <row r="122" spans="1:6" ht="15" customHeight="1">
      <c r="A122" s="23"/>
      <c r="B122" s="23"/>
      <c r="C122" s="23"/>
      <c r="D122" s="23"/>
      <c r="E122" s="23"/>
      <c r="F122" s="23"/>
    </row>
    <row r="123" spans="1:6" ht="15" customHeight="1">
      <c r="A123" s="23"/>
      <c r="B123" s="23"/>
      <c r="C123" s="23"/>
      <c r="D123" s="23"/>
      <c r="E123" s="23"/>
      <c r="F123" s="23"/>
    </row>
    <row r="124" spans="1:6" ht="15" customHeight="1">
      <c r="A124" s="23"/>
      <c r="B124" s="23"/>
      <c r="C124" s="23"/>
      <c r="D124" s="23"/>
      <c r="E124" s="23"/>
      <c r="F124" s="23"/>
    </row>
    <row r="125" spans="1:6" ht="15" customHeight="1">
      <c r="A125" s="23"/>
      <c r="B125" s="23"/>
      <c r="C125" s="23"/>
      <c r="D125" s="23"/>
      <c r="E125" s="23"/>
      <c r="F125" s="23"/>
    </row>
    <row r="126" spans="1:6" ht="15" customHeight="1">
      <c r="A126" s="23"/>
      <c r="B126" s="23"/>
      <c r="C126" s="23"/>
      <c r="D126" s="23"/>
      <c r="E126" s="23"/>
      <c r="F126" s="23"/>
    </row>
    <row r="127" spans="1:6" ht="15" customHeight="1">
      <c r="A127" s="23"/>
      <c r="B127" s="23"/>
      <c r="C127" s="23"/>
      <c r="D127" s="23"/>
      <c r="E127" s="23"/>
      <c r="F127" s="23"/>
    </row>
    <row r="128" spans="1:6" ht="15" customHeight="1">
      <c r="A128" s="23"/>
      <c r="B128" s="23"/>
      <c r="C128" s="23"/>
      <c r="D128" s="23"/>
      <c r="E128" s="23"/>
      <c r="F128" s="23"/>
    </row>
    <row r="129" spans="1:6" ht="15" customHeight="1">
      <c r="A129" s="23"/>
      <c r="B129" s="23"/>
      <c r="C129" s="23"/>
      <c r="D129" s="23"/>
      <c r="E129" s="23"/>
      <c r="F129" s="23"/>
    </row>
    <row r="130" spans="1:6" ht="15" customHeight="1">
      <c r="A130" s="23"/>
      <c r="B130" s="23"/>
      <c r="C130" s="23"/>
      <c r="D130" s="23"/>
      <c r="E130" s="23"/>
      <c r="F130" s="23"/>
    </row>
    <row r="131" spans="1:6" ht="15" customHeight="1">
      <c r="A131" s="23"/>
      <c r="B131" s="23"/>
      <c r="C131" s="23"/>
      <c r="D131" s="23"/>
      <c r="E131" s="23"/>
      <c r="F131" s="23"/>
    </row>
    <row r="132" spans="1:6" ht="15" customHeight="1">
      <c r="A132" s="23"/>
      <c r="B132" s="23"/>
      <c r="C132" s="23"/>
      <c r="D132" s="23"/>
      <c r="E132" s="23"/>
      <c r="F132" s="23"/>
    </row>
    <row r="133" spans="1:6" ht="15" customHeight="1">
      <c r="A133" s="23"/>
      <c r="B133" s="23"/>
      <c r="C133" s="23"/>
      <c r="D133" s="23"/>
      <c r="E133" s="23"/>
      <c r="F133" s="23"/>
    </row>
    <row r="134" spans="1:6" ht="15" customHeight="1">
      <c r="A134" s="23"/>
      <c r="B134" s="23"/>
      <c r="C134" s="23"/>
      <c r="D134" s="23"/>
      <c r="E134" s="23"/>
      <c r="F134" s="23"/>
    </row>
    <row r="135" spans="1:6" ht="15" customHeight="1">
      <c r="A135" s="23"/>
      <c r="B135" s="23"/>
      <c r="C135" s="23"/>
      <c r="D135" s="23"/>
      <c r="E135" s="23"/>
      <c r="F135" s="23"/>
    </row>
    <row r="136" spans="1:6" ht="15" customHeight="1">
      <c r="A136" s="23"/>
      <c r="B136" s="23"/>
      <c r="C136" s="23"/>
      <c r="D136" s="23"/>
      <c r="E136" s="23"/>
      <c r="F136" s="23"/>
    </row>
    <row r="137" spans="1:6" ht="15" customHeight="1">
      <c r="A137" s="23"/>
      <c r="B137" s="23"/>
      <c r="C137" s="23"/>
      <c r="D137" s="23"/>
      <c r="E137" s="23"/>
      <c r="F137" s="23"/>
    </row>
    <row r="138" spans="1:6" ht="15" customHeight="1">
      <c r="A138" s="23"/>
      <c r="B138" s="23"/>
      <c r="C138" s="23"/>
      <c r="D138" s="23"/>
      <c r="E138" s="23"/>
      <c r="F138" s="23"/>
    </row>
    <row r="139" spans="1:6" ht="15" customHeight="1">
      <c r="A139" s="23"/>
      <c r="B139" s="23"/>
      <c r="C139" s="23"/>
      <c r="D139" s="23"/>
      <c r="E139" s="23"/>
      <c r="F139" s="23"/>
    </row>
    <row r="140" spans="1:6" ht="15" customHeight="1">
      <c r="A140" s="23"/>
      <c r="B140" s="23"/>
      <c r="C140" s="23"/>
      <c r="D140" s="23"/>
      <c r="E140" s="23"/>
      <c r="F140" s="23"/>
    </row>
    <row r="141" spans="1:6" ht="15" customHeight="1">
      <c r="A141" s="23"/>
      <c r="B141" s="23"/>
      <c r="C141" s="23"/>
      <c r="D141" s="23"/>
      <c r="E141" s="23"/>
      <c r="F141" s="23"/>
    </row>
    <row r="142" spans="1:6" ht="15" customHeight="1">
      <c r="A142" s="23"/>
      <c r="B142" s="23"/>
      <c r="C142" s="23"/>
      <c r="D142" s="23"/>
      <c r="E142" s="23"/>
      <c r="F142" s="23"/>
    </row>
    <row r="143" spans="1:6" ht="15" customHeight="1">
      <c r="A143" s="23"/>
      <c r="B143" s="23"/>
      <c r="C143" s="23"/>
      <c r="D143" s="23"/>
      <c r="E143" s="23"/>
      <c r="F143" s="23"/>
    </row>
    <row r="144" spans="1:6" ht="15" customHeight="1">
      <c r="A144" s="23"/>
      <c r="B144" s="23"/>
      <c r="C144" s="23"/>
      <c r="D144" s="23"/>
      <c r="E144" s="23"/>
      <c r="F144" s="23"/>
    </row>
    <row r="145" spans="1:6" ht="15" customHeight="1">
      <c r="A145" s="23"/>
      <c r="B145" s="23"/>
      <c r="C145" s="23"/>
      <c r="D145" s="23"/>
      <c r="E145" s="23"/>
      <c r="F145" s="23"/>
    </row>
    <row r="146" spans="1:6" ht="15" customHeight="1">
      <c r="A146" s="23"/>
      <c r="B146" s="23"/>
      <c r="C146" s="23"/>
      <c r="D146" s="23"/>
      <c r="E146" s="23"/>
      <c r="F146" s="23"/>
    </row>
    <row r="147" spans="1:6" ht="15" customHeight="1">
      <c r="A147" s="23"/>
      <c r="B147" s="23"/>
      <c r="C147" s="23"/>
      <c r="D147" s="23"/>
      <c r="E147" s="23"/>
      <c r="F147" s="23"/>
    </row>
    <row r="148" spans="1:6" ht="15" customHeight="1">
      <c r="A148" s="23"/>
      <c r="B148" s="23"/>
      <c r="C148" s="23"/>
      <c r="D148" s="23"/>
      <c r="E148" s="23"/>
      <c r="F148" s="23"/>
    </row>
    <row r="149" spans="1:6" ht="15" customHeight="1">
      <c r="A149" s="23"/>
      <c r="B149" s="23"/>
      <c r="C149" s="23"/>
      <c r="D149" s="23"/>
      <c r="E149" s="23"/>
      <c r="F149" s="23"/>
    </row>
    <row r="150" spans="1:6" ht="15" customHeight="1">
      <c r="A150" s="23"/>
      <c r="B150" s="23"/>
      <c r="C150" s="23"/>
      <c r="D150" s="23"/>
      <c r="E150" s="23"/>
      <c r="F150" s="23"/>
    </row>
    <row r="151" spans="1:6" ht="15" customHeight="1">
      <c r="A151" s="23"/>
      <c r="B151" s="23"/>
      <c r="C151" s="23"/>
      <c r="D151" s="23"/>
      <c r="E151" s="23"/>
      <c r="F151" s="23"/>
    </row>
    <row r="152" spans="1:6" ht="15" customHeight="1">
      <c r="A152" s="23"/>
      <c r="B152" s="23"/>
      <c r="C152" s="23"/>
      <c r="D152" s="23"/>
      <c r="E152" s="23"/>
      <c r="F152" s="23"/>
    </row>
    <row r="153" spans="1:6" ht="15" customHeight="1">
      <c r="A153" s="23"/>
      <c r="B153" s="23"/>
      <c r="C153" s="23"/>
      <c r="D153" s="23"/>
      <c r="E153" s="23"/>
      <c r="F153" s="23"/>
    </row>
    <row r="154" spans="1:6" ht="15" customHeight="1">
      <c r="A154" s="23"/>
      <c r="B154" s="23"/>
      <c r="C154" s="23"/>
      <c r="D154" s="23"/>
      <c r="E154" s="23"/>
      <c r="F154" s="23"/>
    </row>
    <row r="155" spans="1:6" ht="15" customHeight="1">
      <c r="A155" s="23"/>
      <c r="B155" s="23"/>
      <c r="C155" s="23"/>
      <c r="D155" s="23"/>
      <c r="E155" s="23"/>
      <c r="F155" s="23"/>
    </row>
    <row r="156" spans="1:6" ht="15" customHeight="1">
      <c r="A156" s="23"/>
      <c r="B156" s="23"/>
      <c r="C156" s="23"/>
      <c r="D156" s="23"/>
      <c r="E156" s="23"/>
      <c r="F156" s="23"/>
    </row>
    <row r="157" spans="1:6" ht="15" customHeight="1">
      <c r="A157" s="23"/>
      <c r="B157" s="23"/>
      <c r="C157" s="23"/>
      <c r="D157" s="23"/>
      <c r="E157" s="23"/>
      <c r="F157" s="23"/>
    </row>
    <row r="158" spans="1:6" ht="15" customHeight="1">
      <c r="A158" s="23"/>
      <c r="B158" s="23"/>
      <c r="C158" s="23"/>
      <c r="D158" s="23"/>
      <c r="E158" s="23"/>
      <c r="F158" s="23"/>
    </row>
    <row r="159" spans="1:6" ht="15" customHeight="1">
      <c r="A159" s="23"/>
      <c r="B159" s="23"/>
      <c r="C159" s="23"/>
      <c r="D159" s="23"/>
      <c r="E159" s="23"/>
      <c r="F159" s="23"/>
    </row>
    <row r="160" spans="1:6" ht="15" customHeight="1">
      <c r="A160" s="23"/>
      <c r="B160" s="23"/>
      <c r="C160" s="23"/>
      <c r="D160" s="23"/>
      <c r="E160" s="23"/>
      <c r="F160" s="23"/>
    </row>
    <row r="161" spans="1:6" ht="15" customHeight="1">
      <c r="A161" s="23"/>
      <c r="B161" s="23"/>
      <c r="C161" s="23"/>
      <c r="D161" s="23"/>
      <c r="E161" s="23"/>
      <c r="F161" s="23"/>
    </row>
    <row r="162" spans="1:6" ht="15" customHeight="1">
      <c r="A162" s="23"/>
      <c r="B162" s="23"/>
      <c r="C162" s="23"/>
      <c r="D162" s="23"/>
      <c r="E162" s="23"/>
      <c r="F162" s="23"/>
    </row>
    <row r="163" spans="1:6" ht="15" customHeight="1">
      <c r="A163" s="23"/>
      <c r="B163" s="23"/>
      <c r="C163" s="23"/>
      <c r="D163" s="23"/>
      <c r="E163" s="23"/>
      <c r="F163" s="23"/>
    </row>
    <row r="164" spans="1:6" ht="15" customHeight="1">
      <c r="A164" s="23"/>
      <c r="B164" s="23"/>
      <c r="C164" s="23"/>
      <c r="D164" s="23"/>
      <c r="E164" s="23"/>
      <c r="F164" s="23"/>
    </row>
    <row r="165" spans="1:6" ht="15" customHeight="1">
      <c r="A165" s="23"/>
      <c r="B165" s="23"/>
      <c r="C165" s="23"/>
      <c r="D165" s="23"/>
      <c r="E165" s="23"/>
      <c r="F165" s="23"/>
    </row>
    <row r="166" spans="1:6" ht="15" customHeight="1">
      <c r="A166" s="23"/>
      <c r="B166" s="23"/>
      <c r="C166" s="23"/>
      <c r="D166" s="23"/>
      <c r="E166" s="23"/>
      <c r="F166" s="23"/>
    </row>
    <row r="167" spans="1:6" ht="15" customHeight="1">
      <c r="A167" s="23"/>
      <c r="B167" s="23"/>
      <c r="C167" s="23"/>
      <c r="D167" s="23"/>
      <c r="E167" s="23"/>
      <c r="F167" s="23"/>
    </row>
    <row r="168" spans="1:6" ht="15" customHeight="1">
      <c r="A168" s="23"/>
      <c r="B168" s="23"/>
      <c r="C168" s="23"/>
      <c r="D168" s="23"/>
      <c r="E168" s="23"/>
      <c r="F168" s="23"/>
    </row>
    <row r="169" spans="1:6" ht="15" customHeight="1">
      <c r="A169" s="23"/>
      <c r="B169" s="23"/>
      <c r="C169" s="23"/>
      <c r="D169" s="23"/>
      <c r="E169" s="23"/>
      <c r="F169" s="23"/>
    </row>
    <row r="170" spans="1:6" ht="15" customHeight="1">
      <c r="A170" s="23"/>
      <c r="B170" s="23"/>
      <c r="C170" s="23"/>
      <c r="D170" s="23"/>
      <c r="E170" s="23"/>
      <c r="F170" s="23"/>
    </row>
    <row r="171" spans="1:6" ht="15" customHeight="1">
      <c r="A171" s="23"/>
      <c r="B171" s="23"/>
      <c r="C171" s="23"/>
      <c r="D171" s="23"/>
      <c r="E171" s="23"/>
      <c r="F171" s="23"/>
    </row>
    <row r="172" spans="1:6" ht="15" customHeight="1">
      <c r="A172" s="23"/>
      <c r="B172" s="23"/>
      <c r="C172" s="23"/>
      <c r="D172" s="23"/>
      <c r="E172" s="23"/>
      <c r="F172" s="23"/>
    </row>
    <row r="173" spans="1:6" ht="15" customHeight="1">
      <c r="A173" s="23"/>
      <c r="B173" s="23"/>
      <c r="C173" s="23"/>
      <c r="D173" s="23"/>
      <c r="E173" s="23"/>
      <c r="F173" s="23"/>
    </row>
    <row r="174" spans="1:6" ht="15" customHeight="1">
      <c r="A174" s="23"/>
      <c r="B174" s="23"/>
      <c r="C174" s="23"/>
      <c r="D174" s="23"/>
      <c r="E174" s="23"/>
      <c r="F174" s="23"/>
    </row>
    <row r="175" spans="1:6" ht="15" customHeight="1">
      <c r="A175" s="23"/>
      <c r="B175" s="23"/>
      <c r="C175" s="23"/>
      <c r="D175" s="23"/>
      <c r="E175" s="23"/>
      <c r="F175" s="23"/>
    </row>
    <row r="176" spans="1:6" ht="15" customHeight="1">
      <c r="A176" s="23"/>
      <c r="B176" s="23"/>
      <c r="C176" s="23"/>
      <c r="D176" s="23"/>
      <c r="E176" s="23"/>
      <c r="F176" s="23"/>
    </row>
    <row r="177" spans="1:6" ht="15" customHeight="1">
      <c r="A177" s="23"/>
      <c r="B177" s="23"/>
      <c r="C177" s="23"/>
      <c r="D177" s="23"/>
      <c r="E177" s="23"/>
      <c r="F177" s="23"/>
    </row>
    <row r="178" spans="1:6" ht="15" customHeight="1">
      <c r="A178" s="23"/>
      <c r="B178" s="23"/>
      <c r="C178" s="23"/>
      <c r="D178" s="23"/>
      <c r="E178" s="23"/>
      <c r="F178" s="23"/>
    </row>
    <row r="179" spans="1:6" ht="15" customHeight="1">
      <c r="A179" s="23"/>
      <c r="B179" s="23"/>
      <c r="C179" s="23"/>
      <c r="D179" s="23"/>
      <c r="E179" s="23"/>
      <c r="F179" s="23"/>
    </row>
    <row r="180" spans="1:6" ht="15" customHeight="1">
      <c r="A180" s="23"/>
      <c r="B180" s="23"/>
      <c r="C180" s="23"/>
      <c r="D180" s="23"/>
      <c r="E180" s="23"/>
      <c r="F180" s="23"/>
    </row>
    <row r="181" spans="1:6" ht="15" customHeight="1">
      <c r="A181" s="23"/>
      <c r="B181" s="23"/>
      <c r="C181" s="23"/>
      <c r="D181" s="23"/>
      <c r="E181" s="23"/>
      <c r="F181" s="23"/>
    </row>
    <row r="182" spans="1:6" ht="15" customHeight="1">
      <c r="A182" s="23"/>
      <c r="B182" s="23"/>
      <c r="C182" s="23"/>
      <c r="D182" s="23"/>
      <c r="E182" s="23"/>
      <c r="F182" s="23"/>
    </row>
    <row r="183" spans="1:6" ht="15" customHeight="1">
      <c r="A183" s="23"/>
      <c r="B183" s="23"/>
      <c r="C183" s="23"/>
      <c r="D183" s="23"/>
      <c r="E183" s="23"/>
      <c r="F183" s="23"/>
    </row>
    <row r="184" spans="1:6" ht="15" customHeight="1">
      <c r="A184" s="23"/>
      <c r="B184" s="23"/>
      <c r="C184" s="23"/>
      <c r="D184" s="23"/>
      <c r="E184" s="23"/>
      <c r="F184" s="23"/>
    </row>
    <row r="185" spans="1:6" ht="15" customHeight="1">
      <c r="A185" s="23"/>
      <c r="B185" s="23"/>
      <c r="C185" s="23"/>
      <c r="D185" s="23"/>
      <c r="E185" s="23"/>
      <c r="F185" s="23"/>
    </row>
    <row r="186" spans="1:6" ht="15" customHeight="1">
      <c r="A186" s="23"/>
      <c r="B186" s="23"/>
      <c r="C186" s="23"/>
      <c r="D186" s="23"/>
      <c r="E186" s="23"/>
      <c r="F186" s="23"/>
    </row>
    <row r="187" spans="1:6" ht="15" customHeight="1">
      <c r="A187" s="23"/>
      <c r="B187" s="23"/>
      <c r="C187" s="23"/>
      <c r="D187" s="23"/>
      <c r="E187" s="23"/>
      <c r="F187" s="23"/>
    </row>
    <row r="188" spans="1:6" ht="15" customHeight="1">
      <c r="A188" s="23"/>
      <c r="B188" s="23"/>
      <c r="C188" s="23"/>
      <c r="D188" s="23"/>
      <c r="E188" s="23"/>
      <c r="F188" s="23"/>
    </row>
    <row r="189" spans="1:6" ht="15" customHeight="1">
      <c r="A189" s="23"/>
      <c r="B189" s="23"/>
      <c r="C189" s="23"/>
      <c r="D189" s="23"/>
      <c r="E189" s="23"/>
      <c r="F189" s="23"/>
    </row>
    <row r="190" spans="1:6" ht="15" customHeight="1">
      <c r="A190" s="23"/>
      <c r="B190" s="23"/>
      <c r="C190" s="23"/>
      <c r="D190" s="23"/>
      <c r="E190" s="23"/>
      <c r="F190" s="23"/>
    </row>
    <row r="191" spans="1:6" ht="15" customHeight="1">
      <c r="A191" s="23"/>
      <c r="B191" s="23"/>
      <c r="C191" s="23"/>
      <c r="D191" s="23"/>
      <c r="E191" s="23"/>
      <c r="F191" s="23"/>
    </row>
    <row r="192" spans="1:6" ht="15" customHeight="1">
      <c r="A192" s="23"/>
      <c r="B192" s="23"/>
      <c r="C192" s="23"/>
      <c r="D192" s="23"/>
      <c r="E192" s="23"/>
      <c r="F192" s="23"/>
    </row>
    <row r="193" spans="1:6" ht="15" customHeight="1">
      <c r="A193" s="23"/>
      <c r="B193" s="23"/>
      <c r="C193" s="23"/>
      <c r="D193" s="23"/>
      <c r="E193" s="23"/>
      <c r="F193" s="23"/>
    </row>
    <row r="194" spans="1:6" ht="15" customHeight="1">
      <c r="A194" s="23"/>
      <c r="B194" s="23"/>
      <c r="C194" s="23"/>
      <c r="D194" s="23"/>
      <c r="E194" s="23"/>
      <c r="F194" s="23"/>
    </row>
    <row r="195" spans="1:6" ht="15" customHeight="1">
      <c r="A195" s="23"/>
      <c r="B195" s="23"/>
      <c r="C195" s="23"/>
      <c r="D195" s="23"/>
      <c r="E195" s="23"/>
      <c r="F195" s="23"/>
    </row>
    <row r="196" spans="1:6" ht="15" customHeight="1">
      <c r="A196" s="23"/>
      <c r="B196" s="23"/>
      <c r="C196" s="23"/>
      <c r="D196" s="23"/>
      <c r="E196" s="23"/>
      <c r="F196" s="23"/>
    </row>
    <row r="197" spans="1:6" ht="15" customHeight="1">
      <c r="A197" s="23"/>
      <c r="B197" s="23"/>
      <c r="C197" s="23"/>
      <c r="D197" s="23"/>
      <c r="E197" s="23"/>
      <c r="F197" s="23"/>
    </row>
    <row r="198" spans="1:6" ht="15" customHeight="1">
      <c r="A198" s="23"/>
      <c r="B198" s="23"/>
      <c r="C198" s="23"/>
      <c r="D198" s="23"/>
      <c r="E198" s="23"/>
      <c r="F198" s="23"/>
    </row>
    <row r="199" spans="1:6" ht="15" customHeight="1">
      <c r="A199" s="23"/>
      <c r="B199" s="23"/>
      <c r="C199" s="23"/>
      <c r="D199" s="23"/>
      <c r="E199" s="23"/>
      <c r="F199" s="23"/>
    </row>
    <row r="200" spans="1:6" ht="15" customHeight="1">
      <c r="A200" s="23"/>
      <c r="B200" s="23"/>
      <c r="C200" s="23"/>
      <c r="D200" s="23"/>
      <c r="E200" s="23"/>
      <c r="F200" s="23"/>
    </row>
    <row r="201" spans="1:6" ht="15" customHeight="1">
      <c r="A201" s="23"/>
      <c r="B201" s="23"/>
      <c r="C201" s="23"/>
      <c r="D201" s="23"/>
      <c r="E201" s="23"/>
      <c r="F201" s="23"/>
    </row>
    <row r="202" spans="1:6" ht="15" customHeight="1">
      <c r="A202" s="23"/>
      <c r="B202" s="23"/>
      <c r="C202" s="23"/>
      <c r="D202" s="23"/>
      <c r="E202" s="23"/>
      <c r="F202" s="23"/>
    </row>
    <row r="203" spans="1:6" ht="15" customHeight="1">
      <c r="A203" s="23"/>
      <c r="B203" s="23"/>
      <c r="C203" s="23"/>
      <c r="D203" s="23"/>
      <c r="E203" s="23"/>
      <c r="F203" s="23"/>
    </row>
    <row r="204" spans="1:6" ht="15" customHeight="1">
      <c r="A204" s="23"/>
      <c r="B204" s="23"/>
      <c r="C204" s="23"/>
      <c r="D204" s="23"/>
      <c r="E204" s="23"/>
      <c r="F204" s="23"/>
    </row>
    <row r="205" spans="1:6" ht="15" customHeight="1">
      <c r="A205" s="23"/>
      <c r="B205" s="23"/>
      <c r="C205" s="23"/>
      <c r="D205" s="23"/>
      <c r="E205" s="23"/>
      <c r="F205" s="23"/>
    </row>
    <row r="206" spans="1:6" ht="15" customHeight="1">
      <c r="A206" s="23"/>
      <c r="B206" s="23"/>
      <c r="C206" s="23"/>
      <c r="D206" s="23"/>
      <c r="E206" s="23"/>
      <c r="F206" s="23"/>
    </row>
    <row r="207" spans="1:6" ht="15" customHeight="1">
      <c r="A207" s="23"/>
      <c r="B207" s="23"/>
      <c r="C207" s="23"/>
      <c r="D207" s="23"/>
      <c r="E207" s="23"/>
      <c r="F207" s="23"/>
    </row>
    <row r="208" spans="1:6" ht="15" customHeight="1">
      <c r="A208" s="23"/>
      <c r="B208" s="23"/>
      <c r="C208" s="23"/>
      <c r="D208" s="23"/>
      <c r="E208" s="23"/>
      <c r="F208" s="23"/>
    </row>
    <row r="209" spans="1:6" ht="15" customHeight="1">
      <c r="A209" s="23"/>
      <c r="B209" s="23"/>
      <c r="C209" s="23"/>
      <c r="D209" s="23"/>
      <c r="E209" s="23"/>
      <c r="F209" s="23"/>
    </row>
    <row r="210" spans="1:6" ht="15" customHeight="1">
      <c r="A210" s="23"/>
      <c r="B210" s="23"/>
      <c r="C210" s="23"/>
      <c r="D210" s="23"/>
      <c r="E210" s="23"/>
      <c r="F210" s="23"/>
    </row>
    <row r="211" spans="1:6" ht="15" customHeight="1">
      <c r="A211" s="23"/>
      <c r="B211" s="23"/>
      <c r="C211" s="23"/>
      <c r="D211" s="23"/>
      <c r="E211" s="23"/>
      <c r="F211" s="23"/>
    </row>
    <row r="212" spans="1:6" ht="15" customHeight="1">
      <c r="A212" s="23"/>
      <c r="B212" s="23"/>
      <c r="C212" s="23"/>
      <c r="D212" s="23"/>
      <c r="E212" s="23"/>
      <c r="F212" s="23"/>
    </row>
    <row r="213" spans="1:6" ht="15" customHeight="1">
      <c r="A213" s="23"/>
      <c r="B213" s="23"/>
      <c r="C213" s="23"/>
      <c r="D213" s="23"/>
      <c r="E213" s="23"/>
      <c r="F213" s="23"/>
    </row>
    <row r="214" spans="1:6" ht="15" customHeight="1">
      <c r="A214" s="23"/>
      <c r="B214" s="23"/>
      <c r="C214" s="23"/>
      <c r="D214" s="23"/>
      <c r="E214" s="23"/>
      <c r="F214" s="23"/>
    </row>
    <row r="215" spans="1:6" ht="15" customHeight="1">
      <c r="A215" s="23"/>
      <c r="B215" s="23"/>
      <c r="C215" s="23"/>
      <c r="D215" s="23"/>
      <c r="E215" s="23"/>
      <c r="F215" s="23"/>
    </row>
    <row r="216" spans="1:6" ht="15" customHeight="1">
      <c r="A216" s="23"/>
      <c r="B216" s="23"/>
      <c r="C216" s="23"/>
      <c r="D216" s="23"/>
      <c r="E216" s="23"/>
      <c r="F216" s="23"/>
    </row>
    <row r="217" spans="1:6" ht="15" customHeight="1">
      <c r="A217" s="23"/>
      <c r="B217" s="23"/>
      <c r="C217" s="23"/>
      <c r="D217" s="23"/>
      <c r="E217" s="23"/>
      <c r="F217" s="23"/>
    </row>
    <row r="218" spans="1:6" ht="15" customHeight="1">
      <c r="A218" s="23"/>
      <c r="B218" s="23"/>
      <c r="C218" s="23"/>
      <c r="D218" s="23"/>
      <c r="E218" s="23"/>
      <c r="F218" s="23"/>
    </row>
    <row r="219" spans="1:6" ht="15" customHeight="1">
      <c r="A219" s="23"/>
      <c r="B219" s="23"/>
      <c r="C219" s="23"/>
      <c r="D219" s="23"/>
      <c r="E219" s="23"/>
      <c r="F219" s="23"/>
    </row>
    <row r="220" spans="1:6" ht="15" customHeight="1">
      <c r="A220" s="23"/>
      <c r="B220" s="23"/>
      <c r="C220" s="23"/>
      <c r="D220" s="23"/>
      <c r="E220" s="23"/>
      <c r="F220" s="23"/>
    </row>
    <row r="221" spans="1:6" ht="409.5" customHeight="1">
      <c r="A221" s="23"/>
      <c r="B221" s="23"/>
      <c r="C221" s="23"/>
      <c r="D221" s="23"/>
      <c r="E221" s="23"/>
      <c r="F221" s="47" t="s">
        <v>3783</v>
      </c>
    </row>
  </sheetData>
  <mergeCells count="6">
    <mergeCell ref="A11:F11"/>
    <mergeCell ref="A3:F3"/>
    <mergeCell ref="A1:F1"/>
    <mergeCell ref="A37:F37"/>
    <mergeCell ref="A26:F26"/>
    <mergeCell ref="A20:F20"/>
  </mergeCells>
  <pageMargins left="0.7" right="0.7" top="0.75" bottom="0.75"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64"/>
  <sheetViews>
    <sheetView topLeftCell="A23" zoomScaleNormal="100" workbookViewId="0">
      <selection activeCell="B35" sqref="B35"/>
    </sheetView>
  </sheetViews>
  <sheetFormatPr defaultColWidth="9.140625" defaultRowHeight="15"/>
  <cols>
    <col min="1" max="2" width="65" style="47" customWidth="1"/>
    <col min="3" max="20" width="9.140625" style="47" customWidth="1"/>
    <col min="21" max="16384" width="9.140625" style="47"/>
  </cols>
  <sheetData>
    <row r="1" spans="1:2" s="96" customFormat="1" ht="13.5" customHeight="1">
      <c r="A1" s="95" t="s">
        <v>3784</v>
      </c>
      <c r="B1" s="95" t="s">
        <v>3785</v>
      </c>
    </row>
    <row r="2" spans="1:2" ht="15" customHeight="1">
      <c r="A2" s="97" t="s">
        <v>3786</v>
      </c>
      <c r="B2" s="98">
        <v>46093</v>
      </c>
    </row>
    <row r="3" spans="1:2" ht="15" customHeight="1">
      <c r="A3" s="99" t="s">
        <v>3787</v>
      </c>
      <c r="B3" s="100" t="s">
        <v>3788</v>
      </c>
    </row>
    <row r="4" spans="1:2" ht="15" customHeight="1">
      <c r="A4" s="97" t="s">
        <v>11</v>
      </c>
      <c r="B4" s="101" t="s">
        <v>3789</v>
      </c>
    </row>
    <row r="5" spans="1:2" ht="27" customHeight="1">
      <c r="A5" s="102" t="s">
        <v>3790</v>
      </c>
      <c r="B5" s="100" t="s">
        <v>3791</v>
      </c>
    </row>
    <row r="6" spans="1:2" ht="15" customHeight="1">
      <c r="A6" s="103" t="s">
        <v>3792</v>
      </c>
      <c r="B6" s="101" t="s">
        <v>3793</v>
      </c>
    </row>
    <row r="7" spans="1:2" ht="15" customHeight="1">
      <c r="A7" s="102" t="s">
        <v>3794</v>
      </c>
      <c r="B7" s="100" t="s">
        <v>3795</v>
      </c>
    </row>
    <row r="8" spans="1:2" ht="27" customHeight="1">
      <c r="A8" s="103" t="s">
        <v>3796</v>
      </c>
      <c r="B8" s="101" t="s">
        <v>3797</v>
      </c>
    </row>
    <row r="9" spans="1:2" ht="15" customHeight="1">
      <c r="A9" s="102" t="s">
        <v>3798</v>
      </c>
      <c r="B9" s="100" t="s">
        <v>3799</v>
      </c>
    </row>
    <row r="10" spans="1:2" ht="15" customHeight="1">
      <c r="A10" s="97"/>
      <c r="B10" s="101" t="s">
        <v>3800</v>
      </c>
    </row>
    <row r="11" spans="1:2" ht="15" customHeight="1">
      <c r="A11" s="102" t="s">
        <v>3801</v>
      </c>
      <c r="B11" s="100" t="s">
        <v>3802</v>
      </c>
    </row>
    <row r="12" spans="1:2" ht="27" customHeight="1">
      <c r="A12" s="103" t="s">
        <v>3803</v>
      </c>
      <c r="B12" s="101" t="s">
        <v>3804</v>
      </c>
    </row>
    <row r="13" spans="1:2" ht="27" customHeight="1">
      <c r="A13" s="102" t="s">
        <v>3805</v>
      </c>
      <c r="B13" s="100" t="s">
        <v>3806</v>
      </c>
    </row>
    <row r="14" spans="1:2" ht="15" customHeight="1">
      <c r="A14" s="97" t="s">
        <v>3807</v>
      </c>
      <c r="B14" s="101" t="s">
        <v>3808</v>
      </c>
    </row>
    <row r="15" spans="1:2" ht="15" customHeight="1">
      <c r="A15" s="99" t="s">
        <v>3809</v>
      </c>
      <c r="B15" s="100" t="s">
        <v>3810</v>
      </c>
    </row>
    <row r="16" spans="1:2" ht="15" customHeight="1">
      <c r="A16" s="97" t="s">
        <v>3811</v>
      </c>
      <c r="B16" s="101" t="s">
        <v>3812</v>
      </c>
    </row>
    <row r="17" spans="1:2" ht="15" customHeight="1">
      <c r="A17" s="99" t="s">
        <v>3813</v>
      </c>
      <c r="B17" s="100" t="s">
        <v>3814</v>
      </c>
    </row>
    <row r="18" spans="1:2" ht="15" customHeight="1">
      <c r="A18" s="97" t="s">
        <v>3815</v>
      </c>
      <c r="B18" s="101" t="s">
        <v>3816</v>
      </c>
    </row>
    <row r="19" spans="1:2" ht="15" customHeight="1">
      <c r="A19" s="99" t="s">
        <v>3817</v>
      </c>
      <c r="B19" s="100" t="s">
        <v>3818</v>
      </c>
    </row>
    <row r="20" spans="1:2" ht="15" customHeight="1">
      <c r="A20" s="97" t="s">
        <v>3819</v>
      </c>
      <c r="B20" s="101" t="s">
        <v>3820</v>
      </c>
    </row>
    <row r="21" spans="1:2" ht="40.5" customHeight="1">
      <c r="A21" s="99"/>
      <c r="B21" s="100" t="s">
        <v>3821</v>
      </c>
    </row>
    <row r="22" spans="1:2" ht="27" customHeight="1">
      <c r="A22" s="97" t="s">
        <v>3822</v>
      </c>
      <c r="B22" s="101" t="s">
        <v>3823</v>
      </c>
    </row>
    <row r="23" spans="1:2" ht="15" customHeight="1">
      <c r="A23" s="99"/>
      <c r="B23" s="100" t="s">
        <v>3824</v>
      </c>
    </row>
    <row r="24" spans="1:2" ht="27" customHeight="1">
      <c r="A24" s="103" t="s">
        <v>3825</v>
      </c>
      <c r="B24" s="101" t="s">
        <v>3826</v>
      </c>
    </row>
    <row r="25" spans="1:2" ht="27" customHeight="1">
      <c r="A25" s="102" t="s">
        <v>3825</v>
      </c>
      <c r="B25" s="100" t="s">
        <v>3827</v>
      </c>
    </row>
    <row r="26" spans="1:2" ht="27" customHeight="1">
      <c r="A26" s="103" t="s">
        <v>3825</v>
      </c>
      <c r="B26" s="101" t="s">
        <v>3828</v>
      </c>
    </row>
    <row r="27" spans="1:2" ht="27" customHeight="1">
      <c r="A27" s="102" t="s">
        <v>3825</v>
      </c>
      <c r="B27" s="100" t="s">
        <v>3829</v>
      </c>
    </row>
    <row r="28" spans="1:2" ht="27" customHeight="1">
      <c r="A28" s="103" t="s">
        <v>3825</v>
      </c>
      <c r="B28" s="101" t="s">
        <v>3830</v>
      </c>
    </row>
    <row r="29" spans="1:2" ht="27" customHeight="1">
      <c r="A29" s="102" t="s">
        <v>3825</v>
      </c>
      <c r="B29" s="100" t="s">
        <v>3831</v>
      </c>
    </row>
    <row r="30" spans="1:2" ht="27" customHeight="1">
      <c r="A30" s="103" t="s">
        <v>3825</v>
      </c>
      <c r="B30" s="101" t="s">
        <v>3832</v>
      </c>
    </row>
    <row r="31" spans="1:2" ht="27" customHeight="1">
      <c r="A31" s="102" t="s">
        <v>3825</v>
      </c>
      <c r="B31" s="100" t="s">
        <v>3833</v>
      </c>
    </row>
    <row r="32" spans="1:2" ht="27" customHeight="1">
      <c r="A32" s="103" t="s">
        <v>3825</v>
      </c>
      <c r="B32" s="101" t="s">
        <v>3834</v>
      </c>
    </row>
    <row r="33" spans="1:2" ht="27" customHeight="1">
      <c r="A33" s="102" t="s">
        <v>3825</v>
      </c>
      <c r="B33" s="100" t="s">
        <v>3835</v>
      </c>
    </row>
    <row r="34" spans="1:2" ht="40.5" customHeight="1">
      <c r="A34" s="103" t="s">
        <v>3825</v>
      </c>
      <c r="B34" s="101" t="s">
        <v>3836</v>
      </c>
    </row>
    <row r="35" spans="1:2" ht="15" customHeight="1">
      <c r="A35" s="99"/>
      <c r="B35" s="100" t="s">
        <v>3837</v>
      </c>
    </row>
    <row r="36" spans="1:2" ht="15" customHeight="1">
      <c r="A36" s="46" t="s">
        <v>3838</v>
      </c>
      <c r="B36" s="11" t="s">
        <v>3839</v>
      </c>
    </row>
    <row r="37" spans="1:2" ht="25.5" customHeight="1">
      <c r="A37" s="102" t="s">
        <v>3840</v>
      </c>
      <c r="B37" s="100" t="s">
        <v>3841</v>
      </c>
    </row>
    <row r="38" spans="1:2" ht="25.5" customHeight="1">
      <c r="A38" s="103" t="s">
        <v>3842</v>
      </c>
      <c r="B38" s="101" t="s">
        <v>3843</v>
      </c>
    </row>
    <row r="39" spans="1:2" ht="25.5" customHeight="1">
      <c r="A39" s="102" t="s">
        <v>3844</v>
      </c>
      <c r="B39" s="100" t="s">
        <v>3845</v>
      </c>
    </row>
    <row r="40" spans="1:2" ht="15" customHeight="1">
      <c r="A40" s="104" t="s">
        <v>3846</v>
      </c>
      <c r="B40" s="101" t="s">
        <v>3847</v>
      </c>
    </row>
    <row r="41" spans="1:2" ht="30" customHeight="1">
      <c r="A41" s="105" t="s">
        <v>3848</v>
      </c>
      <c r="B41" s="106" t="s">
        <v>3849</v>
      </c>
    </row>
    <row r="42" spans="1:2" ht="30" customHeight="1">
      <c r="A42" s="105" t="s">
        <v>3850</v>
      </c>
      <c r="B42" s="106" t="s">
        <v>3851</v>
      </c>
    </row>
    <row r="43" spans="1:2" ht="28.5" customHeight="1">
      <c r="A43" s="105" t="s">
        <v>3852</v>
      </c>
      <c r="B43" s="106" t="s">
        <v>3853</v>
      </c>
    </row>
    <row r="44" spans="1:2" ht="30" customHeight="1">
      <c r="A44" s="105" t="s">
        <v>3854</v>
      </c>
      <c r="B44" s="106" t="s">
        <v>3855</v>
      </c>
    </row>
    <row r="45" spans="1:2" ht="30" customHeight="1">
      <c r="A45" s="105" t="s">
        <v>3856</v>
      </c>
      <c r="B45" s="106" t="s">
        <v>3857</v>
      </c>
    </row>
    <row r="46" spans="1:2" ht="15" customHeight="1">
      <c r="A46" s="23"/>
      <c r="B46" s="23"/>
    </row>
    <row r="47" spans="1:2" ht="15" customHeight="1">
      <c r="A47" s="107" t="s">
        <v>3858</v>
      </c>
      <c r="B47" s="23"/>
    </row>
    <row r="48" spans="1:2" ht="15" customHeight="1">
      <c r="A48" s="108" t="s">
        <v>3859</v>
      </c>
      <c r="B48" s="23"/>
    </row>
    <row r="49" spans="1:2" ht="15" customHeight="1">
      <c r="A49" s="108" t="s">
        <v>3860</v>
      </c>
      <c r="B49" s="23"/>
    </row>
    <row r="50" spans="1:2" ht="15" customHeight="1">
      <c r="A50" s="108" t="s">
        <v>3861</v>
      </c>
      <c r="B50" s="23"/>
    </row>
    <row r="51" spans="1:2" ht="15" customHeight="1">
      <c r="A51" s="108" t="s">
        <v>3862</v>
      </c>
      <c r="B51" s="23"/>
    </row>
    <row r="52" spans="1:2" ht="15" customHeight="1">
      <c r="A52" s="108" t="s">
        <v>3863</v>
      </c>
      <c r="B52" s="23"/>
    </row>
    <row r="53" spans="1:2" ht="15" customHeight="1">
      <c r="A53" s="109" t="s">
        <v>3864</v>
      </c>
      <c r="B53" s="23"/>
    </row>
    <row r="55" spans="1:2" ht="25.5" customHeight="1">
      <c r="A55" s="110" t="s">
        <v>3865</v>
      </c>
      <c r="B55" s="110" t="s">
        <v>3866</v>
      </c>
    </row>
    <row r="56" spans="1:2">
      <c r="A56" s="5" t="s">
        <v>13</v>
      </c>
      <c r="B56" s="5" t="s">
        <v>2387</v>
      </c>
    </row>
    <row r="57" spans="1:2" ht="38.25" customHeight="1">
      <c r="A57" s="10" t="s">
        <v>3867</v>
      </c>
      <c r="B57" s="11" t="s">
        <v>3868</v>
      </c>
    </row>
    <row r="58" spans="1:2" ht="38.25" customHeight="1">
      <c r="A58" s="10" t="s">
        <v>3869</v>
      </c>
      <c r="B58" s="11" t="s">
        <v>3870</v>
      </c>
    </row>
    <row r="59" spans="1:2" ht="38.25" customHeight="1">
      <c r="A59" s="9" t="s">
        <v>3871</v>
      </c>
      <c r="B59" s="9" t="s">
        <v>3872</v>
      </c>
    </row>
    <row r="60" spans="1:2" ht="25.5" customHeight="1">
      <c r="A60" s="9" t="s">
        <v>3873</v>
      </c>
      <c r="B60" s="9" t="s">
        <v>3874</v>
      </c>
    </row>
    <row r="61" spans="1:2" ht="25.5" customHeight="1">
      <c r="A61" s="13" t="s">
        <v>3875</v>
      </c>
      <c r="B61" s="13" t="s">
        <v>3876</v>
      </c>
    </row>
    <row r="62" spans="1:2" ht="25.5" customHeight="1">
      <c r="A62" s="13" t="s">
        <v>3877</v>
      </c>
      <c r="B62" s="13" t="s">
        <v>3878</v>
      </c>
    </row>
    <row r="64" spans="1:2" ht="89.25" customHeight="1">
      <c r="A64" s="46" t="s">
        <v>3879</v>
      </c>
      <c r="B64" s="11" t="s">
        <v>3880</v>
      </c>
    </row>
  </sheetData>
  <pageMargins left="0.7" right="0.7" top="0.75" bottom="0.75"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N75"/>
  <sheetViews>
    <sheetView topLeftCell="A28" zoomScaleNormal="100" workbookViewId="0">
      <selection activeCell="B37" sqref="B37"/>
    </sheetView>
  </sheetViews>
  <sheetFormatPr defaultColWidth="8.5703125" defaultRowHeight="15"/>
  <cols>
    <col min="1" max="2" width="65" customWidth="1"/>
    <col min="3" max="14" width="12" customWidth="1"/>
  </cols>
  <sheetData>
    <row r="1" spans="1:14" ht="30" customHeight="1">
      <c r="A1" s="111" t="s">
        <v>3881</v>
      </c>
      <c r="B1" s="112"/>
      <c r="C1" s="113"/>
      <c r="D1" s="113"/>
      <c r="E1" s="113"/>
      <c r="F1" s="113"/>
      <c r="G1" s="113"/>
      <c r="H1" s="113"/>
      <c r="I1" s="113"/>
      <c r="J1" s="113"/>
      <c r="K1" s="113"/>
      <c r="L1" s="113"/>
      <c r="M1" s="113"/>
      <c r="N1" s="113"/>
    </row>
    <row r="2" spans="1:14" ht="15" customHeight="1">
      <c r="A2" s="114" t="s">
        <v>14</v>
      </c>
      <c r="B2" s="115" t="s">
        <v>3882</v>
      </c>
      <c r="C2" s="116"/>
      <c r="D2" s="116"/>
      <c r="E2" s="116"/>
      <c r="F2" s="116"/>
      <c r="G2" s="116"/>
      <c r="H2" s="116"/>
      <c r="I2" s="116"/>
      <c r="J2" s="116"/>
      <c r="K2" s="116"/>
      <c r="L2" s="116"/>
      <c r="M2" s="116"/>
      <c r="N2" s="116"/>
    </row>
    <row r="3" spans="1:14" ht="15" customHeight="1">
      <c r="A3" s="117" t="s">
        <v>3883</v>
      </c>
      <c r="B3" s="118">
        <v>100</v>
      </c>
      <c r="C3" s="116"/>
      <c r="D3" s="116"/>
      <c r="E3" s="116"/>
      <c r="F3" s="116"/>
      <c r="G3" s="116"/>
      <c r="H3" s="116"/>
      <c r="I3" s="116"/>
      <c r="J3" s="116"/>
      <c r="K3" s="116"/>
      <c r="L3" s="116"/>
      <c r="M3" s="116"/>
      <c r="N3" s="116"/>
    </row>
    <row r="4" spans="1:14" ht="15" customHeight="1">
      <c r="A4" s="117" t="s">
        <v>3</v>
      </c>
      <c r="B4" s="119" t="s">
        <v>3884</v>
      </c>
      <c r="C4" s="116"/>
      <c r="D4" s="116"/>
      <c r="E4" s="116"/>
      <c r="F4" s="116"/>
      <c r="G4" s="116"/>
      <c r="H4" s="116"/>
      <c r="I4" s="116"/>
      <c r="J4" s="116"/>
      <c r="K4" s="116"/>
      <c r="L4" s="116"/>
      <c r="M4" s="116"/>
      <c r="N4" s="116"/>
    </row>
    <row r="5" spans="1:14" ht="15" customHeight="1">
      <c r="A5" s="117" t="s">
        <v>3885</v>
      </c>
      <c r="B5" s="119" t="s">
        <v>3886</v>
      </c>
      <c r="C5" s="116"/>
      <c r="D5" s="116"/>
      <c r="E5" s="116"/>
      <c r="F5" s="116"/>
      <c r="G5" s="116"/>
      <c r="H5" s="116"/>
      <c r="I5" s="116"/>
      <c r="J5" s="116"/>
      <c r="K5" s="116"/>
      <c r="L5" s="116"/>
      <c r="M5" s="116"/>
      <c r="N5" s="116"/>
    </row>
    <row r="6" spans="1:14" ht="15" customHeight="1">
      <c r="A6" s="117" t="s">
        <v>3887</v>
      </c>
      <c r="B6" s="119" t="s">
        <v>3888</v>
      </c>
      <c r="C6" s="116"/>
      <c r="D6" s="116"/>
      <c r="E6" s="116"/>
      <c r="F6" s="116"/>
      <c r="G6" s="116"/>
      <c r="H6" s="116"/>
      <c r="I6" s="116"/>
      <c r="J6" s="116"/>
      <c r="K6" s="116"/>
      <c r="L6" s="116"/>
      <c r="M6" s="116"/>
      <c r="N6" s="116"/>
    </row>
    <row r="7" spans="1:14" ht="15" customHeight="1">
      <c r="A7" s="117" t="s">
        <v>3889</v>
      </c>
      <c r="B7" s="119" t="s">
        <v>3890</v>
      </c>
      <c r="C7" s="116"/>
      <c r="D7" s="116"/>
      <c r="E7" s="116"/>
      <c r="F7" s="116"/>
      <c r="G7" s="116"/>
      <c r="H7" s="116"/>
      <c r="I7" s="116"/>
      <c r="J7" s="116"/>
      <c r="K7" s="116"/>
      <c r="L7" s="116"/>
      <c r="M7" s="116"/>
      <c r="N7" s="116"/>
    </row>
    <row r="8" spans="1:14" ht="15" customHeight="1">
      <c r="A8" s="117" t="s">
        <v>3891</v>
      </c>
      <c r="B8" s="119" t="s">
        <v>3892</v>
      </c>
      <c r="C8" s="116"/>
      <c r="D8" s="116"/>
      <c r="E8" s="116"/>
      <c r="F8" s="116"/>
      <c r="G8" s="116"/>
      <c r="H8" s="116"/>
      <c r="I8" s="116"/>
      <c r="J8" s="116"/>
      <c r="K8" s="116"/>
      <c r="L8" s="116"/>
      <c r="M8" s="116"/>
      <c r="N8" s="116"/>
    </row>
    <row r="9" spans="1:14" ht="15" customHeight="1">
      <c r="A9" s="117" t="s">
        <v>3893</v>
      </c>
      <c r="B9" s="119" t="s">
        <v>3894</v>
      </c>
      <c r="C9" s="116"/>
      <c r="D9" s="116"/>
      <c r="E9" s="116"/>
      <c r="F9" s="116"/>
      <c r="G9" s="116"/>
      <c r="H9" s="116"/>
      <c r="I9" s="116"/>
      <c r="J9" s="116"/>
      <c r="K9" s="116"/>
      <c r="L9" s="116"/>
      <c r="M9" s="116"/>
      <c r="N9" s="116"/>
    </row>
    <row r="10" spans="1:14" ht="15" customHeight="1">
      <c r="A10" s="117" t="s">
        <v>3895</v>
      </c>
      <c r="B10" s="119" t="s">
        <v>3896</v>
      </c>
      <c r="C10" s="116"/>
      <c r="D10" s="116"/>
      <c r="E10" s="116"/>
      <c r="F10" s="116"/>
      <c r="G10" s="116"/>
      <c r="H10" s="116"/>
      <c r="I10" s="116"/>
      <c r="J10" s="116"/>
      <c r="K10" s="116"/>
      <c r="L10" s="116"/>
      <c r="M10" s="116"/>
      <c r="N10" s="116"/>
    </row>
    <row r="11" spans="1:14" ht="15" customHeight="1">
      <c r="A11" s="117" t="s">
        <v>3897</v>
      </c>
      <c r="B11" s="119" t="s">
        <v>3898</v>
      </c>
      <c r="C11" s="116"/>
      <c r="D11" s="116"/>
      <c r="E11" s="116"/>
      <c r="F11" s="116"/>
      <c r="G11" s="116"/>
      <c r="H11" s="116"/>
      <c r="I11" s="116"/>
      <c r="J11" s="116"/>
      <c r="K11" s="116"/>
      <c r="L11" s="116"/>
      <c r="M11" s="116"/>
      <c r="N11" s="116"/>
    </row>
    <row r="12" spans="1:14" ht="15" customHeight="1">
      <c r="A12" s="120" t="s">
        <v>3899</v>
      </c>
      <c r="B12" s="121" t="s">
        <v>3900</v>
      </c>
      <c r="C12" s="116"/>
      <c r="D12" s="116"/>
      <c r="E12" s="116"/>
      <c r="F12" s="116"/>
      <c r="G12" s="116"/>
      <c r="H12" s="116"/>
      <c r="I12" s="116"/>
      <c r="J12" s="116"/>
      <c r="K12" s="116"/>
      <c r="L12" s="116"/>
      <c r="M12" s="116"/>
      <c r="N12" s="116"/>
    </row>
    <row r="13" spans="1:14" ht="26.25" customHeight="1">
      <c r="A13" s="122" t="s">
        <v>3901</v>
      </c>
      <c r="B13" s="69"/>
      <c r="C13" s="116"/>
      <c r="D13" s="116"/>
      <c r="E13" s="116"/>
      <c r="F13" s="116"/>
      <c r="G13" s="116"/>
      <c r="H13" s="116"/>
      <c r="I13" s="116"/>
      <c r="J13" s="116"/>
      <c r="K13" s="116"/>
      <c r="L13" s="116"/>
      <c r="M13" s="116"/>
      <c r="N13" s="116"/>
    </row>
    <row r="14" spans="1:14" ht="15.75" customHeight="1">
      <c r="A14" s="123" t="s">
        <v>3902</v>
      </c>
      <c r="B14" s="112"/>
      <c r="C14" s="116"/>
      <c r="D14" s="116"/>
      <c r="E14" s="116"/>
      <c r="F14" s="116"/>
      <c r="G14" s="116"/>
      <c r="H14" s="116"/>
      <c r="I14" s="116"/>
      <c r="J14" s="116"/>
      <c r="K14" s="116"/>
      <c r="L14" s="116"/>
      <c r="M14" s="116"/>
      <c r="N14" s="116"/>
    </row>
    <row r="15" spans="1:14" ht="25.5" customHeight="1">
      <c r="A15" s="124" t="s">
        <v>3903</v>
      </c>
      <c r="B15" s="125" t="s">
        <v>3904</v>
      </c>
      <c r="C15" s="116"/>
      <c r="D15" s="116"/>
      <c r="E15" s="116"/>
      <c r="F15" s="116"/>
      <c r="G15" s="116"/>
      <c r="H15" s="116"/>
      <c r="I15" s="116"/>
      <c r="J15" s="116"/>
      <c r="K15" s="116"/>
      <c r="L15" s="116"/>
      <c r="M15" s="116"/>
      <c r="N15" s="116"/>
    </row>
    <row r="16" spans="1:14" ht="38.25" customHeight="1">
      <c r="A16" s="126" t="s">
        <v>3905</v>
      </c>
      <c r="B16" s="127" t="s">
        <v>3906</v>
      </c>
      <c r="C16" s="116"/>
      <c r="D16" s="116"/>
      <c r="E16" s="116"/>
      <c r="F16" s="116"/>
      <c r="G16" s="116"/>
      <c r="H16" s="116"/>
      <c r="I16" s="116"/>
      <c r="J16" s="116"/>
      <c r="K16" s="116"/>
      <c r="L16" s="116"/>
      <c r="M16" s="116"/>
      <c r="N16" s="116"/>
    </row>
    <row r="17" spans="1:14" ht="27" customHeight="1">
      <c r="A17" s="109" t="s">
        <v>3907</v>
      </c>
      <c r="B17" s="127" t="s">
        <v>3908</v>
      </c>
      <c r="C17" s="116"/>
      <c r="D17" s="116"/>
      <c r="E17" s="116"/>
      <c r="F17" s="116"/>
      <c r="G17" s="116"/>
      <c r="H17" s="116"/>
      <c r="I17" s="116"/>
      <c r="J17" s="116"/>
      <c r="K17" s="116"/>
      <c r="L17" s="116"/>
      <c r="M17" s="116"/>
      <c r="N17" s="116"/>
    </row>
    <row r="18" spans="1:14" ht="38.25" customHeight="1">
      <c r="A18" s="109" t="s">
        <v>3909</v>
      </c>
      <c r="B18" s="127" t="s">
        <v>3910</v>
      </c>
      <c r="C18" s="116"/>
      <c r="D18" s="116"/>
      <c r="E18" s="116"/>
      <c r="F18" s="116"/>
      <c r="G18" s="116"/>
      <c r="H18" s="116"/>
      <c r="I18" s="116"/>
      <c r="J18" s="116"/>
      <c r="K18" s="116"/>
      <c r="L18" s="116"/>
      <c r="M18" s="116"/>
      <c r="N18" s="116"/>
    </row>
    <row r="19" spans="1:14" ht="38.25" customHeight="1">
      <c r="A19" s="108" t="s">
        <v>3911</v>
      </c>
      <c r="B19" s="127" t="s">
        <v>3912</v>
      </c>
      <c r="C19" s="116"/>
      <c r="D19" s="116"/>
      <c r="E19" s="116"/>
      <c r="F19" s="116"/>
      <c r="G19" s="116"/>
      <c r="H19" s="116"/>
      <c r="I19" s="116"/>
      <c r="J19" s="116"/>
      <c r="K19" s="116"/>
      <c r="L19" s="116"/>
      <c r="M19" s="116"/>
      <c r="N19" s="116"/>
    </row>
    <row r="20" spans="1:14" ht="15" customHeight="1">
      <c r="A20" s="128" t="s">
        <v>3913</v>
      </c>
      <c r="B20" s="127" t="s">
        <v>3914</v>
      </c>
      <c r="C20" s="116"/>
      <c r="D20" s="116"/>
      <c r="E20" s="116"/>
      <c r="F20" s="116"/>
      <c r="G20" s="116"/>
      <c r="H20" s="116"/>
      <c r="I20" s="116"/>
      <c r="J20" s="116"/>
      <c r="K20" s="116"/>
      <c r="L20" s="116"/>
      <c r="M20" s="116"/>
      <c r="N20" s="116"/>
    </row>
    <row r="21" spans="1:14" ht="15" customHeight="1">
      <c r="A21" s="69"/>
      <c r="B21" s="69"/>
      <c r="C21" s="116"/>
      <c r="D21" s="116"/>
      <c r="E21" s="116"/>
      <c r="F21" s="116"/>
      <c r="G21" s="116"/>
      <c r="H21" s="116"/>
      <c r="I21" s="116"/>
      <c r="J21" s="116"/>
      <c r="K21" s="116"/>
      <c r="L21" s="116"/>
      <c r="M21" s="116"/>
      <c r="N21" s="116"/>
    </row>
    <row r="22" spans="1:14" ht="15.75" customHeight="1">
      <c r="A22" s="129" t="s">
        <v>3915</v>
      </c>
      <c r="B22" s="112"/>
      <c r="C22" s="116"/>
      <c r="D22" s="116"/>
      <c r="E22" s="116"/>
      <c r="F22" s="116"/>
      <c r="G22" s="116"/>
      <c r="H22" s="116"/>
      <c r="I22" s="116"/>
      <c r="J22" s="116"/>
      <c r="K22" s="116"/>
      <c r="L22" s="116"/>
      <c r="M22" s="116"/>
      <c r="N22" s="116"/>
    </row>
    <row r="23" spans="1:14" ht="15" customHeight="1">
      <c r="A23" s="128" t="s">
        <v>1492</v>
      </c>
      <c r="B23" s="127" t="s">
        <v>3916</v>
      </c>
      <c r="C23" s="116"/>
      <c r="D23" s="116"/>
      <c r="E23" s="116"/>
      <c r="F23" s="116"/>
      <c r="G23" s="116"/>
      <c r="H23" s="116"/>
      <c r="I23" s="116"/>
      <c r="J23" s="116"/>
      <c r="K23" s="116"/>
      <c r="L23" s="116"/>
      <c r="M23" s="116"/>
      <c r="N23" s="116"/>
    </row>
    <row r="24" spans="1:14" ht="15" customHeight="1">
      <c r="A24" s="128" t="s">
        <v>1494</v>
      </c>
      <c r="B24" s="127" t="s">
        <v>3917</v>
      </c>
      <c r="C24" s="116"/>
      <c r="D24" s="116"/>
      <c r="E24" s="116"/>
      <c r="F24" s="116"/>
      <c r="G24" s="116"/>
      <c r="H24" s="116"/>
      <c r="I24" s="116"/>
      <c r="J24" s="116"/>
      <c r="K24" s="116"/>
      <c r="L24" s="116"/>
      <c r="M24" s="116"/>
      <c r="N24" s="116"/>
    </row>
    <row r="25" spans="1:14" ht="23.25" customHeight="1">
      <c r="A25" s="128" t="s">
        <v>1496</v>
      </c>
      <c r="B25" s="127" t="s">
        <v>3918</v>
      </c>
      <c r="C25" s="116"/>
      <c r="D25" s="116"/>
      <c r="E25" s="116"/>
      <c r="F25" s="116"/>
      <c r="G25" s="116"/>
      <c r="H25" s="116"/>
      <c r="I25" s="116"/>
      <c r="J25" s="116"/>
      <c r="K25" s="116"/>
      <c r="L25" s="116"/>
      <c r="M25" s="116"/>
      <c r="N25" s="116"/>
    </row>
    <row r="26" spans="1:14" ht="15" customHeight="1">
      <c r="A26" s="128" t="s">
        <v>3627</v>
      </c>
      <c r="B26" s="127" t="s">
        <v>3919</v>
      </c>
      <c r="C26" s="116"/>
      <c r="D26" s="116"/>
      <c r="E26" s="116"/>
      <c r="F26" s="116"/>
      <c r="G26" s="116"/>
      <c r="H26" s="116"/>
      <c r="I26" s="116"/>
      <c r="J26" s="116"/>
      <c r="K26" s="116"/>
      <c r="L26" s="116"/>
      <c r="M26" s="116"/>
      <c r="N26" s="116"/>
    </row>
    <row r="27" spans="1:14" ht="15" customHeight="1">
      <c r="A27" s="128" t="s">
        <v>1500</v>
      </c>
      <c r="B27" s="127" t="s">
        <v>3920</v>
      </c>
      <c r="C27" s="116"/>
      <c r="D27" s="116"/>
      <c r="E27" s="116"/>
      <c r="F27" s="116"/>
      <c r="G27" s="116"/>
      <c r="H27" s="116"/>
      <c r="I27" s="116"/>
      <c r="J27" s="116"/>
      <c r="K27" s="116"/>
      <c r="L27" s="116"/>
      <c r="M27" s="116"/>
      <c r="N27" s="116"/>
    </row>
    <row r="28" spans="1:14" ht="15" customHeight="1">
      <c r="A28" s="128" t="s">
        <v>1502</v>
      </c>
      <c r="B28" s="127" t="s">
        <v>3921</v>
      </c>
      <c r="C28" s="116"/>
      <c r="D28" s="116"/>
      <c r="E28" s="116"/>
      <c r="F28" s="116"/>
      <c r="G28" s="116"/>
      <c r="H28" s="116"/>
      <c r="I28" s="116"/>
      <c r="J28" s="116"/>
      <c r="K28" s="116"/>
      <c r="L28" s="116"/>
      <c r="M28" s="116"/>
      <c r="N28" s="116"/>
    </row>
    <row r="29" spans="1:14" ht="15" customHeight="1">
      <c r="A29" s="69"/>
      <c r="B29" s="69"/>
      <c r="C29" s="116"/>
      <c r="D29" s="116"/>
      <c r="E29" s="116"/>
      <c r="F29" s="116"/>
      <c r="G29" s="116"/>
      <c r="H29" s="116"/>
      <c r="I29" s="116"/>
      <c r="J29" s="116"/>
      <c r="K29" s="116"/>
      <c r="L29" s="116"/>
      <c r="M29" s="116"/>
      <c r="N29" s="116"/>
    </row>
    <row r="30" spans="1:14" ht="15.75" customHeight="1">
      <c r="A30" s="130" t="s">
        <v>3922</v>
      </c>
      <c r="B30" s="130"/>
    </row>
    <row r="31" spans="1:14" ht="15" customHeight="1">
      <c r="A31" s="130" t="s">
        <v>3923</v>
      </c>
      <c r="B31" s="130" t="s">
        <v>3924</v>
      </c>
    </row>
    <row r="32" spans="1:14" ht="15" customHeight="1">
      <c r="A32" s="130" t="s">
        <v>3925</v>
      </c>
      <c r="B32" s="130" t="s">
        <v>3926</v>
      </c>
    </row>
    <row r="33" spans="1:14" ht="25.5" customHeight="1">
      <c r="A33" s="130" t="s">
        <v>3927</v>
      </c>
      <c r="B33" s="130" t="s">
        <v>3928</v>
      </c>
    </row>
    <row r="34" spans="1:14" ht="15" customHeight="1">
      <c r="A34" s="130" t="s">
        <v>3929</v>
      </c>
      <c r="B34" s="130" t="s">
        <v>3930</v>
      </c>
    </row>
    <row r="35" spans="1:14" ht="15" customHeight="1">
      <c r="A35" s="130" t="s">
        <v>3931</v>
      </c>
      <c r="B35" s="130" t="s">
        <v>3932</v>
      </c>
    </row>
    <row r="36" spans="1:14" ht="15" customHeight="1"/>
    <row r="37" spans="1:14" ht="23.25" customHeight="1">
      <c r="A37" s="131" t="s">
        <v>3933</v>
      </c>
      <c r="B37" s="132"/>
      <c r="C37" s="116"/>
      <c r="D37" s="116"/>
      <c r="E37" s="116"/>
      <c r="F37" s="116"/>
      <c r="G37" s="116"/>
      <c r="H37" s="116"/>
      <c r="I37" s="116"/>
      <c r="J37" s="116"/>
      <c r="K37" s="116"/>
      <c r="L37" s="116"/>
      <c r="M37" s="116"/>
      <c r="N37" s="116"/>
    </row>
    <row r="38" spans="1:14" ht="15" customHeight="1">
      <c r="A38" s="128" t="s">
        <v>3934</v>
      </c>
      <c r="B38" s="127" t="s">
        <v>3935</v>
      </c>
      <c r="C38" s="116"/>
      <c r="D38" s="116"/>
      <c r="E38" s="116"/>
      <c r="F38" s="116"/>
      <c r="G38" s="116"/>
      <c r="H38" s="116"/>
      <c r="I38" s="116"/>
      <c r="J38" s="116"/>
      <c r="K38" s="116"/>
      <c r="L38" s="116"/>
      <c r="M38" s="116"/>
      <c r="N38" s="116"/>
    </row>
    <row r="39" spans="1:14" ht="15" customHeight="1">
      <c r="A39" s="128" t="s">
        <v>3936</v>
      </c>
      <c r="B39" s="127" t="s">
        <v>3937</v>
      </c>
      <c r="C39" s="116"/>
      <c r="D39" s="116"/>
      <c r="E39" s="116"/>
      <c r="F39" s="116"/>
      <c r="G39" s="116"/>
      <c r="H39" s="116"/>
      <c r="I39" s="116"/>
      <c r="J39" s="116"/>
      <c r="K39" s="116"/>
      <c r="L39" s="116"/>
      <c r="M39" s="116"/>
      <c r="N39" s="116"/>
    </row>
    <row r="40" spans="1:14" ht="31.5" customHeight="1">
      <c r="A40" s="128" t="s">
        <v>3938</v>
      </c>
      <c r="B40" s="127" t="s">
        <v>3939</v>
      </c>
      <c r="C40" s="116"/>
      <c r="D40" s="116"/>
      <c r="E40" s="116"/>
      <c r="F40" s="116"/>
      <c r="G40" s="116"/>
      <c r="H40" s="116"/>
      <c r="I40" s="116"/>
      <c r="J40" s="116"/>
      <c r="K40" s="116"/>
      <c r="L40" s="116"/>
      <c r="M40" s="116"/>
      <c r="N40" s="116"/>
    </row>
    <row r="41" spans="1:14" ht="23.25" customHeight="1">
      <c r="A41" s="128" t="s">
        <v>3940</v>
      </c>
      <c r="B41" s="127" t="s">
        <v>3941</v>
      </c>
      <c r="C41" s="116"/>
      <c r="D41" s="116"/>
      <c r="E41" s="116"/>
      <c r="F41" s="116"/>
      <c r="G41" s="116"/>
      <c r="H41" s="116"/>
      <c r="I41" s="116"/>
      <c r="J41" s="116"/>
      <c r="K41" s="116"/>
      <c r="L41" s="116"/>
      <c r="M41" s="116"/>
      <c r="N41" s="116"/>
    </row>
    <row r="42" spans="1:14" ht="15" customHeight="1">
      <c r="A42" s="128" t="s">
        <v>3942</v>
      </c>
      <c r="B42" s="127" t="s">
        <v>3943</v>
      </c>
      <c r="C42" s="116"/>
      <c r="D42" s="116"/>
      <c r="E42" s="116"/>
      <c r="F42" s="116"/>
      <c r="G42" s="116"/>
      <c r="H42" s="116"/>
      <c r="I42" s="116"/>
      <c r="J42" s="116"/>
      <c r="K42" s="116"/>
      <c r="L42" s="116"/>
      <c r="M42" s="116"/>
      <c r="N42" s="116"/>
    </row>
    <row r="43" spans="1:14" ht="25.5" customHeight="1">
      <c r="A43" s="128" t="s">
        <v>3944</v>
      </c>
      <c r="B43" s="127" t="s">
        <v>3945</v>
      </c>
      <c r="C43" s="116"/>
      <c r="D43" s="116"/>
      <c r="E43" s="116"/>
      <c r="F43" s="116"/>
      <c r="G43" s="116"/>
      <c r="H43" s="116"/>
      <c r="I43" s="116"/>
      <c r="J43" s="116"/>
      <c r="K43" s="116"/>
      <c r="L43" s="116"/>
      <c r="M43" s="116"/>
      <c r="N43" s="116"/>
    </row>
    <row r="44" spans="1:14" ht="27" customHeight="1">
      <c r="A44" s="128" t="s">
        <v>3946</v>
      </c>
      <c r="B44" s="127" t="s">
        <v>3947</v>
      </c>
      <c r="C44" s="116"/>
      <c r="D44" s="116"/>
      <c r="E44" s="116"/>
      <c r="F44" s="116"/>
      <c r="G44" s="116"/>
      <c r="H44" s="116"/>
      <c r="I44" s="116"/>
      <c r="J44" s="116"/>
      <c r="K44" s="116"/>
      <c r="L44" s="116"/>
      <c r="M44" s="116"/>
      <c r="N44" s="116"/>
    </row>
    <row r="45" spans="1:14" ht="15" customHeight="1">
      <c r="A45" s="69"/>
      <c r="B45" s="69"/>
      <c r="C45" s="116"/>
      <c r="D45" s="116"/>
      <c r="E45" s="116"/>
      <c r="F45" s="116"/>
      <c r="G45" s="116"/>
      <c r="H45" s="116"/>
      <c r="I45" s="116"/>
      <c r="J45" s="116"/>
      <c r="K45" s="116"/>
      <c r="L45" s="116"/>
      <c r="M45" s="116"/>
      <c r="N45" s="116"/>
    </row>
    <row r="46" spans="1:14" ht="15" customHeight="1">
      <c r="A46" s="69"/>
      <c r="B46" s="69"/>
      <c r="C46" s="116"/>
      <c r="D46" s="116"/>
      <c r="E46" s="116"/>
      <c r="F46" s="116"/>
      <c r="G46" s="116"/>
      <c r="H46" s="116"/>
      <c r="I46" s="116"/>
      <c r="J46" s="116"/>
      <c r="K46" s="116"/>
      <c r="L46" s="116"/>
      <c r="M46" s="116"/>
      <c r="N46" s="116"/>
    </row>
    <row r="47" spans="1:14" ht="15" customHeight="1">
      <c r="A47" s="129" t="s">
        <v>3948</v>
      </c>
      <c r="B47" s="69"/>
      <c r="C47" s="116"/>
      <c r="D47" s="116"/>
      <c r="E47" s="116"/>
      <c r="F47" s="116"/>
      <c r="G47" s="116"/>
      <c r="H47" s="116"/>
      <c r="I47" s="116"/>
      <c r="J47" s="116"/>
      <c r="K47" s="116"/>
      <c r="L47" s="116"/>
      <c r="M47" s="116"/>
      <c r="N47" s="116"/>
    </row>
    <row r="48" spans="1:14" ht="23.25" customHeight="1">
      <c r="A48" s="133" t="s">
        <v>3949</v>
      </c>
      <c r="B48" s="134" t="s">
        <v>3950</v>
      </c>
      <c r="C48" s="116"/>
      <c r="D48" s="116"/>
      <c r="E48" s="116"/>
      <c r="F48" s="116"/>
      <c r="G48" s="116"/>
      <c r="H48" s="116"/>
      <c r="I48" s="116"/>
      <c r="J48" s="116"/>
      <c r="K48" s="116"/>
      <c r="L48" s="116"/>
      <c r="M48" s="116"/>
      <c r="N48" s="116"/>
    </row>
    <row r="49" spans="1:14" ht="23.25" customHeight="1">
      <c r="A49" s="117" t="s">
        <v>3949</v>
      </c>
      <c r="B49" s="119" t="s">
        <v>3951</v>
      </c>
      <c r="C49" s="116"/>
      <c r="D49" s="116"/>
      <c r="E49" s="116"/>
      <c r="F49" s="116"/>
      <c r="G49" s="116"/>
      <c r="H49" s="116"/>
      <c r="I49" s="116"/>
      <c r="J49" s="116"/>
      <c r="K49" s="116"/>
      <c r="L49" s="116"/>
      <c r="M49" s="116"/>
      <c r="N49" s="116"/>
    </row>
    <row r="50" spans="1:14" ht="15" customHeight="1">
      <c r="A50" s="117" t="s">
        <v>3952</v>
      </c>
      <c r="B50" s="119" t="s">
        <v>3953</v>
      </c>
      <c r="C50" s="116"/>
      <c r="D50" s="116"/>
      <c r="E50" s="116"/>
      <c r="F50" s="116"/>
      <c r="G50" s="116"/>
      <c r="H50" s="116"/>
      <c r="I50" s="116"/>
      <c r="J50" s="116"/>
      <c r="K50" s="116"/>
      <c r="L50" s="116"/>
      <c r="M50" s="116"/>
      <c r="N50" s="116"/>
    </row>
    <row r="51" spans="1:14" ht="23.25" customHeight="1">
      <c r="A51" s="117" t="s">
        <v>3954</v>
      </c>
      <c r="B51" s="119" t="s">
        <v>3955</v>
      </c>
      <c r="C51" s="116"/>
      <c r="D51" s="116"/>
      <c r="E51" s="116"/>
      <c r="F51" s="116"/>
      <c r="G51" s="116"/>
      <c r="H51" s="116"/>
      <c r="I51" s="116"/>
      <c r="J51" s="116"/>
      <c r="K51" s="116"/>
      <c r="L51" s="116"/>
      <c r="M51" s="116"/>
      <c r="N51" s="116"/>
    </row>
    <row r="52" spans="1:14" ht="15" customHeight="1">
      <c r="A52" s="117" t="s">
        <v>3956</v>
      </c>
      <c r="B52" s="119" t="s">
        <v>3957</v>
      </c>
      <c r="C52" s="116"/>
      <c r="D52" s="116"/>
      <c r="E52" s="116"/>
      <c r="F52" s="116"/>
      <c r="G52" s="116"/>
      <c r="H52" s="116"/>
      <c r="I52" s="116"/>
      <c r="J52" s="116"/>
      <c r="K52" s="116"/>
      <c r="L52" s="116"/>
      <c r="M52" s="116"/>
      <c r="N52" s="116"/>
    </row>
    <row r="53" spans="1:14" ht="15" customHeight="1">
      <c r="A53" s="117" t="s">
        <v>3958</v>
      </c>
      <c r="B53" s="119" t="s">
        <v>3959</v>
      </c>
      <c r="C53" s="116"/>
      <c r="D53" s="116"/>
      <c r="E53" s="116"/>
      <c r="F53" s="116"/>
      <c r="G53" s="116"/>
      <c r="H53" s="116"/>
      <c r="I53" s="116"/>
      <c r="J53" s="116"/>
      <c r="K53" s="116"/>
      <c r="L53" s="116"/>
      <c r="M53" s="116"/>
      <c r="N53" s="116"/>
    </row>
    <row r="54" spans="1:14" ht="15" customHeight="1">
      <c r="A54" s="117" t="s">
        <v>3960</v>
      </c>
      <c r="B54" s="119" t="s">
        <v>3961</v>
      </c>
      <c r="C54" s="116"/>
      <c r="D54" s="116"/>
      <c r="E54" s="116"/>
      <c r="F54" s="116"/>
      <c r="G54" s="116"/>
      <c r="H54" s="116"/>
      <c r="I54" s="116"/>
      <c r="J54" s="116"/>
      <c r="K54" s="116"/>
      <c r="L54" s="116"/>
      <c r="M54" s="116"/>
      <c r="N54" s="116"/>
    </row>
    <row r="55" spans="1:14" ht="23.25" customHeight="1">
      <c r="A55" s="117" t="s">
        <v>3962</v>
      </c>
      <c r="B55" s="119" t="s">
        <v>3963</v>
      </c>
      <c r="C55" s="116"/>
      <c r="D55" s="116"/>
      <c r="E55" s="116"/>
      <c r="F55" s="116"/>
      <c r="G55" s="116"/>
      <c r="H55" s="116"/>
      <c r="I55" s="116"/>
      <c r="J55" s="116"/>
      <c r="K55" s="116"/>
      <c r="L55" s="116"/>
      <c r="M55" s="116"/>
      <c r="N55" s="116"/>
    </row>
    <row r="56" spans="1:14" ht="23.25" customHeight="1">
      <c r="A56" s="117" t="s">
        <v>3964</v>
      </c>
      <c r="B56" s="119" t="s">
        <v>3965</v>
      </c>
      <c r="C56" s="116"/>
      <c r="D56" s="116"/>
      <c r="E56" s="116"/>
      <c r="F56" s="116"/>
      <c r="G56" s="116"/>
      <c r="H56" s="116"/>
      <c r="I56" s="116"/>
      <c r="J56" s="116"/>
      <c r="K56" s="116"/>
      <c r="L56" s="116"/>
      <c r="M56" s="116"/>
      <c r="N56" s="116"/>
    </row>
    <row r="57" spans="1:14" ht="15" customHeight="1">
      <c r="A57" s="120" t="s">
        <v>3966</v>
      </c>
      <c r="B57" s="121" t="s">
        <v>3967</v>
      </c>
      <c r="C57" s="116"/>
      <c r="D57" s="116"/>
      <c r="E57" s="116"/>
      <c r="F57" s="116"/>
      <c r="G57" s="116"/>
      <c r="H57" s="116"/>
      <c r="I57" s="116"/>
      <c r="J57" s="116"/>
      <c r="K57" s="116"/>
      <c r="L57" s="116"/>
      <c r="M57" s="116"/>
      <c r="N57" s="116"/>
    </row>
    <row r="59" spans="1:14" ht="15" customHeight="1">
      <c r="A59" s="17" t="s">
        <v>3968</v>
      </c>
      <c r="B59" s="135"/>
    </row>
    <row r="60" spans="1:14" ht="15" customHeight="1">
      <c r="A60" s="6" t="s">
        <v>3969</v>
      </c>
      <c r="B60" s="7" t="s">
        <v>3970</v>
      </c>
    </row>
    <row r="61" spans="1:14" ht="15" customHeight="1">
      <c r="A61" s="8" t="s">
        <v>3971</v>
      </c>
      <c r="B61" s="9" t="s">
        <v>3972</v>
      </c>
    </row>
    <row r="62" spans="1:14" ht="15" customHeight="1">
      <c r="A62" s="6" t="s">
        <v>3973</v>
      </c>
      <c r="B62" s="7" t="s">
        <v>3974</v>
      </c>
    </row>
    <row r="63" spans="1:14" ht="15" customHeight="1">
      <c r="A63" s="8" t="s">
        <v>3975</v>
      </c>
      <c r="B63" s="9" t="s">
        <v>3976</v>
      </c>
    </row>
    <row r="64" spans="1:14" ht="15" customHeight="1">
      <c r="A64" s="6" t="s">
        <v>3977</v>
      </c>
      <c r="B64" s="7" t="s">
        <v>3978</v>
      </c>
    </row>
    <row r="65" spans="1:2" ht="15" customHeight="1">
      <c r="A65" s="8" t="s">
        <v>3979</v>
      </c>
      <c r="B65" s="9" t="s">
        <v>3980</v>
      </c>
    </row>
    <row r="66" spans="1:2" ht="15" customHeight="1">
      <c r="A66" s="17" t="s">
        <v>3981</v>
      </c>
      <c r="B66" s="135"/>
    </row>
    <row r="67" spans="1:2" ht="15" customHeight="1">
      <c r="A67" s="6" t="s">
        <v>3982</v>
      </c>
      <c r="B67" s="7" t="s">
        <v>3983</v>
      </c>
    </row>
    <row r="68" spans="1:2" ht="15" customHeight="1">
      <c r="A68" s="8" t="s">
        <v>3984</v>
      </c>
      <c r="B68" s="9" t="s">
        <v>3985</v>
      </c>
    </row>
    <row r="69" spans="1:2" ht="15" customHeight="1">
      <c r="A69" s="6" t="s">
        <v>3986</v>
      </c>
      <c r="B69" s="7" t="s">
        <v>3987</v>
      </c>
    </row>
    <row r="70" spans="1:2" ht="15" customHeight="1">
      <c r="A70" s="8" t="s">
        <v>3988</v>
      </c>
      <c r="B70" s="9" t="s">
        <v>3989</v>
      </c>
    </row>
    <row r="71" spans="1:2" ht="15" customHeight="1">
      <c r="A71" s="6" t="s">
        <v>3990</v>
      </c>
      <c r="B71" s="7" t="s">
        <v>3991</v>
      </c>
    </row>
    <row r="72" spans="1:2" ht="15" customHeight="1">
      <c r="A72" s="8" t="s">
        <v>3992</v>
      </c>
      <c r="B72" s="9" t="s">
        <v>3993</v>
      </c>
    </row>
    <row r="73" spans="1:2" ht="15" customHeight="1">
      <c r="A73" s="6" t="s">
        <v>3994</v>
      </c>
      <c r="B73" s="7" t="s">
        <v>3995</v>
      </c>
    </row>
    <row r="74" spans="1:2" ht="15" customHeight="1">
      <c r="A74" s="8" t="s">
        <v>3996</v>
      </c>
      <c r="B74" s="9" t="s">
        <v>3997</v>
      </c>
    </row>
    <row r="75" spans="1:2" ht="15" customHeight="1">
      <c r="A75" s="6" t="s">
        <v>3998</v>
      </c>
      <c r="B75" s="7" t="s">
        <v>3999</v>
      </c>
    </row>
  </sheetData>
  <pageMargins left="0.7" right="0.7" top="0.75" bottom="0.75"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74"/>
  <sheetViews>
    <sheetView topLeftCell="A56" zoomScaleNormal="100" workbookViewId="0">
      <selection activeCell="A70" sqref="A70"/>
    </sheetView>
  </sheetViews>
  <sheetFormatPr defaultColWidth="8.5703125" defaultRowHeight="15"/>
  <cols>
    <col min="1" max="1" width="65" style="47" customWidth="1"/>
  </cols>
  <sheetData>
    <row r="1" spans="1:1" s="137" customFormat="1" ht="33.75" customHeight="1">
      <c r="A1" s="136" t="s">
        <v>4000</v>
      </c>
    </row>
    <row r="2" spans="1:1" ht="23.25" customHeight="1">
      <c r="A2" s="86" t="s">
        <v>4001</v>
      </c>
    </row>
    <row r="3" spans="1:1" ht="19.5" customHeight="1">
      <c r="A3" s="69"/>
    </row>
    <row r="4" spans="1:1" ht="19.5" customHeight="1">
      <c r="A4" s="138" t="s">
        <v>4002</v>
      </c>
    </row>
    <row r="5" spans="1:1" ht="19.5" customHeight="1">
      <c r="A5" s="69"/>
    </row>
    <row r="6" spans="1:1" ht="19.5" customHeight="1">
      <c r="A6" s="139" t="s">
        <v>4003</v>
      </c>
    </row>
    <row r="7" spans="1:1" ht="19.5" customHeight="1">
      <c r="A7" s="69" t="s">
        <v>3837</v>
      </c>
    </row>
    <row r="8" spans="1:1" ht="19.5" customHeight="1">
      <c r="A8" s="140" t="s">
        <v>4004</v>
      </c>
    </row>
    <row r="9" spans="1:1" ht="19.5" customHeight="1">
      <c r="A9" s="69" t="s">
        <v>4005</v>
      </c>
    </row>
    <row r="10" spans="1:1" ht="19.5" customHeight="1">
      <c r="A10" s="69" t="s">
        <v>4006</v>
      </c>
    </row>
    <row r="11" spans="1:1" ht="19.5" customHeight="1">
      <c r="A11" s="69" t="s">
        <v>4007</v>
      </c>
    </row>
    <row r="12" spans="1:1" ht="19.5" customHeight="1">
      <c r="A12" s="69" t="s">
        <v>3837</v>
      </c>
    </row>
    <row r="13" spans="1:1" ht="19.5" customHeight="1">
      <c r="A13" s="140" t="s">
        <v>4008</v>
      </c>
    </row>
    <row r="14" spans="1:1" ht="19.5" customHeight="1">
      <c r="A14" s="69" t="s">
        <v>4009</v>
      </c>
    </row>
    <row r="15" spans="1:1" ht="19.5" customHeight="1">
      <c r="A15" s="69" t="s">
        <v>4010</v>
      </c>
    </row>
    <row r="16" spans="1:1" ht="19.5" customHeight="1">
      <c r="A16" s="69" t="s">
        <v>4011</v>
      </c>
    </row>
    <row r="17" spans="1:1" ht="19.5" customHeight="1">
      <c r="A17" s="69" t="s">
        <v>4012</v>
      </c>
    </row>
    <row r="18" spans="1:1" ht="19.5" customHeight="1">
      <c r="A18" s="69" t="s">
        <v>3837</v>
      </c>
    </row>
    <row r="19" spans="1:1" ht="19.5" customHeight="1">
      <c r="A19" s="140" t="s">
        <v>4013</v>
      </c>
    </row>
    <row r="20" spans="1:1" ht="19.5" customHeight="1">
      <c r="A20" s="69" t="s">
        <v>4014</v>
      </c>
    </row>
    <row r="21" spans="1:1" ht="19.5" customHeight="1">
      <c r="A21" s="69" t="s">
        <v>4015</v>
      </c>
    </row>
    <row r="22" spans="1:1" ht="19.5" customHeight="1">
      <c r="A22" s="69" t="s">
        <v>4016</v>
      </c>
    </row>
    <row r="23" spans="1:1" ht="19.5" customHeight="1">
      <c r="A23" s="69" t="s">
        <v>4017</v>
      </c>
    </row>
    <row r="24" spans="1:1" ht="19.5" customHeight="1">
      <c r="A24" s="69" t="s">
        <v>3837</v>
      </c>
    </row>
    <row r="25" spans="1:1" ht="19.5" customHeight="1">
      <c r="A25" s="140" t="s">
        <v>4018</v>
      </c>
    </row>
    <row r="26" spans="1:1" ht="19.5" customHeight="1">
      <c r="A26" s="69" t="s">
        <v>4019</v>
      </c>
    </row>
    <row r="27" spans="1:1" ht="19.5" customHeight="1">
      <c r="A27" s="69" t="s">
        <v>4020</v>
      </c>
    </row>
    <row r="28" spans="1:1" ht="19.5" customHeight="1">
      <c r="A28" s="69" t="s">
        <v>3837</v>
      </c>
    </row>
    <row r="29" spans="1:1" ht="19.5" customHeight="1">
      <c r="A29" s="140" t="s">
        <v>4021</v>
      </c>
    </row>
    <row r="30" spans="1:1" ht="19.5" customHeight="1">
      <c r="A30" s="69" t="s">
        <v>4022</v>
      </c>
    </row>
    <row r="31" spans="1:1" ht="19.5" customHeight="1">
      <c r="A31" s="69" t="s">
        <v>4023</v>
      </c>
    </row>
    <row r="32" spans="1:1" ht="19.5" customHeight="1">
      <c r="A32" s="69" t="s">
        <v>4024</v>
      </c>
    </row>
    <row r="33" spans="1:1" ht="19.5" customHeight="1">
      <c r="A33" s="69" t="s">
        <v>3837</v>
      </c>
    </row>
    <row r="34" spans="1:1" ht="19.5" customHeight="1">
      <c r="A34" s="139" t="s">
        <v>4025</v>
      </c>
    </row>
    <row r="35" spans="1:1" ht="19.5" customHeight="1">
      <c r="A35" s="69" t="s">
        <v>3837</v>
      </c>
    </row>
    <row r="36" spans="1:1" ht="19.5" customHeight="1">
      <c r="A36" s="140" t="s">
        <v>4026</v>
      </c>
    </row>
    <row r="37" spans="1:1" ht="19.5" customHeight="1">
      <c r="A37" s="69" t="s">
        <v>4027</v>
      </c>
    </row>
    <row r="38" spans="1:1" ht="19.5" customHeight="1">
      <c r="A38" s="69" t="s">
        <v>4028</v>
      </c>
    </row>
    <row r="39" spans="1:1" ht="19.5" customHeight="1">
      <c r="A39" s="69" t="s">
        <v>4029</v>
      </c>
    </row>
    <row r="40" spans="1:1" ht="19.5" customHeight="1">
      <c r="A40" s="69" t="s">
        <v>3837</v>
      </c>
    </row>
    <row r="41" spans="1:1" ht="19.5" customHeight="1">
      <c r="A41" s="140" t="s">
        <v>4030</v>
      </c>
    </row>
    <row r="42" spans="1:1" ht="19.5" customHeight="1">
      <c r="A42" s="69" t="s">
        <v>4031</v>
      </c>
    </row>
    <row r="43" spans="1:1" ht="19.5" customHeight="1">
      <c r="A43" s="69" t="s">
        <v>4032</v>
      </c>
    </row>
    <row r="44" spans="1:1" ht="19.5" customHeight="1">
      <c r="A44" s="69" t="s">
        <v>3837</v>
      </c>
    </row>
    <row r="45" spans="1:1" ht="19.5" customHeight="1">
      <c r="A45" s="140" t="s">
        <v>4033</v>
      </c>
    </row>
    <row r="46" spans="1:1" ht="19.5" customHeight="1">
      <c r="A46" s="69" t="s">
        <v>4034</v>
      </c>
    </row>
    <row r="47" spans="1:1" ht="19.5" customHeight="1">
      <c r="A47" s="69" t="s">
        <v>4035</v>
      </c>
    </row>
    <row r="48" spans="1:1" ht="15" customHeight="1">
      <c r="A48" s="69" t="s">
        <v>4036</v>
      </c>
    </row>
    <row r="49" spans="1:1" ht="23.25" customHeight="1">
      <c r="A49" s="69" t="s">
        <v>4037</v>
      </c>
    </row>
    <row r="50" spans="1:1" ht="15" customHeight="1">
      <c r="A50" s="69" t="s">
        <v>4038</v>
      </c>
    </row>
    <row r="51" spans="1:1" ht="15" customHeight="1">
      <c r="A51" s="69" t="s">
        <v>3837</v>
      </c>
    </row>
    <row r="52" spans="1:1" ht="26.25" customHeight="1">
      <c r="A52" s="139" t="s">
        <v>4039</v>
      </c>
    </row>
    <row r="53" spans="1:1" ht="15" customHeight="1">
      <c r="A53" s="69" t="s">
        <v>3837</v>
      </c>
    </row>
    <row r="54" spans="1:1" ht="15" customHeight="1">
      <c r="A54" s="138" t="s">
        <v>4040</v>
      </c>
    </row>
    <row r="55" spans="1:1" ht="15" customHeight="1">
      <c r="A55" s="69" t="s">
        <v>3837</v>
      </c>
    </row>
    <row r="56" spans="1:1" ht="15" customHeight="1">
      <c r="A56" s="139" t="s">
        <v>4041</v>
      </c>
    </row>
    <row r="57" spans="1:1" ht="15" customHeight="1">
      <c r="A57" s="69" t="s">
        <v>4042</v>
      </c>
    </row>
    <row r="58" spans="1:1" ht="15" customHeight="1">
      <c r="A58" s="69" t="s">
        <v>4043</v>
      </c>
    </row>
    <row r="59" spans="1:1" ht="15" customHeight="1">
      <c r="A59" s="69" t="s">
        <v>4044</v>
      </c>
    </row>
    <row r="60" spans="1:1" ht="23.25" customHeight="1">
      <c r="A60" s="69" t="s">
        <v>4045</v>
      </c>
    </row>
    <row r="61" spans="1:1" ht="15" customHeight="1">
      <c r="A61" s="69" t="s">
        <v>4046</v>
      </c>
    </row>
    <row r="62" spans="1:1" ht="23.25" customHeight="1">
      <c r="A62" s="69" t="s">
        <v>4047</v>
      </c>
    </row>
    <row r="63" spans="1:1" ht="15" customHeight="1">
      <c r="A63" s="69" t="s">
        <v>4048</v>
      </c>
    </row>
    <row r="64" spans="1:1" ht="26.25" customHeight="1">
      <c r="A64" s="138" t="s">
        <v>4049</v>
      </c>
    </row>
    <row r="65" spans="1:1" ht="26.25" customHeight="1">
      <c r="A65" s="141" t="s">
        <v>4050</v>
      </c>
    </row>
    <row r="66" spans="1:1" ht="23.25" customHeight="1">
      <c r="A66" s="142" t="s">
        <v>4045</v>
      </c>
    </row>
    <row r="67" spans="1:1" ht="23.25" customHeight="1">
      <c r="A67" s="142" t="s">
        <v>4051</v>
      </c>
    </row>
    <row r="68" spans="1:1" ht="23.25" customHeight="1">
      <c r="A68" s="142" t="s">
        <v>4052</v>
      </c>
    </row>
    <row r="69" spans="1:1" ht="23.25" customHeight="1">
      <c r="A69" s="142" t="s">
        <v>4053</v>
      </c>
    </row>
    <row r="70" spans="1:1" ht="23.25" customHeight="1">
      <c r="A70" s="142" t="s">
        <v>4054</v>
      </c>
    </row>
    <row r="71" spans="1:1" ht="23.25" customHeight="1">
      <c r="A71" s="142" t="s">
        <v>4055</v>
      </c>
    </row>
    <row r="72" spans="1:1" ht="15" customHeight="1">
      <c r="A72" s="69"/>
    </row>
    <row r="73" spans="1:1" ht="39" customHeight="1">
      <c r="A73" s="139" t="s">
        <v>4056</v>
      </c>
    </row>
    <row r="74" spans="1:1" ht="26.25" customHeight="1">
      <c r="A74" s="143" t="s">
        <v>4057</v>
      </c>
    </row>
  </sheetData>
  <pageMargins left="0.7" right="0.7" top="0.75" bottom="0.75"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38"/>
  <sheetViews>
    <sheetView topLeftCell="D1" zoomScaleNormal="100" workbookViewId="0">
      <pane ySplit="1" topLeftCell="A2" activePane="bottomLeft" state="frozen"/>
      <selection activeCell="D1" sqref="D1"/>
      <selection pane="bottomLeft"/>
    </sheetView>
  </sheetViews>
  <sheetFormatPr defaultColWidth="8.5703125" defaultRowHeight="15"/>
  <cols>
    <col min="1" max="1" width="12" customWidth="1"/>
    <col min="2" max="2" width="65" style="47" customWidth="1"/>
    <col min="3" max="3" width="53.7109375" customWidth="1"/>
    <col min="4" max="4" width="65" style="47" customWidth="1"/>
    <col min="5" max="6" width="18.140625" customWidth="1"/>
    <col min="8" max="8" width="22" customWidth="1"/>
  </cols>
  <sheetData>
    <row r="1" spans="1:6" ht="27.75" customHeight="1">
      <c r="A1" s="144" t="s">
        <v>4058</v>
      </c>
      <c r="B1" s="145" t="s">
        <v>260</v>
      </c>
      <c r="C1" s="145" t="s">
        <v>14</v>
      </c>
      <c r="D1" s="145" t="s">
        <v>598</v>
      </c>
      <c r="E1" s="145" t="s">
        <v>4059</v>
      </c>
      <c r="F1" s="146" t="s">
        <v>4060</v>
      </c>
    </row>
    <row r="2" spans="1:6" ht="39.75" customHeight="1">
      <c r="A2" s="147" t="s">
        <v>4061</v>
      </c>
      <c r="B2" s="148" t="s">
        <v>4062</v>
      </c>
      <c r="C2" s="149" t="s">
        <v>3031</v>
      </c>
      <c r="D2" s="148" t="s">
        <v>4063</v>
      </c>
      <c r="E2" s="150" t="s">
        <v>4064</v>
      </c>
      <c r="F2" s="151" t="s">
        <v>4065</v>
      </c>
    </row>
    <row r="3" spans="1:6" ht="39.75" customHeight="1">
      <c r="A3" s="152" t="s">
        <v>4066</v>
      </c>
      <c r="B3" s="153" t="s">
        <v>4067</v>
      </c>
      <c r="C3" s="154" t="s">
        <v>3031</v>
      </c>
      <c r="D3" s="153" t="s">
        <v>4068</v>
      </c>
      <c r="E3" s="155" t="s">
        <v>4064</v>
      </c>
      <c r="F3" s="156" t="s">
        <v>4065</v>
      </c>
    </row>
    <row r="4" spans="1:6" ht="39.75" customHeight="1">
      <c r="A4" s="147" t="s">
        <v>4069</v>
      </c>
      <c r="B4" s="148" t="s">
        <v>4070</v>
      </c>
      <c r="C4" s="149" t="s">
        <v>3031</v>
      </c>
      <c r="D4" s="148" t="s">
        <v>4071</v>
      </c>
      <c r="E4" s="150" t="s">
        <v>4064</v>
      </c>
      <c r="F4" s="151" t="s">
        <v>4065</v>
      </c>
    </row>
    <row r="5" spans="1:6" ht="39.75" customHeight="1">
      <c r="A5" s="152" t="s">
        <v>4072</v>
      </c>
      <c r="B5" s="153" t="s">
        <v>4073</v>
      </c>
      <c r="C5" s="154" t="s">
        <v>3031</v>
      </c>
      <c r="D5" s="153" t="s">
        <v>4074</v>
      </c>
      <c r="E5" s="155" t="s">
        <v>4064</v>
      </c>
      <c r="F5" s="156" t="s">
        <v>4065</v>
      </c>
    </row>
    <row r="6" spans="1:6" ht="39.75" customHeight="1">
      <c r="A6" s="147" t="s">
        <v>4075</v>
      </c>
      <c r="B6" s="148" t="s">
        <v>4076</v>
      </c>
      <c r="C6" s="149" t="s">
        <v>3031</v>
      </c>
      <c r="D6" s="148" t="s">
        <v>4077</v>
      </c>
      <c r="E6" s="150" t="s">
        <v>4078</v>
      </c>
      <c r="F6" s="151" t="s">
        <v>4079</v>
      </c>
    </row>
    <row r="7" spans="1:6" ht="39.75" customHeight="1">
      <c r="A7" s="152" t="s">
        <v>4080</v>
      </c>
      <c r="B7" s="153" t="s">
        <v>4081</v>
      </c>
      <c r="C7" s="154" t="s">
        <v>3031</v>
      </c>
      <c r="D7" s="153" t="s">
        <v>4082</v>
      </c>
      <c r="E7" s="155" t="s">
        <v>4078</v>
      </c>
      <c r="F7" s="156" t="s">
        <v>4079</v>
      </c>
    </row>
    <row r="8" spans="1:6" ht="39.75" customHeight="1">
      <c r="A8" s="147" t="s">
        <v>4083</v>
      </c>
      <c r="B8" s="148" t="s">
        <v>4084</v>
      </c>
      <c r="C8" s="149" t="s">
        <v>3031</v>
      </c>
      <c r="D8" s="148" t="s">
        <v>4085</v>
      </c>
      <c r="E8" s="150" t="s">
        <v>4078</v>
      </c>
      <c r="F8" s="151" t="s">
        <v>4079</v>
      </c>
    </row>
    <row r="9" spans="1:6" ht="39.75" customHeight="1">
      <c r="A9" s="152" t="s">
        <v>4086</v>
      </c>
      <c r="B9" s="153" t="s">
        <v>4087</v>
      </c>
      <c r="C9" s="154" t="s">
        <v>3031</v>
      </c>
      <c r="D9" s="153" t="s">
        <v>4088</v>
      </c>
      <c r="E9" s="155" t="s">
        <v>4078</v>
      </c>
      <c r="F9" s="156" t="s">
        <v>4079</v>
      </c>
    </row>
    <row r="10" spans="1:6" ht="39.75" customHeight="1">
      <c r="A10" s="147" t="s">
        <v>4089</v>
      </c>
      <c r="B10" s="148" t="s">
        <v>4090</v>
      </c>
      <c r="C10" s="149" t="s">
        <v>3031</v>
      </c>
      <c r="D10" s="148" t="s">
        <v>4091</v>
      </c>
      <c r="E10" s="150" t="s">
        <v>4078</v>
      </c>
      <c r="F10" s="151" t="s">
        <v>4079</v>
      </c>
    </row>
    <row r="11" spans="1:6" ht="39.75" customHeight="1">
      <c r="A11" s="152" t="s">
        <v>4092</v>
      </c>
      <c r="B11" s="153" t="s">
        <v>4093</v>
      </c>
      <c r="C11" s="154" t="s">
        <v>3031</v>
      </c>
      <c r="D11" s="153" t="s">
        <v>4094</v>
      </c>
      <c r="E11" s="155" t="s">
        <v>4078</v>
      </c>
      <c r="F11" s="156" t="s">
        <v>4079</v>
      </c>
    </row>
    <row r="12" spans="1:6" ht="39.75" customHeight="1">
      <c r="A12" s="147" t="s">
        <v>4095</v>
      </c>
      <c r="B12" s="148" t="s">
        <v>4096</v>
      </c>
      <c r="C12" s="149" t="s">
        <v>3031</v>
      </c>
      <c r="D12" s="148" t="s">
        <v>4097</v>
      </c>
      <c r="E12" s="150" t="s">
        <v>4098</v>
      </c>
      <c r="F12" s="151" t="s">
        <v>4099</v>
      </c>
    </row>
    <row r="13" spans="1:6" ht="39.75" customHeight="1">
      <c r="A13" s="152" t="s">
        <v>4100</v>
      </c>
      <c r="B13" s="153" t="s">
        <v>4101</v>
      </c>
      <c r="C13" s="154" t="s">
        <v>3031</v>
      </c>
      <c r="D13" s="153" t="s">
        <v>4102</v>
      </c>
      <c r="E13" s="155"/>
      <c r="F13" s="156" t="s">
        <v>4099</v>
      </c>
    </row>
    <row r="14" spans="1:6" ht="39.75" customHeight="1">
      <c r="A14" s="147" t="s">
        <v>4103</v>
      </c>
      <c r="B14" s="148" t="s">
        <v>4104</v>
      </c>
      <c r="C14" s="149" t="s">
        <v>3031</v>
      </c>
      <c r="D14" s="148" t="s">
        <v>4105</v>
      </c>
      <c r="E14" s="150" t="s">
        <v>4106</v>
      </c>
      <c r="F14" s="151" t="s">
        <v>4107</v>
      </c>
    </row>
    <row r="15" spans="1:6" ht="39.75" customHeight="1">
      <c r="A15" s="152" t="s">
        <v>4108</v>
      </c>
      <c r="B15" s="153" t="s">
        <v>4109</v>
      </c>
      <c r="C15" s="154" t="s">
        <v>3031</v>
      </c>
      <c r="D15" s="153" t="s">
        <v>4110</v>
      </c>
      <c r="E15" s="155" t="s">
        <v>4106</v>
      </c>
      <c r="F15" s="156" t="s">
        <v>4107</v>
      </c>
    </row>
    <row r="16" spans="1:6" ht="39.75" customHeight="1">
      <c r="A16" s="147" t="s">
        <v>4111</v>
      </c>
      <c r="B16" s="148" t="s">
        <v>4112</v>
      </c>
      <c r="C16" s="149" t="s">
        <v>3031</v>
      </c>
      <c r="D16" s="148" t="s">
        <v>4113</v>
      </c>
      <c r="E16" s="150" t="s">
        <v>4106</v>
      </c>
      <c r="F16" s="151" t="s">
        <v>4107</v>
      </c>
    </row>
    <row r="17" spans="1:6" ht="39.75" customHeight="1">
      <c r="A17" s="152" t="s">
        <v>4114</v>
      </c>
      <c r="B17" s="153" t="s">
        <v>4115</v>
      </c>
      <c r="C17" s="154" t="s">
        <v>3031</v>
      </c>
      <c r="D17" s="153" t="s">
        <v>4116</v>
      </c>
      <c r="E17" s="155" t="s">
        <v>4106</v>
      </c>
      <c r="F17" s="156" t="s">
        <v>4107</v>
      </c>
    </row>
    <row r="18" spans="1:6" ht="39.75" customHeight="1">
      <c r="A18" s="147" t="s">
        <v>4117</v>
      </c>
      <c r="B18" s="148" t="s">
        <v>4118</v>
      </c>
      <c r="C18" s="149" t="s">
        <v>3031</v>
      </c>
      <c r="D18" s="148" t="s">
        <v>4119</v>
      </c>
      <c r="E18" s="150" t="s">
        <v>4098</v>
      </c>
      <c r="F18" s="151" t="s">
        <v>4120</v>
      </c>
    </row>
    <row r="19" spans="1:6" ht="39.75" customHeight="1">
      <c r="A19" s="152" t="s">
        <v>4121</v>
      </c>
      <c r="B19" s="153" t="s">
        <v>4122</v>
      </c>
      <c r="C19" s="154" t="s">
        <v>3031</v>
      </c>
      <c r="D19" s="153" t="s">
        <v>4123</v>
      </c>
      <c r="E19" s="155" t="s">
        <v>4098</v>
      </c>
      <c r="F19" s="156" t="s">
        <v>4120</v>
      </c>
    </row>
    <row r="20" spans="1:6" ht="39.75" customHeight="1">
      <c r="A20" s="147" t="s">
        <v>4124</v>
      </c>
      <c r="B20" s="148" t="s">
        <v>4125</v>
      </c>
      <c r="C20" s="149" t="s">
        <v>3031</v>
      </c>
      <c r="D20" s="148" t="s">
        <v>4126</v>
      </c>
      <c r="E20" s="150" t="s">
        <v>4106</v>
      </c>
      <c r="F20" s="151" t="s">
        <v>4107</v>
      </c>
    </row>
    <row r="21" spans="1:6" ht="39.75" customHeight="1">
      <c r="A21" s="152" t="s">
        <v>4127</v>
      </c>
      <c r="B21" s="153" t="s">
        <v>4128</v>
      </c>
      <c r="C21" s="154" t="s">
        <v>3031</v>
      </c>
      <c r="D21" s="153" t="s">
        <v>4129</v>
      </c>
      <c r="E21" s="155" t="s">
        <v>4106</v>
      </c>
      <c r="F21" s="156" t="s">
        <v>4107</v>
      </c>
    </row>
    <row r="22" spans="1:6" ht="39.75" customHeight="1">
      <c r="A22" s="147" t="s">
        <v>4130</v>
      </c>
      <c r="B22" s="148" t="s">
        <v>4131</v>
      </c>
      <c r="C22" s="149" t="s">
        <v>3031</v>
      </c>
      <c r="D22" s="148" t="s">
        <v>4132</v>
      </c>
      <c r="E22" s="150" t="s">
        <v>4106</v>
      </c>
      <c r="F22" s="151" t="s">
        <v>4107</v>
      </c>
    </row>
    <row r="23" spans="1:6" ht="39.75" customHeight="1">
      <c r="A23" s="152" t="s">
        <v>4133</v>
      </c>
      <c r="B23" s="153" t="s">
        <v>4134</v>
      </c>
      <c r="C23" s="154" t="s">
        <v>3031</v>
      </c>
      <c r="D23" s="153" t="s">
        <v>4135</v>
      </c>
      <c r="E23" s="155" t="s">
        <v>4098</v>
      </c>
      <c r="F23" s="156" t="s">
        <v>4136</v>
      </c>
    </row>
    <row r="24" spans="1:6" ht="39.75" customHeight="1">
      <c r="A24" s="147" t="s">
        <v>4137</v>
      </c>
      <c r="B24" s="148" t="s">
        <v>4138</v>
      </c>
      <c r="C24" s="149" t="s">
        <v>3031</v>
      </c>
      <c r="D24" s="148" t="s">
        <v>4139</v>
      </c>
      <c r="E24" s="150" t="s">
        <v>4106</v>
      </c>
      <c r="F24" s="151" t="s">
        <v>4140</v>
      </c>
    </row>
    <row r="25" spans="1:6" ht="39.75" customHeight="1">
      <c r="A25" s="152" t="s">
        <v>4141</v>
      </c>
      <c r="B25" s="153" t="s">
        <v>4142</v>
      </c>
      <c r="C25" s="154" t="s">
        <v>3031</v>
      </c>
      <c r="D25" s="153" t="s">
        <v>4143</v>
      </c>
      <c r="E25" s="155" t="s">
        <v>4106</v>
      </c>
      <c r="F25" s="156" t="s">
        <v>4140</v>
      </c>
    </row>
    <row r="26" spans="1:6" ht="39.75" customHeight="1">
      <c r="A26" s="147" t="s">
        <v>4144</v>
      </c>
      <c r="B26" s="148" t="s">
        <v>4145</v>
      </c>
      <c r="C26" s="149" t="s">
        <v>3031</v>
      </c>
      <c r="D26" s="148" t="s">
        <v>4146</v>
      </c>
      <c r="E26" s="150" t="s">
        <v>4106</v>
      </c>
      <c r="F26" s="151" t="s">
        <v>4140</v>
      </c>
    </row>
    <row r="27" spans="1:6" ht="39.75" customHeight="1">
      <c r="A27" s="152" t="s">
        <v>4147</v>
      </c>
      <c r="B27" s="153" t="s">
        <v>4148</v>
      </c>
      <c r="C27" s="154" t="s">
        <v>3031</v>
      </c>
      <c r="D27" s="153" t="s">
        <v>4149</v>
      </c>
      <c r="E27" s="155" t="s">
        <v>4106</v>
      </c>
      <c r="F27" s="156" t="s">
        <v>4107</v>
      </c>
    </row>
    <row r="28" spans="1:6" ht="39.75" customHeight="1">
      <c r="A28" s="157" t="s">
        <v>4150</v>
      </c>
      <c r="B28" s="158" t="s">
        <v>4151</v>
      </c>
      <c r="C28" s="159" t="s">
        <v>3031</v>
      </c>
      <c r="D28" s="158" t="s">
        <v>4152</v>
      </c>
      <c r="E28" s="160" t="s">
        <v>4098</v>
      </c>
      <c r="F28" s="161" t="s">
        <v>4153</v>
      </c>
    </row>
    <row r="29" spans="1:6" ht="39.75" customHeight="1">
      <c r="A29" s="162" t="s">
        <v>4154</v>
      </c>
      <c r="B29" s="100" t="s">
        <v>4155</v>
      </c>
      <c r="C29" s="163" t="s">
        <v>4156</v>
      </c>
      <c r="D29" s="100" t="s">
        <v>4157</v>
      </c>
      <c r="E29" s="164"/>
      <c r="F29" s="100" t="s">
        <v>4158</v>
      </c>
    </row>
    <row r="30" spans="1:6" ht="39.75" customHeight="1">
      <c r="A30" s="162" t="s">
        <v>4159</v>
      </c>
      <c r="B30" s="100" t="s">
        <v>4160</v>
      </c>
      <c r="C30" s="163" t="s">
        <v>4161</v>
      </c>
      <c r="D30" s="100" t="s">
        <v>4162</v>
      </c>
      <c r="E30" s="164" t="s">
        <v>4163</v>
      </c>
      <c r="F30" s="100" t="s">
        <v>4164</v>
      </c>
    </row>
    <row r="31" spans="1:6" ht="39.75" customHeight="1">
      <c r="A31" s="162" t="s">
        <v>4165</v>
      </c>
      <c r="B31" s="100" t="s">
        <v>4166</v>
      </c>
      <c r="C31" s="163" t="s">
        <v>4167</v>
      </c>
      <c r="D31" s="100" t="s">
        <v>4168</v>
      </c>
      <c r="E31" s="164"/>
      <c r="F31" s="100" t="s">
        <v>4158</v>
      </c>
    </row>
    <row r="32" spans="1:6" ht="39.75" customHeight="1">
      <c r="A32" s="162" t="s">
        <v>4169</v>
      </c>
      <c r="B32" s="100" t="s">
        <v>4170</v>
      </c>
      <c r="C32" s="163" t="s">
        <v>4171</v>
      </c>
      <c r="D32" s="100" t="s">
        <v>4172</v>
      </c>
      <c r="E32" s="164" t="s">
        <v>4163</v>
      </c>
      <c r="F32" s="100" t="s">
        <v>4164</v>
      </c>
    </row>
    <row r="33" spans="1:6" ht="39.75" customHeight="1">
      <c r="A33" s="162" t="s">
        <v>4173</v>
      </c>
      <c r="B33" s="100" t="s">
        <v>4174</v>
      </c>
      <c r="C33" s="163" t="s">
        <v>4175</v>
      </c>
      <c r="D33" s="100" t="s">
        <v>4176</v>
      </c>
      <c r="E33" s="164" t="s">
        <v>4163</v>
      </c>
      <c r="F33" s="100" t="s">
        <v>4164</v>
      </c>
    </row>
    <row r="34" spans="1:6" ht="39.75" customHeight="1">
      <c r="A34" s="162" t="s">
        <v>4177</v>
      </c>
      <c r="B34" s="100" t="s">
        <v>4178</v>
      </c>
      <c r="C34" s="163" t="s">
        <v>4179</v>
      </c>
      <c r="D34" s="100" t="s">
        <v>4180</v>
      </c>
      <c r="E34" s="164" t="s">
        <v>4163</v>
      </c>
      <c r="F34" s="100" t="s">
        <v>4164</v>
      </c>
    </row>
    <row r="35" spans="1:6" ht="39.75" customHeight="1">
      <c r="A35" s="162" t="s">
        <v>4181</v>
      </c>
      <c r="B35" s="100" t="s">
        <v>4182</v>
      </c>
      <c r="C35" s="163" t="s">
        <v>4183</v>
      </c>
      <c r="D35" s="100" t="s">
        <v>4184</v>
      </c>
      <c r="E35" s="164" t="s">
        <v>4163</v>
      </c>
      <c r="F35" s="100" t="s">
        <v>4164</v>
      </c>
    </row>
    <row r="36" spans="1:6" ht="39.75" customHeight="1">
      <c r="A36" s="162" t="s">
        <v>4185</v>
      </c>
      <c r="B36" s="100" t="s">
        <v>4186</v>
      </c>
      <c r="C36" s="163" t="s">
        <v>4187</v>
      </c>
      <c r="D36" s="100" t="s">
        <v>4188</v>
      </c>
      <c r="E36" s="164" t="s">
        <v>4163</v>
      </c>
      <c r="F36" s="100" t="s">
        <v>4164</v>
      </c>
    </row>
    <row r="37" spans="1:6" ht="15" customHeight="1">
      <c r="A37" s="165"/>
      <c r="B37" s="23"/>
      <c r="C37" s="39"/>
      <c r="D37" s="23"/>
      <c r="E37" s="39"/>
      <c r="F37" s="39"/>
    </row>
    <row r="38" spans="1:6" ht="15" customHeight="1">
      <c r="A38" s="165"/>
      <c r="B38" s="23"/>
      <c r="C38" s="39"/>
      <c r="D38" s="23"/>
      <c r="E38" s="39"/>
      <c r="F38" s="39"/>
    </row>
  </sheetData>
  <pageMargins left="0.7" right="0.7" top="0.75" bottom="0.75"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G28"/>
  <sheetViews>
    <sheetView zoomScaleNormal="100" workbookViewId="0">
      <pane ySplit="1" topLeftCell="A2" activePane="bottomLeft" state="frozen"/>
      <selection pane="bottomLeft" activeCell="H16" sqref="H16"/>
    </sheetView>
  </sheetViews>
  <sheetFormatPr defaultColWidth="8.5703125" defaultRowHeight="15"/>
  <cols>
    <col min="1" max="1" width="12" customWidth="1"/>
    <col min="2" max="2" width="65" style="47" customWidth="1"/>
    <col min="3" max="5" width="15.85546875" customWidth="1"/>
    <col min="6" max="6" width="20.42578125" style="47" customWidth="1"/>
    <col min="7" max="7" width="65" style="47" customWidth="1"/>
  </cols>
  <sheetData>
    <row r="1" spans="1:7" s="137" customFormat="1" ht="27.75" customHeight="1">
      <c r="A1" s="166" t="s">
        <v>4189</v>
      </c>
      <c r="B1" s="166" t="s">
        <v>4190</v>
      </c>
      <c r="C1" s="166" t="s">
        <v>2629</v>
      </c>
      <c r="D1" s="166" t="s">
        <v>2156</v>
      </c>
      <c r="E1" s="166" t="s">
        <v>4191</v>
      </c>
      <c r="F1" s="166" t="s">
        <v>14</v>
      </c>
      <c r="G1" s="166" t="s">
        <v>4192</v>
      </c>
    </row>
    <row r="2" spans="1:7" ht="54.75" customHeight="1">
      <c r="A2" s="162" t="s">
        <v>3529</v>
      </c>
      <c r="B2" s="100" t="s">
        <v>4193</v>
      </c>
      <c r="C2" s="100" t="s">
        <v>3409</v>
      </c>
      <c r="D2" s="100" t="s">
        <v>1033</v>
      </c>
      <c r="E2" s="167" t="s">
        <v>17</v>
      </c>
      <c r="F2" s="163" t="s">
        <v>3709</v>
      </c>
      <c r="G2" s="100" t="s">
        <v>4194</v>
      </c>
    </row>
    <row r="3" spans="1:7" ht="54.75" customHeight="1">
      <c r="A3" s="168" t="s">
        <v>3529</v>
      </c>
      <c r="B3" s="101" t="s">
        <v>4195</v>
      </c>
      <c r="C3" s="101" t="s">
        <v>3409</v>
      </c>
      <c r="D3" s="101" t="s">
        <v>1033</v>
      </c>
      <c r="E3" s="169" t="s">
        <v>17</v>
      </c>
      <c r="F3" s="170" t="s">
        <v>3031</v>
      </c>
      <c r="G3" s="101" t="s">
        <v>4196</v>
      </c>
    </row>
    <row r="4" spans="1:7" ht="54.75" customHeight="1">
      <c r="A4" s="162" t="s">
        <v>3531</v>
      </c>
      <c r="B4" s="100" t="s">
        <v>4197</v>
      </c>
      <c r="C4" s="100" t="s">
        <v>3409</v>
      </c>
      <c r="D4" s="100" t="s">
        <v>1033</v>
      </c>
      <c r="E4" s="167" t="s">
        <v>17</v>
      </c>
      <c r="F4" s="163" t="s">
        <v>4198</v>
      </c>
      <c r="G4" s="100" t="s">
        <v>4199</v>
      </c>
    </row>
    <row r="5" spans="1:7" ht="54.75" customHeight="1">
      <c r="A5" s="168" t="s">
        <v>3533</v>
      </c>
      <c r="B5" s="101" t="s">
        <v>4200</v>
      </c>
      <c r="C5" s="101" t="s">
        <v>3409</v>
      </c>
      <c r="D5" s="101" t="s">
        <v>1033</v>
      </c>
      <c r="E5" s="169" t="s">
        <v>17</v>
      </c>
      <c r="F5" s="170" t="s">
        <v>4201</v>
      </c>
      <c r="G5" s="101" t="s">
        <v>4202</v>
      </c>
    </row>
    <row r="6" spans="1:7" ht="54.75" customHeight="1">
      <c r="A6" s="162" t="s">
        <v>3535</v>
      </c>
      <c r="B6" s="100" t="s">
        <v>4203</v>
      </c>
      <c r="C6" s="100" t="s">
        <v>3409</v>
      </c>
      <c r="D6" s="100" t="s">
        <v>1033</v>
      </c>
      <c r="E6" s="167" t="s">
        <v>17</v>
      </c>
      <c r="F6" s="163" t="s">
        <v>4201</v>
      </c>
      <c r="G6" s="100" t="s">
        <v>4204</v>
      </c>
    </row>
    <row r="7" spans="1:7" ht="54.75" customHeight="1">
      <c r="A7" s="168" t="s">
        <v>3537</v>
      </c>
      <c r="B7" s="101" t="s">
        <v>4205</v>
      </c>
      <c r="C7" s="101" t="s">
        <v>3409</v>
      </c>
      <c r="D7" s="101" t="s">
        <v>1033</v>
      </c>
      <c r="E7" s="169" t="s">
        <v>17</v>
      </c>
      <c r="F7" s="170" t="s">
        <v>4201</v>
      </c>
      <c r="G7" s="101" t="s">
        <v>4206</v>
      </c>
    </row>
    <row r="8" spans="1:7" ht="54.75" customHeight="1">
      <c r="A8" s="162" t="s">
        <v>4207</v>
      </c>
      <c r="B8" s="100" t="s">
        <v>4208</v>
      </c>
      <c r="C8" s="100" t="s">
        <v>3409</v>
      </c>
      <c r="D8" s="100" t="s">
        <v>1040</v>
      </c>
      <c r="E8" s="167" t="s">
        <v>17</v>
      </c>
      <c r="F8" s="163" t="s">
        <v>3031</v>
      </c>
      <c r="G8" s="100" t="s">
        <v>4209</v>
      </c>
    </row>
    <row r="9" spans="1:7" ht="54.75" customHeight="1">
      <c r="A9" s="168" t="s">
        <v>4210</v>
      </c>
      <c r="B9" s="101" t="s">
        <v>4211</v>
      </c>
      <c r="C9" s="101" t="s">
        <v>3409</v>
      </c>
      <c r="D9" s="101" t="s">
        <v>1040</v>
      </c>
      <c r="E9" s="169" t="s">
        <v>17</v>
      </c>
      <c r="F9" s="170" t="s">
        <v>3750</v>
      </c>
      <c r="G9" s="101" t="s">
        <v>4212</v>
      </c>
    </row>
    <row r="10" spans="1:7" ht="54.75" customHeight="1">
      <c r="A10" s="162" t="s">
        <v>4213</v>
      </c>
      <c r="B10" s="100" t="s">
        <v>4214</v>
      </c>
      <c r="C10" s="100" t="s">
        <v>3409</v>
      </c>
      <c r="D10" s="100" t="s">
        <v>1040</v>
      </c>
      <c r="E10" s="167" t="s">
        <v>17</v>
      </c>
      <c r="F10" s="163" t="s">
        <v>3750</v>
      </c>
      <c r="G10" s="100" t="s">
        <v>4215</v>
      </c>
    </row>
    <row r="11" spans="1:7" ht="54.75" customHeight="1">
      <c r="A11" s="168" t="s">
        <v>4216</v>
      </c>
      <c r="B11" s="101" t="s">
        <v>4217</v>
      </c>
      <c r="C11" s="101" t="s">
        <v>4218</v>
      </c>
      <c r="D11" s="101" t="s">
        <v>1535</v>
      </c>
      <c r="E11" s="169" t="s">
        <v>17</v>
      </c>
      <c r="F11" s="170" t="s">
        <v>3750</v>
      </c>
      <c r="G11" s="101" t="s">
        <v>4219</v>
      </c>
    </row>
    <row r="12" spans="1:7" ht="54.75" customHeight="1">
      <c r="A12" s="162" t="s">
        <v>4220</v>
      </c>
      <c r="B12" s="100" t="s">
        <v>4221</v>
      </c>
      <c r="C12" s="100" t="s">
        <v>3409</v>
      </c>
      <c r="D12" s="100" t="s">
        <v>1033</v>
      </c>
      <c r="E12" s="167" t="s">
        <v>17</v>
      </c>
      <c r="F12" s="163" t="s">
        <v>3031</v>
      </c>
      <c r="G12" s="100" t="s">
        <v>4222</v>
      </c>
    </row>
    <row r="13" spans="1:7" ht="54.75" customHeight="1">
      <c r="A13" s="168" t="s">
        <v>4223</v>
      </c>
      <c r="B13" s="101" t="s">
        <v>4224</v>
      </c>
      <c r="C13" s="101" t="s">
        <v>3409</v>
      </c>
      <c r="D13" s="101" t="s">
        <v>1033</v>
      </c>
      <c r="E13" s="169" t="s">
        <v>17</v>
      </c>
      <c r="F13" s="170" t="s">
        <v>4201</v>
      </c>
      <c r="G13" s="101" t="s">
        <v>4225</v>
      </c>
    </row>
    <row r="14" spans="1:7" ht="54.75" customHeight="1">
      <c r="A14" s="162" t="s">
        <v>4226</v>
      </c>
      <c r="B14" s="100" t="s">
        <v>4227</v>
      </c>
      <c r="C14" s="100" t="s">
        <v>3409</v>
      </c>
      <c r="D14" s="100" t="s">
        <v>1040</v>
      </c>
      <c r="E14" s="167" t="s">
        <v>17</v>
      </c>
      <c r="F14" s="163" t="s">
        <v>3031</v>
      </c>
      <c r="G14" s="100" t="s">
        <v>4228</v>
      </c>
    </row>
    <row r="15" spans="1:7" ht="54.75" customHeight="1">
      <c r="A15" s="168" t="s">
        <v>4229</v>
      </c>
      <c r="B15" s="101" t="s">
        <v>4230</v>
      </c>
      <c r="C15" s="101" t="s">
        <v>3409</v>
      </c>
      <c r="D15" s="101" t="s">
        <v>1033</v>
      </c>
      <c r="E15" s="169" t="s">
        <v>17</v>
      </c>
      <c r="F15" s="170" t="s">
        <v>4201</v>
      </c>
      <c r="G15" s="101" t="s">
        <v>4231</v>
      </c>
    </row>
    <row r="16" spans="1:7" ht="54.75" customHeight="1">
      <c r="A16" s="162" t="s">
        <v>4232</v>
      </c>
      <c r="B16" s="100" t="s">
        <v>4233</v>
      </c>
      <c r="C16" s="100" t="s">
        <v>3409</v>
      </c>
      <c r="D16" s="100" t="s">
        <v>1055</v>
      </c>
      <c r="E16" s="167" t="s">
        <v>17</v>
      </c>
      <c r="F16" s="163" t="s">
        <v>3647</v>
      </c>
      <c r="G16" s="100" t="s">
        <v>4234</v>
      </c>
    </row>
    <row r="17" spans="1:7" ht="54.75" customHeight="1">
      <c r="A17" s="168" t="s">
        <v>4235</v>
      </c>
      <c r="B17" s="101" t="s">
        <v>4236</v>
      </c>
      <c r="C17" s="101" t="s">
        <v>2316</v>
      </c>
      <c r="D17" s="101" t="s">
        <v>1033</v>
      </c>
      <c r="E17" s="169" t="s">
        <v>17</v>
      </c>
      <c r="F17" s="170" t="s">
        <v>3647</v>
      </c>
      <c r="G17" s="101" t="s">
        <v>4237</v>
      </c>
    </row>
    <row r="18" spans="1:7" ht="54.75" customHeight="1">
      <c r="A18" s="162" t="s">
        <v>4238</v>
      </c>
      <c r="B18" s="100" t="s">
        <v>4239</v>
      </c>
      <c r="C18" s="100" t="s">
        <v>3409</v>
      </c>
      <c r="D18" s="100" t="s">
        <v>1033</v>
      </c>
      <c r="E18" s="167" t="s">
        <v>17</v>
      </c>
      <c r="F18" s="163" t="s">
        <v>3647</v>
      </c>
      <c r="G18" s="100" t="s">
        <v>4240</v>
      </c>
    </row>
    <row r="19" spans="1:7" ht="54.75" customHeight="1">
      <c r="A19" s="168" t="s">
        <v>4241</v>
      </c>
      <c r="B19" s="101" t="s">
        <v>4242</v>
      </c>
      <c r="C19" s="101" t="s">
        <v>4218</v>
      </c>
      <c r="D19" s="101" t="s">
        <v>1033</v>
      </c>
      <c r="E19" s="169" t="s">
        <v>17</v>
      </c>
      <c r="F19" s="170" t="s">
        <v>3647</v>
      </c>
      <c r="G19" s="101" t="s">
        <v>4243</v>
      </c>
    </row>
    <row r="20" spans="1:7" ht="54.75" customHeight="1">
      <c r="A20" s="162" t="s">
        <v>4244</v>
      </c>
      <c r="B20" s="100" t="s">
        <v>4245</v>
      </c>
      <c r="C20" s="100" t="s">
        <v>3409</v>
      </c>
      <c r="D20" s="100" t="s">
        <v>1033</v>
      </c>
      <c r="E20" s="167" t="s">
        <v>17</v>
      </c>
      <c r="F20" s="163" t="s">
        <v>3031</v>
      </c>
      <c r="G20" s="100" t="s">
        <v>4246</v>
      </c>
    </row>
    <row r="21" spans="1:7" ht="54.75" customHeight="1">
      <c r="A21" s="168" t="s">
        <v>4247</v>
      </c>
      <c r="B21" s="101" t="s">
        <v>4248</v>
      </c>
      <c r="C21" s="101" t="s">
        <v>3409</v>
      </c>
      <c r="D21" s="101" t="s">
        <v>1033</v>
      </c>
      <c r="E21" s="169" t="s">
        <v>17</v>
      </c>
      <c r="F21" s="170" t="s">
        <v>3031</v>
      </c>
      <c r="G21" s="101" t="s">
        <v>4249</v>
      </c>
    </row>
    <row r="22" spans="1:7" ht="54.75" customHeight="1">
      <c r="A22" s="162" t="s">
        <v>4250</v>
      </c>
      <c r="B22" s="100" t="s">
        <v>4251</v>
      </c>
      <c r="C22" s="100" t="s">
        <v>2316</v>
      </c>
      <c r="D22" s="100" t="s">
        <v>1033</v>
      </c>
      <c r="E22" s="167" t="s">
        <v>17</v>
      </c>
      <c r="F22" s="163" t="s">
        <v>3647</v>
      </c>
      <c r="G22" s="100" t="s">
        <v>4252</v>
      </c>
    </row>
    <row r="23" spans="1:7" ht="54.75" customHeight="1">
      <c r="A23" s="168" t="s">
        <v>4253</v>
      </c>
      <c r="B23" s="101" t="s">
        <v>4254</v>
      </c>
      <c r="C23" s="101" t="s">
        <v>3409</v>
      </c>
      <c r="D23" s="101" t="s">
        <v>1033</v>
      </c>
      <c r="E23" s="169" t="s">
        <v>17</v>
      </c>
      <c r="F23" s="170" t="s">
        <v>3031</v>
      </c>
      <c r="G23" s="101" t="s">
        <v>4255</v>
      </c>
    </row>
    <row r="24" spans="1:7" ht="54.75" customHeight="1">
      <c r="A24" s="162" t="s">
        <v>4256</v>
      </c>
      <c r="B24" s="100" t="s">
        <v>4257</v>
      </c>
      <c r="C24" s="100" t="s">
        <v>3409</v>
      </c>
      <c r="D24" s="100" t="s">
        <v>1033</v>
      </c>
      <c r="E24" s="167" t="s">
        <v>17</v>
      </c>
      <c r="F24" s="163" t="s">
        <v>3031</v>
      </c>
      <c r="G24" s="100" t="s">
        <v>4258</v>
      </c>
    </row>
    <row r="25" spans="1:7" ht="54.75" customHeight="1">
      <c r="A25" s="168" t="s">
        <v>4259</v>
      </c>
      <c r="B25" s="101" t="s">
        <v>4260</v>
      </c>
      <c r="C25" s="101" t="s">
        <v>3409</v>
      </c>
      <c r="D25" s="101" t="s">
        <v>1033</v>
      </c>
      <c r="E25" s="169" t="s">
        <v>17</v>
      </c>
      <c r="F25" s="170" t="s">
        <v>3031</v>
      </c>
      <c r="G25" s="101" t="s">
        <v>4261</v>
      </c>
    </row>
    <row r="26" spans="1:7" ht="54.75" customHeight="1">
      <c r="A26" s="162" t="s">
        <v>4262</v>
      </c>
      <c r="B26" s="100" t="s">
        <v>4263</v>
      </c>
      <c r="C26" s="100" t="s">
        <v>3409</v>
      </c>
      <c r="D26" s="100" t="s">
        <v>1033</v>
      </c>
      <c r="E26" s="167" t="s">
        <v>17</v>
      </c>
      <c r="F26" s="163" t="s">
        <v>3031</v>
      </c>
      <c r="G26" s="100" t="s">
        <v>4264</v>
      </c>
    </row>
    <row r="27" spans="1:7" ht="54.75" customHeight="1">
      <c r="A27" s="168" t="s">
        <v>4265</v>
      </c>
      <c r="B27" s="101" t="s">
        <v>4266</v>
      </c>
      <c r="C27" s="101" t="s">
        <v>3409</v>
      </c>
      <c r="D27" s="101" t="s">
        <v>1040</v>
      </c>
      <c r="E27" s="169" t="s">
        <v>17</v>
      </c>
      <c r="F27" s="170" t="s">
        <v>3031</v>
      </c>
      <c r="G27" s="101" t="s">
        <v>4267</v>
      </c>
    </row>
    <row r="28" spans="1:7" ht="54.75" customHeight="1">
      <c r="A28" s="162" t="s">
        <v>4268</v>
      </c>
      <c r="B28" s="100" t="s">
        <v>4269</v>
      </c>
      <c r="C28" s="100" t="s">
        <v>3409</v>
      </c>
      <c r="D28" s="100" t="s">
        <v>1040</v>
      </c>
      <c r="E28" s="167" t="s">
        <v>17</v>
      </c>
      <c r="F28" s="163" t="s">
        <v>3031</v>
      </c>
      <c r="G28" s="100" t="s">
        <v>4270</v>
      </c>
    </row>
  </sheetData>
  <pageMargins left="0.7" right="0.7" top="0.75" bottom="0.75" header="0.511811023622047" footer="0.511811023622047"/>
  <pageSetup paperSize="9" orientation="portrait" horizontalDpi="300" verticalDpi="300"/>
  <legacy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57"/>
  <sheetViews>
    <sheetView topLeftCell="D1" zoomScaleNormal="100" workbookViewId="0">
      <pane ySplit="1" topLeftCell="A28" activePane="bottomLeft" state="frozen"/>
      <selection activeCell="D1" sqref="D1"/>
      <selection pane="bottomLeft" activeCell="F42" sqref="F42"/>
    </sheetView>
  </sheetViews>
  <sheetFormatPr defaultColWidth="9.140625" defaultRowHeight="15"/>
  <cols>
    <col min="1" max="1" width="13.42578125" style="47" customWidth="1"/>
    <col min="2" max="2" width="65" style="47" customWidth="1"/>
    <col min="3" max="3" width="20.42578125" style="47" customWidth="1"/>
    <col min="4" max="4" width="51.42578125" style="47" customWidth="1"/>
    <col min="5" max="5" width="65" style="47" customWidth="1"/>
    <col min="6" max="6" width="12" style="47" customWidth="1"/>
    <col min="7" max="24" width="9.140625" style="47" customWidth="1"/>
    <col min="25" max="16384" width="9.140625" style="47"/>
  </cols>
  <sheetData>
    <row r="1" spans="1:6" ht="27.75" customHeight="1">
      <c r="A1" s="144" t="s">
        <v>4271</v>
      </c>
      <c r="B1" s="145" t="s">
        <v>260</v>
      </c>
      <c r="C1" s="145" t="s">
        <v>14</v>
      </c>
      <c r="D1" s="145" t="s">
        <v>2156</v>
      </c>
      <c r="E1" s="146" t="s">
        <v>4272</v>
      </c>
      <c r="F1" s="23"/>
    </row>
    <row r="2" spans="1:6" ht="45" customHeight="1">
      <c r="A2" s="147" t="s">
        <v>4273</v>
      </c>
      <c r="B2" s="148" t="s">
        <v>4274</v>
      </c>
      <c r="C2" s="149" t="s">
        <v>3031</v>
      </c>
      <c r="D2" s="149" t="s">
        <v>17</v>
      </c>
      <c r="E2" s="151" t="s">
        <v>4275</v>
      </c>
      <c r="F2" s="23"/>
    </row>
    <row r="3" spans="1:6" ht="45" customHeight="1">
      <c r="A3" s="152" t="s">
        <v>4276</v>
      </c>
      <c r="B3" s="153" t="s">
        <v>4277</v>
      </c>
      <c r="C3" s="154" t="s">
        <v>3750</v>
      </c>
      <c r="D3" s="154" t="s">
        <v>17</v>
      </c>
      <c r="E3" s="156" t="s">
        <v>4278</v>
      </c>
      <c r="F3" s="23"/>
    </row>
    <row r="4" spans="1:6" ht="45" customHeight="1">
      <c r="A4" s="147" t="s">
        <v>4279</v>
      </c>
      <c r="B4" s="148" t="s">
        <v>4280</v>
      </c>
      <c r="C4" s="149" t="s">
        <v>3031</v>
      </c>
      <c r="D4" s="149" t="s">
        <v>17</v>
      </c>
      <c r="E4" s="151" t="s">
        <v>4281</v>
      </c>
      <c r="F4" s="23"/>
    </row>
    <row r="5" spans="1:6" ht="45" customHeight="1">
      <c r="A5" s="152" t="s">
        <v>4282</v>
      </c>
      <c r="B5" s="153" t="s">
        <v>4283</v>
      </c>
      <c r="C5" s="154" t="s">
        <v>3031</v>
      </c>
      <c r="D5" s="154" t="s">
        <v>17</v>
      </c>
      <c r="E5" s="156" t="s">
        <v>4284</v>
      </c>
      <c r="F5" s="23"/>
    </row>
    <row r="6" spans="1:6" ht="45" customHeight="1">
      <c r="A6" s="147" t="s">
        <v>4285</v>
      </c>
      <c r="B6" s="148" t="s">
        <v>4286</v>
      </c>
      <c r="C6" s="149" t="s">
        <v>3031</v>
      </c>
      <c r="D6" s="149" t="s">
        <v>17</v>
      </c>
      <c r="E6" s="151" t="s">
        <v>4287</v>
      </c>
      <c r="F6" s="23"/>
    </row>
    <row r="7" spans="1:6" ht="45" customHeight="1">
      <c r="A7" s="152" t="s">
        <v>4288</v>
      </c>
      <c r="B7" s="153" t="s">
        <v>4289</v>
      </c>
      <c r="C7" s="154" t="s">
        <v>3750</v>
      </c>
      <c r="D7" s="154" t="s">
        <v>17</v>
      </c>
      <c r="E7" s="156" t="s">
        <v>4290</v>
      </c>
      <c r="F7" s="23"/>
    </row>
    <row r="8" spans="1:6" ht="45" customHeight="1">
      <c r="A8" s="147" t="s">
        <v>4291</v>
      </c>
      <c r="B8" s="148" t="s">
        <v>4292</v>
      </c>
      <c r="C8" s="149" t="s">
        <v>3031</v>
      </c>
      <c r="D8" s="149" t="s">
        <v>17</v>
      </c>
      <c r="E8" s="151" t="s">
        <v>4293</v>
      </c>
      <c r="F8" s="23"/>
    </row>
    <row r="9" spans="1:6" ht="45" customHeight="1">
      <c r="A9" s="152" t="s">
        <v>4294</v>
      </c>
      <c r="B9" s="153" t="s">
        <v>4295</v>
      </c>
      <c r="C9" s="154" t="s">
        <v>3031</v>
      </c>
      <c r="D9" s="154" t="s">
        <v>17</v>
      </c>
      <c r="E9" s="156" t="s">
        <v>4296</v>
      </c>
      <c r="F9" s="23"/>
    </row>
    <row r="10" spans="1:6" ht="45" customHeight="1">
      <c r="A10" s="147" t="s">
        <v>4297</v>
      </c>
      <c r="B10" s="148" t="s">
        <v>4208</v>
      </c>
      <c r="C10" s="149" t="s">
        <v>3031</v>
      </c>
      <c r="D10" s="149" t="s">
        <v>17</v>
      </c>
      <c r="E10" s="151" t="s">
        <v>4298</v>
      </c>
      <c r="F10" s="23"/>
    </row>
    <row r="11" spans="1:6" ht="45" customHeight="1">
      <c r="A11" s="152" t="s">
        <v>4299</v>
      </c>
      <c r="B11" s="153" t="s">
        <v>4300</v>
      </c>
      <c r="C11" s="154" t="s">
        <v>3031</v>
      </c>
      <c r="D11" s="154" t="s">
        <v>17</v>
      </c>
      <c r="E11" s="156" t="s">
        <v>4301</v>
      </c>
      <c r="F11" s="23"/>
    </row>
    <row r="12" spans="1:6" ht="45" customHeight="1">
      <c r="A12" s="147" t="s">
        <v>4302</v>
      </c>
      <c r="B12" s="148" t="s">
        <v>4303</v>
      </c>
      <c r="C12" s="149" t="s">
        <v>3031</v>
      </c>
      <c r="D12" s="149" t="s">
        <v>17</v>
      </c>
      <c r="E12" s="151" t="s">
        <v>4304</v>
      </c>
      <c r="F12" s="23"/>
    </row>
    <row r="13" spans="1:6" ht="45" customHeight="1">
      <c r="A13" s="152" t="s">
        <v>4305</v>
      </c>
      <c r="B13" s="153" t="s">
        <v>3194</v>
      </c>
      <c r="C13" s="154" t="s">
        <v>3031</v>
      </c>
      <c r="D13" s="154" t="s">
        <v>17</v>
      </c>
      <c r="E13" s="156" t="s">
        <v>4306</v>
      </c>
      <c r="F13" s="23"/>
    </row>
    <row r="14" spans="1:6" ht="45" customHeight="1">
      <c r="A14" s="147" t="s">
        <v>4307</v>
      </c>
      <c r="B14" s="148" t="s">
        <v>4308</v>
      </c>
      <c r="C14" s="149" t="s">
        <v>3726</v>
      </c>
      <c r="D14" s="149" t="s">
        <v>17</v>
      </c>
      <c r="E14" s="151" t="s">
        <v>4309</v>
      </c>
      <c r="F14" s="23"/>
    </row>
    <row r="15" spans="1:6" ht="45" customHeight="1">
      <c r="A15" s="152" t="s">
        <v>4310</v>
      </c>
      <c r="B15" s="153" t="s">
        <v>4311</v>
      </c>
      <c r="C15" s="154" t="s">
        <v>3031</v>
      </c>
      <c r="D15" s="154" t="s">
        <v>17</v>
      </c>
      <c r="E15" s="156" t="s">
        <v>4312</v>
      </c>
      <c r="F15" s="23"/>
    </row>
    <row r="16" spans="1:6" ht="45" customHeight="1">
      <c r="A16" s="147" t="s">
        <v>4313</v>
      </c>
      <c r="B16" s="148" t="s">
        <v>4314</v>
      </c>
      <c r="C16" s="149" t="s">
        <v>3031</v>
      </c>
      <c r="D16" s="149" t="s">
        <v>17</v>
      </c>
      <c r="E16" s="151" t="s">
        <v>4315</v>
      </c>
      <c r="F16" s="23"/>
    </row>
    <row r="17" spans="1:6" ht="45" customHeight="1">
      <c r="A17" s="152" t="s">
        <v>4316</v>
      </c>
      <c r="B17" s="153" t="s">
        <v>4317</v>
      </c>
      <c r="C17" s="154" t="s">
        <v>3031</v>
      </c>
      <c r="D17" s="154" t="s">
        <v>17</v>
      </c>
      <c r="E17" s="156" t="s">
        <v>4318</v>
      </c>
      <c r="F17" s="23"/>
    </row>
    <row r="18" spans="1:6" ht="45" customHeight="1">
      <c r="A18" s="147" t="s">
        <v>4319</v>
      </c>
      <c r="B18" s="148" t="s">
        <v>4320</v>
      </c>
      <c r="C18" s="149" t="s">
        <v>3031</v>
      </c>
      <c r="D18" s="149" t="s">
        <v>17</v>
      </c>
      <c r="E18" s="151" t="s">
        <v>4321</v>
      </c>
      <c r="F18" s="23"/>
    </row>
    <row r="19" spans="1:6" ht="45" customHeight="1">
      <c r="A19" s="152" t="s">
        <v>4322</v>
      </c>
      <c r="B19" s="153" t="s">
        <v>4323</v>
      </c>
      <c r="C19" s="154" t="s">
        <v>3031</v>
      </c>
      <c r="D19" s="154" t="s">
        <v>17</v>
      </c>
      <c r="E19" s="156" t="s">
        <v>4324</v>
      </c>
      <c r="F19" s="23"/>
    </row>
    <row r="20" spans="1:6" ht="45" customHeight="1">
      <c r="A20" s="147" t="s">
        <v>4325</v>
      </c>
      <c r="B20" s="148" t="s">
        <v>4326</v>
      </c>
      <c r="C20" s="149" t="s">
        <v>3031</v>
      </c>
      <c r="D20" s="149" t="s">
        <v>17</v>
      </c>
      <c r="E20" s="151" t="s">
        <v>4327</v>
      </c>
      <c r="F20" s="23"/>
    </row>
    <row r="21" spans="1:6" ht="45" customHeight="1">
      <c r="A21" s="152" t="s">
        <v>4328</v>
      </c>
      <c r="B21" s="153" t="s">
        <v>4329</v>
      </c>
      <c r="C21" s="154" t="s">
        <v>3031</v>
      </c>
      <c r="D21" s="154" t="s">
        <v>17</v>
      </c>
      <c r="E21" s="156" t="s">
        <v>4330</v>
      </c>
      <c r="F21" s="23"/>
    </row>
    <row r="22" spans="1:6" ht="45" customHeight="1">
      <c r="A22" s="147" t="s">
        <v>4331</v>
      </c>
      <c r="B22" s="148" t="s">
        <v>4332</v>
      </c>
      <c r="C22" s="149" t="s">
        <v>3031</v>
      </c>
      <c r="D22" s="149" t="s">
        <v>17</v>
      </c>
      <c r="E22" s="151" t="s">
        <v>4333</v>
      </c>
      <c r="F22" s="23"/>
    </row>
    <row r="23" spans="1:6" ht="45" customHeight="1">
      <c r="A23" s="152" t="s">
        <v>4334</v>
      </c>
      <c r="B23" s="153" t="s">
        <v>4335</v>
      </c>
      <c r="C23" s="154" t="s">
        <v>3031</v>
      </c>
      <c r="D23" s="154" t="s">
        <v>17</v>
      </c>
      <c r="E23" s="156" t="s">
        <v>4336</v>
      </c>
      <c r="F23" s="23"/>
    </row>
    <row r="24" spans="1:6" ht="45" customHeight="1">
      <c r="A24" s="147" t="s">
        <v>4337</v>
      </c>
      <c r="B24" s="148" t="s">
        <v>4338</v>
      </c>
      <c r="C24" s="149" t="s">
        <v>3031</v>
      </c>
      <c r="D24" s="149" t="s">
        <v>17</v>
      </c>
      <c r="E24" s="151" t="s">
        <v>4339</v>
      </c>
      <c r="F24" s="23"/>
    </row>
    <row r="25" spans="1:6" ht="45" customHeight="1">
      <c r="A25" s="152" t="s">
        <v>4340</v>
      </c>
      <c r="B25" s="153" t="s">
        <v>4341</v>
      </c>
      <c r="C25" s="154" t="s">
        <v>3031</v>
      </c>
      <c r="D25" s="154" t="s">
        <v>17</v>
      </c>
      <c r="E25" s="156" t="s">
        <v>4342</v>
      </c>
      <c r="F25" s="23"/>
    </row>
    <row r="26" spans="1:6" ht="45" customHeight="1">
      <c r="A26" s="147" t="s">
        <v>4343</v>
      </c>
      <c r="B26" s="148" t="s">
        <v>4344</v>
      </c>
      <c r="C26" s="149" t="s">
        <v>3031</v>
      </c>
      <c r="D26" s="149" t="s">
        <v>17</v>
      </c>
      <c r="E26" s="151" t="s">
        <v>4345</v>
      </c>
      <c r="F26" s="23"/>
    </row>
    <row r="27" spans="1:6" ht="45" customHeight="1">
      <c r="A27" s="152" t="s">
        <v>4346</v>
      </c>
      <c r="B27" s="153" t="s">
        <v>4347</v>
      </c>
      <c r="C27" s="154" t="s">
        <v>3031</v>
      </c>
      <c r="D27" s="154" t="s">
        <v>17</v>
      </c>
      <c r="E27" s="156" t="s">
        <v>4348</v>
      </c>
      <c r="F27" s="23"/>
    </row>
    <row r="28" spans="1:6" ht="45" customHeight="1">
      <c r="A28" s="157" t="s">
        <v>4349</v>
      </c>
      <c r="B28" s="158" t="s">
        <v>4350</v>
      </c>
      <c r="C28" s="159" t="s">
        <v>3031</v>
      </c>
      <c r="D28" s="159" t="s">
        <v>17</v>
      </c>
      <c r="E28" s="161" t="s">
        <v>4351</v>
      </c>
      <c r="F28" s="23"/>
    </row>
    <row r="29" spans="1:6" ht="45" customHeight="1">
      <c r="A29" s="168" t="s">
        <v>4352</v>
      </c>
      <c r="B29" s="101" t="s">
        <v>4353</v>
      </c>
      <c r="C29" s="170" t="s">
        <v>3031</v>
      </c>
      <c r="D29" s="170" t="s">
        <v>17</v>
      </c>
      <c r="E29" s="101" t="s">
        <v>4354</v>
      </c>
      <c r="F29" s="23"/>
    </row>
    <row r="30" spans="1:6" ht="45" customHeight="1">
      <c r="A30" s="162" t="s">
        <v>4355</v>
      </c>
      <c r="B30" s="100" t="s">
        <v>4356</v>
      </c>
      <c r="C30" s="163" t="s">
        <v>3750</v>
      </c>
      <c r="D30" s="163" t="s">
        <v>17</v>
      </c>
      <c r="E30" s="100" t="s">
        <v>4357</v>
      </c>
      <c r="F30" s="23"/>
    </row>
    <row r="31" spans="1:6" ht="26.25" customHeight="1">
      <c r="A31" s="171" t="s">
        <v>4358</v>
      </c>
      <c r="B31" s="172" t="s">
        <v>4359</v>
      </c>
      <c r="C31" s="171" t="s">
        <v>4360</v>
      </c>
      <c r="D31" s="172" t="s">
        <v>17</v>
      </c>
      <c r="E31" s="172" t="s">
        <v>4361</v>
      </c>
      <c r="F31" s="23"/>
    </row>
    <row r="32" spans="1:6" ht="64.5" customHeight="1">
      <c r="A32" s="171" t="s">
        <v>4362</v>
      </c>
      <c r="B32" s="172" t="s">
        <v>4363</v>
      </c>
      <c r="C32" s="171" t="s">
        <v>3031</v>
      </c>
      <c r="D32" s="172" t="s">
        <v>17</v>
      </c>
      <c r="E32" s="172" t="s">
        <v>4364</v>
      </c>
      <c r="F32" s="23"/>
    </row>
    <row r="33" spans="1:6" ht="39" customHeight="1">
      <c r="A33" s="171" t="s">
        <v>4365</v>
      </c>
      <c r="B33" s="172" t="s">
        <v>4366</v>
      </c>
      <c r="C33" s="171" t="s">
        <v>4367</v>
      </c>
      <c r="D33" s="172" t="s">
        <v>4368</v>
      </c>
      <c r="E33" s="172" t="s">
        <v>4369</v>
      </c>
      <c r="F33" s="23"/>
    </row>
    <row r="34" spans="1:6" ht="26.25" customHeight="1">
      <c r="A34" s="171" t="s">
        <v>4370</v>
      </c>
      <c r="B34" s="172" t="s">
        <v>4371</v>
      </c>
      <c r="C34" s="171" t="s">
        <v>4360</v>
      </c>
      <c r="D34" s="172" t="s">
        <v>4372</v>
      </c>
      <c r="E34" s="172" t="s">
        <v>4373</v>
      </c>
      <c r="F34" s="23"/>
    </row>
    <row r="35" spans="1:6" ht="26.25" customHeight="1">
      <c r="A35" s="171" t="s">
        <v>4374</v>
      </c>
      <c r="B35" s="172" t="s">
        <v>4375</v>
      </c>
      <c r="C35" s="171" t="s">
        <v>4367</v>
      </c>
      <c r="D35" s="172" t="s">
        <v>4376</v>
      </c>
      <c r="E35" s="172" t="s">
        <v>4377</v>
      </c>
      <c r="F35" s="23"/>
    </row>
    <row r="36" spans="1:6" ht="39" customHeight="1">
      <c r="A36" s="171" t="s">
        <v>4378</v>
      </c>
      <c r="B36" s="172" t="s">
        <v>4379</v>
      </c>
      <c r="C36" s="171" t="s">
        <v>4360</v>
      </c>
      <c r="D36" s="172" t="s">
        <v>4380</v>
      </c>
      <c r="E36" s="172" t="s">
        <v>4381</v>
      </c>
      <c r="F36" s="23"/>
    </row>
    <row r="37" spans="1:6" ht="39" customHeight="1">
      <c r="A37" s="171" t="s">
        <v>4382</v>
      </c>
      <c r="B37" s="172" t="s">
        <v>4383</v>
      </c>
      <c r="C37" s="171" t="s">
        <v>4360</v>
      </c>
      <c r="D37" s="172" t="s">
        <v>4384</v>
      </c>
      <c r="E37" s="172" t="s">
        <v>4385</v>
      </c>
      <c r="F37" s="23"/>
    </row>
    <row r="38" spans="1:6" ht="39" customHeight="1">
      <c r="A38" s="171" t="s">
        <v>4386</v>
      </c>
      <c r="B38" s="172" t="s">
        <v>4387</v>
      </c>
      <c r="C38" s="171" t="s">
        <v>4360</v>
      </c>
      <c r="D38" s="172" t="s">
        <v>4388</v>
      </c>
      <c r="E38" s="172" t="s">
        <v>4389</v>
      </c>
      <c r="F38" s="23"/>
    </row>
    <row r="39" spans="1:6" ht="26.25" customHeight="1">
      <c r="A39" s="171" t="s">
        <v>4390</v>
      </c>
      <c r="B39" s="172" t="s">
        <v>4391</v>
      </c>
      <c r="C39" s="171" t="s">
        <v>4360</v>
      </c>
      <c r="D39" s="172" t="s">
        <v>4392</v>
      </c>
      <c r="E39" s="172" t="s">
        <v>4393</v>
      </c>
      <c r="F39" s="23"/>
    </row>
    <row r="40" spans="1:6" ht="39" customHeight="1">
      <c r="A40" s="171" t="s">
        <v>4394</v>
      </c>
      <c r="B40" s="172" t="s">
        <v>4395</v>
      </c>
      <c r="C40" s="171" t="s">
        <v>4360</v>
      </c>
      <c r="D40" s="172" t="s">
        <v>4396</v>
      </c>
      <c r="E40" s="172" t="s">
        <v>4397</v>
      </c>
      <c r="F40" s="23"/>
    </row>
    <row r="41" spans="1:6" ht="15" customHeight="1">
      <c r="A41" s="171"/>
      <c r="B41" s="172"/>
      <c r="C41" s="171"/>
      <c r="D41" s="172"/>
      <c r="E41" s="172"/>
      <c r="F41" s="23"/>
    </row>
    <row r="42" spans="1:6" ht="15" customHeight="1">
      <c r="A42" s="171"/>
      <c r="B42" s="172"/>
      <c r="C42" s="171"/>
      <c r="D42" s="172"/>
      <c r="E42" s="172"/>
      <c r="F42" s="23"/>
    </row>
    <row r="43" spans="1:6" ht="15" customHeight="1">
      <c r="A43" s="171"/>
      <c r="B43" s="172"/>
      <c r="C43" s="172"/>
      <c r="D43" s="172"/>
      <c r="E43" s="172"/>
      <c r="F43" s="23"/>
    </row>
    <row r="44" spans="1:6" ht="15" customHeight="1">
      <c r="A44" s="171"/>
      <c r="B44" s="172"/>
      <c r="C44" s="172"/>
      <c r="D44" s="172"/>
      <c r="E44" s="172"/>
      <c r="F44" s="23"/>
    </row>
    <row r="45" spans="1:6" ht="15" customHeight="1">
      <c r="A45" s="171"/>
      <c r="B45" s="172"/>
      <c r="C45" s="172"/>
      <c r="D45" s="172"/>
      <c r="E45" s="172"/>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row r="51" spans="1:6" ht="15" customHeight="1">
      <c r="A51" s="23"/>
      <c r="B51" s="23"/>
      <c r="C51" s="23"/>
      <c r="D51" s="23"/>
      <c r="E51" s="23"/>
      <c r="F51" s="47" t="s">
        <v>3837</v>
      </c>
    </row>
    <row r="52" spans="1:6">
      <c r="A52" s="456" t="s">
        <v>4398</v>
      </c>
      <c r="B52" s="456" t="s">
        <v>4399</v>
      </c>
      <c r="C52" s="456" t="s">
        <v>17</v>
      </c>
      <c r="D52" s="456" t="s">
        <v>17</v>
      </c>
      <c r="E52" s="456" t="s">
        <v>4400</v>
      </c>
      <c r="F52" s="456"/>
    </row>
    <row r="53" spans="1:6">
      <c r="A53" s="456" t="s">
        <v>4401</v>
      </c>
      <c r="B53" s="456" t="s">
        <v>4402</v>
      </c>
      <c r="C53" s="456" t="s">
        <v>17</v>
      </c>
      <c r="D53" s="456" t="s">
        <v>17</v>
      </c>
      <c r="E53" s="456" t="s">
        <v>4403</v>
      </c>
      <c r="F53" s="456"/>
    </row>
    <row r="54" spans="1:6">
      <c r="A54" s="456" t="s">
        <v>4404</v>
      </c>
      <c r="B54" s="456" t="s">
        <v>4405</v>
      </c>
      <c r="C54" s="456" t="s">
        <v>17</v>
      </c>
      <c r="D54" s="456" t="s">
        <v>17</v>
      </c>
      <c r="E54" s="456" t="s">
        <v>4406</v>
      </c>
      <c r="F54" s="456"/>
    </row>
    <row r="55" spans="1:6">
      <c r="A55" s="456" t="s">
        <v>4407</v>
      </c>
      <c r="B55" s="456" t="s">
        <v>4408</v>
      </c>
      <c r="C55" s="456" t="s">
        <v>17</v>
      </c>
      <c r="D55" s="456" t="s">
        <v>17</v>
      </c>
      <c r="E55" s="456" t="s">
        <v>4409</v>
      </c>
      <c r="F55" s="456"/>
    </row>
    <row r="56" spans="1:6">
      <c r="A56" s="457" t="s">
        <v>4410</v>
      </c>
      <c r="B56" s="457" t="s">
        <v>4411</v>
      </c>
      <c r="C56" s="457" t="s">
        <v>400</v>
      </c>
      <c r="D56" s="457" t="s">
        <v>1033</v>
      </c>
      <c r="E56" s="457" t="s">
        <v>4412</v>
      </c>
      <c r="F56" s="457"/>
    </row>
    <row r="57" spans="1:6" ht="60" customHeight="1">
      <c r="A57" s="457" t="s">
        <v>4413</v>
      </c>
      <c r="B57" s="457" t="s">
        <v>4414</v>
      </c>
      <c r="C57" s="457" t="s">
        <v>241</v>
      </c>
      <c r="D57" s="457" t="s">
        <v>1033</v>
      </c>
      <c r="E57" s="457" t="s">
        <v>4415</v>
      </c>
      <c r="F57" s="457"/>
    </row>
  </sheetData>
  <pageMargins left="0.7" right="0.7" top="0.75" bottom="0.75" header="0.511811023622047" footer="0.511811023622047"/>
  <pageSetup paperSize="9" orientation="portrait" horizontalDpi="300" verticalDpi="300"/>
  <legacy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59"/>
  <sheetViews>
    <sheetView zoomScaleNormal="100" workbookViewId="0">
      <pane ySplit="1" topLeftCell="A17" activePane="bottomLeft" state="frozen"/>
      <selection pane="bottomLeft" activeCell="D22" sqref="D22"/>
    </sheetView>
  </sheetViews>
  <sheetFormatPr defaultColWidth="8.5703125" defaultRowHeight="15"/>
  <cols>
    <col min="1" max="1" width="17" customWidth="1"/>
    <col min="2" max="2" width="23.85546875" style="47" customWidth="1"/>
    <col min="3" max="3" width="17" customWidth="1"/>
    <col min="4" max="5" width="65" style="47" customWidth="1"/>
    <col min="6" max="6" width="65" customWidth="1"/>
    <col min="7" max="7" width="65" style="47" customWidth="1"/>
  </cols>
  <sheetData>
    <row r="1" spans="1:7" ht="27.75" customHeight="1">
      <c r="A1" s="173" t="s">
        <v>3586</v>
      </c>
      <c r="B1" s="174" t="s">
        <v>4416</v>
      </c>
      <c r="C1" s="174" t="s">
        <v>14</v>
      </c>
      <c r="D1" s="174" t="s">
        <v>4417</v>
      </c>
      <c r="E1" s="174" t="s">
        <v>4418</v>
      </c>
      <c r="F1" s="175" t="s">
        <v>4419</v>
      </c>
      <c r="G1" s="176" t="s">
        <v>4420</v>
      </c>
    </row>
    <row r="2" spans="1:7" ht="60" customHeight="1">
      <c r="A2" s="147" t="s">
        <v>4065</v>
      </c>
      <c r="B2" s="148" t="s">
        <v>4064</v>
      </c>
      <c r="C2" s="177" t="s">
        <v>4421</v>
      </c>
      <c r="D2" s="148" t="s">
        <v>4422</v>
      </c>
      <c r="E2" s="148" t="s">
        <v>4423</v>
      </c>
      <c r="F2" s="151" t="s">
        <v>4424</v>
      </c>
      <c r="G2" s="100" t="s">
        <v>4425</v>
      </c>
    </row>
    <row r="3" spans="1:7" ht="60" customHeight="1">
      <c r="A3" s="152" t="s">
        <v>4079</v>
      </c>
      <c r="B3" s="178">
        <v>46088</v>
      </c>
      <c r="C3" s="179" t="s">
        <v>4426</v>
      </c>
      <c r="D3" s="153" t="s">
        <v>4427</v>
      </c>
      <c r="E3" s="153" t="s">
        <v>4428</v>
      </c>
      <c r="F3" s="156" t="s">
        <v>4429</v>
      </c>
      <c r="G3" s="101" t="s">
        <v>4430</v>
      </c>
    </row>
    <row r="4" spans="1:7" ht="60" customHeight="1">
      <c r="A4" s="147" t="s">
        <v>4431</v>
      </c>
      <c r="B4" s="180">
        <v>46089</v>
      </c>
      <c r="C4" s="149" t="s">
        <v>4432</v>
      </c>
      <c r="D4" s="148" t="s">
        <v>4433</v>
      </c>
      <c r="E4" s="148" t="s">
        <v>4434</v>
      </c>
      <c r="F4" s="151" t="s">
        <v>4435</v>
      </c>
      <c r="G4" s="100" t="s">
        <v>4436</v>
      </c>
    </row>
    <row r="5" spans="1:7" ht="60" customHeight="1">
      <c r="A5" s="152" t="s">
        <v>4120</v>
      </c>
      <c r="B5" s="178">
        <v>46089</v>
      </c>
      <c r="C5" s="154" t="s">
        <v>4432</v>
      </c>
      <c r="D5" s="153" t="s">
        <v>4437</v>
      </c>
      <c r="E5" s="153" t="s">
        <v>4438</v>
      </c>
      <c r="F5" s="156" t="s">
        <v>4439</v>
      </c>
      <c r="G5" s="101" t="s">
        <v>4440</v>
      </c>
    </row>
    <row r="6" spans="1:7" ht="60" customHeight="1">
      <c r="A6" s="147" t="s">
        <v>4441</v>
      </c>
      <c r="B6" s="180">
        <v>46089</v>
      </c>
      <c r="C6" s="149" t="s">
        <v>4432</v>
      </c>
      <c r="D6" s="148" t="s">
        <v>4442</v>
      </c>
      <c r="E6" s="148" t="s">
        <v>4443</v>
      </c>
      <c r="F6" s="151" t="s">
        <v>4444</v>
      </c>
      <c r="G6" s="100" t="s">
        <v>4445</v>
      </c>
    </row>
    <row r="7" spans="1:7" ht="60" customHeight="1">
      <c r="A7" s="152" t="s">
        <v>4446</v>
      </c>
      <c r="B7" s="178">
        <v>46089</v>
      </c>
      <c r="C7" s="154" t="s">
        <v>4432</v>
      </c>
      <c r="D7" s="153" t="s">
        <v>4447</v>
      </c>
      <c r="E7" s="153" t="s">
        <v>4448</v>
      </c>
      <c r="F7" s="156" t="s">
        <v>4449</v>
      </c>
      <c r="G7" s="101" t="s">
        <v>4450</v>
      </c>
    </row>
    <row r="8" spans="1:7" ht="60" customHeight="1">
      <c r="A8" s="147" t="s">
        <v>4451</v>
      </c>
      <c r="B8" s="181">
        <v>46089</v>
      </c>
      <c r="C8" s="149" t="s">
        <v>4432</v>
      </c>
      <c r="D8" s="148" t="s">
        <v>4452</v>
      </c>
      <c r="E8" s="148" t="s">
        <v>4453</v>
      </c>
      <c r="F8" s="151" t="s">
        <v>4454</v>
      </c>
      <c r="G8" s="100" t="s">
        <v>4455</v>
      </c>
    </row>
    <row r="9" spans="1:7" ht="60" customHeight="1">
      <c r="A9" s="152" t="s">
        <v>4456</v>
      </c>
      <c r="B9" s="178">
        <v>46089</v>
      </c>
      <c r="C9" s="154" t="s">
        <v>4432</v>
      </c>
      <c r="D9" s="153" t="s">
        <v>4457</v>
      </c>
      <c r="E9" s="153" t="s">
        <v>4458</v>
      </c>
      <c r="F9" s="156" t="s">
        <v>4459</v>
      </c>
      <c r="G9" s="101" t="s">
        <v>4460</v>
      </c>
    </row>
    <row r="10" spans="1:7" ht="60" customHeight="1">
      <c r="A10" s="147" t="s">
        <v>4461</v>
      </c>
      <c r="B10" s="180">
        <v>46089</v>
      </c>
      <c r="C10" s="149" t="s">
        <v>4432</v>
      </c>
      <c r="D10" s="148" t="s">
        <v>4462</v>
      </c>
      <c r="E10" s="148" t="s">
        <v>4463</v>
      </c>
      <c r="F10" s="151" t="s">
        <v>4464</v>
      </c>
      <c r="G10" s="100" t="s">
        <v>4465</v>
      </c>
    </row>
    <row r="11" spans="1:7" ht="60" customHeight="1">
      <c r="A11" s="152" t="s">
        <v>4466</v>
      </c>
      <c r="B11" s="178">
        <f ca="1">TODAY()</f>
        <v>46106</v>
      </c>
      <c r="C11" s="154" t="s">
        <v>4432</v>
      </c>
      <c r="D11" s="153" t="s">
        <v>4467</v>
      </c>
      <c r="E11" s="153" t="s">
        <v>4468</v>
      </c>
      <c r="F11" s="156" t="s">
        <v>4469</v>
      </c>
      <c r="G11" s="101" t="s">
        <v>4470</v>
      </c>
    </row>
    <row r="12" spans="1:7" ht="60" customHeight="1">
      <c r="A12" s="147" t="s">
        <v>4471</v>
      </c>
      <c r="B12" s="180">
        <v>46089</v>
      </c>
      <c r="C12" s="149" t="s">
        <v>4432</v>
      </c>
      <c r="D12" s="148" t="s">
        <v>4472</v>
      </c>
      <c r="E12" s="148" t="s">
        <v>4473</v>
      </c>
      <c r="F12" s="151" t="s">
        <v>4474</v>
      </c>
      <c r="G12" s="100" t="s">
        <v>4475</v>
      </c>
    </row>
    <row r="13" spans="1:7" ht="60" customHeight="1">
      <c r="A13" s="152" t="s">
        <v>4476</v>
      </c>
      <c r="B13" s="178">
        <v>46089</v>
      </c>
      <c r="C13" s="154" t="s">
        <v>4432</v>
      </c>
      <c r="D13" s="153" t="s">
        <v>4477</v>
      </c>
      <c r="E13" s="153" t="s">
        <v>4478</v>
      </c>
      <c r="F13" s="156" t="s">
        <v>4479</v>
      </c>
      <c r="G13" s="101" t="s">
        <v>4480</v>
      </c>
    </row>
    <row r="14" spans="1:7" ht="60" customHeight="1">
      <c r="A14" s="147" t="s">
        <v>4099</v>
      </c>
      <c r="B14" s="180">
        <v>46089</v>
      </c>
      <c r="C14" s="149" t="s">
        <v>4432</v>
      </c>
      <c r="D14" s="148" t="s">
        <v>4481</v>
      </c>
      <c r="E14" s="148" t="s">
        <v>4482</v>
      </c>
      <c r="F14" s="151" t="s">
        <v>4483</v>
      </c>
      <c r="G14" s="100" t="s">
        <v>4484</v>
      </c>
    </row>
    <row r="15" spans="1:7" ht="60" customHeight="1">
      <c r="A15" s="152" t="s">
        <v>4485</v>
      </c>
      <c r="B15" s="178">
        <v>46089</v>
      </c>
      <c r="C15" s="154" t="s">
        <v>4432</v>
      </c>
      <c r="D15" s="153" t="s">
        <v>4486</v>
      </c>
      <c r="E15" s="153" t="s">
        <v>4487</v>
      </c>
      <c r="F15" s="156" t="s">
        <v>4488</v>
      </c>
      <c r="G15" s="101" t="s">
        <v>4489</v>
      </c>
    </row>
    <row r="16" spans="1:7" ht="60" customHeight="1">
      <c r="A16" s="147" t="s">
        <v>4490</v>
      </c>
      <c r="B16" s="181">
        <v>46090</v>
      </c>
      <c r="C16" s="149" t="s">
        <v>4432</v>
      </c>
      <c r="D16" s="148" t="s">
        <v>4491</v>
      </c>
      <c r="E16" s="148" t="s">
        <v>2477</v>
      </c>
      <c r="F16" s="151" t="s">
        <v>4492</v>
      </c>
      <c r="G16" s="100" t="s">
        <v>4493</v>
      </c>
    </row>
    <row r="17" spans="1:7" ht="60" customHeight="1">
      <c r="A17" s="152" t="s">
        <v>4140</v>
      </c>
      <c r="B17" s="182">
        <v>46090</v>
      </c>
      <c r="C17" s="154" t="s">
        <v>4432</v>
      </c>
      <c r="D17" s="153" t="s">
        <v>4494</v>
      </c>
      <c r="E17" s="153" t="s">
        <v>4495</v>
      </c>
      <c r="F17" s="156" t="s">
        <v>4496</v>
      </c>
      <c r="G17" s="101"/>
    </row>
    <row r="18" spans="1:7" ht="60" customHeight="1">
      <c r="A18" s="147" t="s">
        <v>4107</v>
      </c>
      <c r="B18" s="181">
        <v>46090</v>
      </c>
      <c r="C18" s="149" t="s">
        <v>4432</v>
      </c>
      <c r="D18" s="148" t="s">
        <v>4497</v>
      </c>
      <c r="E18" s="148" t="s">
        <v>4498</v>
      </c>
      <c r="F18" s="151" t="s">
        <v>4499</v>
      </c>
      <c r="G18" s="100"/>
    </row>
    <row r="19" spans="1:7" ht="60.75" customHeight="1">
      <c r="A19" s="183" t="s">
        <v>4500</v>
      </c>
      <c r="B19" s="184">
        <v>46095</v>
      </c>
      <c r="C19" s="185" t="s">
        <v>4501</v>
      </c>
      <c r="D19" s="186" t="s">
        <v>4502</v>
      </c>
      <c r="E19" s="186" t="s">
        <v>4503</v>
      </c>
      <c r="F19" s="187" t="s">
        <v>4504</v>
      </c>
      <c r="G19" s="188" t="s">
        <v>4505</v>
      </c>
    </row>
    <row r="20" spans="1:7" ht="60" customHeight="1">
      <c r="A20" s="147" t="s">
        <v>4506</v>
      </c>
      <c r="B20" s="181">
        <v>46089</v>
      </c>
      <c r="C20" s="149" t="s">
        <v>4432</v>
      </c>
      <c r="D20" s="148" t="s">
        <v>4507</v>
      </c>
      <c r="E20" s="148" t="s">
        <v>4508</v>
      </c>
      <c r="F20" s="151" t="s">
        <v>4509</v>
      </c>
      <c r="G20" s="100"/>
    </row>
    <row r="21" spans="1:7" ht="60" customHeight="1">
      <c r="A21" s="152" t="s">
        <v>4510</v>
      </c>
      <c r="B21" s="182">
        <v>46090</v>
      </c>
      <c r="C21" s="154" t="s">
        <v>4432</v>
      </c>
      <c r="D21" s="153" t="s">
        <v>4511</v>
      </c>
      <c r="E21" s="153" t="s">
        <v>4512</v>
      </c>
      <c r="F21" s="156" t="s">
        <v>4513</v>
      </c>
      <c r="G21" s="101"/>
    </row>
    <row r="22" spans="1:7" ht="60" customHeight="1">
      <c r="A22" s="147" t="s">
        <v>4514</v>
      </c>
      <c r="B22" s="189">
        <f ca="1">TODAY()</f>
        <v>46106</v>
      </c>
      <c r="C22" s="149" t="s">
        <v>4432</v>
      </c>
      <c r="D22" s="148" t="s">
        <v>4515</v>
      </c>
      <c r="E22" s="148" t="s">
        <v>4516</v>
      </c>
      <c r="F22" s="151" t="s">
        <v>4517</v>
      </c>
      <c r="G22" s="100" t="s">
        <v>4518</v>
      </c>
    </row>
    <row r="23" spans="1:7" ht="60" customHeight="1">
      <c r="A23" s="152" t="s">
        <v>4519</v>
      </c>
      <c r="B23" s="182">
        <v>46091</v>
      </c>
      <c r="C23" s="190" t="s">
        <v>4520</v>
      </c>
      <c r="D23" s="153" t="s">
        <v>4521</v>
      </c>
      <c r="E23" s="153" t="s">
        <v>4522</v>
      </c>
      <c r="F23" s="156" t="s">
        <v>4523</v>
      </c>
      <c r="G23" s="101" t="s">
        <v>4524</v>
      </c>
    </row>
    <row r="24" spans="1:7" ht="60" customHeight="1">
      <c r="A24" s="147" t="s">
        <v>4525</v>
      </c>
      <c r="B24" s="181">
        <v>46091</v>
      </c>
      <c r="C24" s="191" t="s">
        <v>4520</v>
      </c>
      <c r="D24" s="148" t="s">
        <v>4526</v>
      </c>
      <c r="E24" s="148" t="s">
        <v>4527</v>
      </c>
      <c r="F24" s="151" t="s">
        <v>4528</v>
      </c>
      <c r="G24" s="100" t="s">
        <v>4529</v>
      </c>
    </row>
    <row r="25" spans="1:7" ht="60" customHeight="1">
      <c r="A25" s="152" t="s">
        <v>4530</v>
      </c>
      <c r="B25" s="178">
        <v>46092</v>
      </c>
      <c r="C25" s="154" t="s">
        <v>4432</v>
      </c>
      <c r="D25" s="153" t="s">
        <v>4531</v>
      </c>
      <c r="E25" s="153" t="s">
        <v>4532</v>
      </c>
      <c r="F25" s="156" t="s">
        <v>4533</v>
      </c>
      <c r="G25" s="101" t="s">
        <v>4534</v>
      </c>
    </row>
    <row r="26" spans="1:7" ht="60" customHeight="1">
      <c r="A26" s="147" t="s">
        <v>4535</v>
      </c>
      <c r="B26" s="180">
        <v>46092</v>
      </c>
      <c r="C26" s="149" t="s">
        <v>4432</v>
      </c>
      <c r="D26" s="148" t="s">
        <v>4536</v>
      </c>
      <c r="E26" s="148" t="s">
        <v>4537</v>
      </c>
      <c r="F26" s="151" t="s">
        <v>4538</v>
      </c>
      <c r="G26" s="100" t="s">
        <v>4432</v>
      </c>
    </row>
    <row r="27" spans="1:7" ht="60" customHeight="1">
      <c r="A27" s="152" t="s">
        <v>4539</v>
      </c>
      <c r="B27" s="178">
        <v>46092</v>
      </c>
      <c r="C27" s="154" t="s">
        <v>4432</v>
      </c>
      <c r="D27" s="153" t="s">
        <v>4540</v>
      </c>
      <c r="E27" s="153" t="s">
        <v>4541</v>
      </c>
      <c r="F27" s="156" t="s">
        <v>4542</v>
      </c>
      <c r="G27" s="101" t="s">
        <v>4543</v>
      </c>
    </row>
    <row r="28" spans="1:7" ht="60" customHeight="1">
      <c r="A28" s="147" t="s">
        <v>4544</v>
      </c>
      <c r="B28" s="180">
        <v>46092</v>
      </c>
      <c r="C28" s="191" t="s">
        <v>4520</v>
      </c>
      <c r="D28" s="148" t="s">
        <v>4545</v>
      </c>
      <c r="E28" s="148" t="s">
        <v>4546</v>
      </c>
      <c r="F28" s="151" t="s">
        <v>4547</v>
      </c>
      <c r="G28" s="100" t="s">
        <v>4548</v>
      </c>
    </row>
    <row r="29" spans="1:7" ht="68.25" customHeight="1">
      <c r="A29" s="192" t="s">
        <v>4549</v>
      </c>
      <c r="B29" s="193">
        <v>46096</v>
      </c>
      <c r="C29" s="192" t="s">
        <v>4432</v>
      </c>
      <c r="D29" s="130" t="s">
        <v>4550</v>
      </c>
      <c r="E29" s="130" t="s">
        <v>4551</v>
      </c>
      <c r="F29" s="130" t="s">
        <v>4552</v>
      </c>
      <c r="G29" s="130" t="s">
        <v>4553</v>
      </c>
    </row>
    <row r="30" spans="1:7" ht="15" customHeight="1">
      <c r="A30" s="6" t="s">
        <v>4554</v>
      </c>
      <c r="B30" s="194">
        <v>46096</v>
      </c>
      <c r="C30" s="6" t="s">
        <v>4432</v>
      </c>
      <c r="D30" s="7" t="s">
        <v>4555</v>
      </c>
      <c r="E30" s="195" t="s">
        <v>4556</v>
      </c>
      <c r="F30" s="195" t="s">
        <v>4557</v>
      </c>
      <c r="G30" s="130" t="s">
        <v>4558</v>
      </c>
    </row>
    <row r="31" spans="1:7" ht="15" customHeight="1">
      <c r="A31" s="196" t="s">
        <v>4559</v>
      </c>
      <c r="B31" s="197" t="s">
        <v>2426</v>
      </c>
      <c r="C31" s="197" t="s">
        <v>4560</v>
      </c>
      <c r="D31" s="198" t="s">
        <v>4561</v>
      </c>
      <c r="E31" s="198" t="s">
        <v>4562</v>
      </c>
      <c r="F31" s="199" t="s">
        <v>4563</v>
      </c>
      <c r="G31" s="69" t="s">
        <v>4564</v>
      </c>
    </row>
    <row r="32" spans="1:7" ht="60" customHeight="1">
      <c r="A32" s="157" t="s">
        <v>4565</v>
      </c>
      <c r="B32" s="200">
        <v>46092</v>
      </c>
      <c r="C32" s="159" t="s">
        <v>4432</v>
      </c>
      <c r="D32" s="158" t="s">
        <v>4566</v>
      </c>
      <c r="E32" s="158" t="s">
        <v>4567</v>
      </c>
      <c r="F32" s="161" t="s">
        <v>4568</v>
      </c>
      <c r="G32" s="100"/>
    </row>
    <row r="33" spans="1:7" ht="60" customHeight="1">
      <c r="A33" s="168" t="s">
        <v>4569</v>
      </c>
      <c r="B33" s="201">
        <v>46092</v>
      </c>
      <c r="C33" s="170" t="s">
        <v>4432</v>
      </c>
      <c r="D33" s="101" t="s">
        <v>4570</v>
      </c>
      <c r="E33" s="101" t="s">
        <v>2477</v>
      </c>
      <c r="F33" s="101" t="s">
        <v>4571</v>
      </c>
      <c r="G33" s="101" t="s">
        <v>4572</v>
      </c>
    </row>
    <row r="34" spans="1:7" ht="60" customHeight="1">
      <c r="A34" s="162" t="s">
        <v>4573</v>
      </c>
      <c r="B34" s="202">
        <v>46093</v>
      </c>
      <c r="C34" s="163" t="s">
        <v>4432</v>
      </c>
      <c r="D34" s="100" t="s">
        <v>4574</v>
      </c>
      <c r="E34" s="100" t="s">
        <v>4575</v>
      </c>
      <c r="F34" s="100" t="s">
        <v>4576</v>
      </c>
      <c r="G34" s="100" t="s">
        <v>4577</v>
      </c>
    </row>
    <row r="35" spans="1:7" ht="60" customHeight="1">
      <c r="A35" s="168" t="s">
        <v>4578</v>
      </c>
      <c r="B35" s="101">
        <v>46093</v>
      </c>
      <c r="C35" s="170" t="s">
        <v>4432</v>
      </c>
      <c r="D35" s="101" t="s">
        <v>4579</v>
      </c>
      <c r="E35" s="101" t="s">
        <v>4580</v>
      </c>
      <c r="F35" s="101" t="s">
        <v>4581</v>
      </c>
      <c r="G35" s="101" t="s">
        <v>4582</v>
      </c>
    </row>
    <row r="36" spans="1:7" ht="60" customHeight="1">
      <c r="A36" s="162" t="s">
        <v>4583</v>
      </c>
      <c r="B36" s="100">
        <v>46093</v>
      </c>
      <c r="C36" s="163" t="s">
        <v>4432</v>
      </c>
      <c r="D36" s="100" t="s">
        <v>4584</v>
      </c>
      <c r="E36" s="100" t="s">
        <v>4585</v>
      </c>
      <c r="F36" s="100" t="s">
        <v>4586</v>
      </c>
      <c r="G36" s="100" t="s">
        <v>4587</v>
      </c>
    </row>
    <row r="37" spans="1:7" ht="60" customHeight="1">
      <c r="A37" s="168" t="s">
        <v>4588</v>
      </c>
      <c r="B37" s="101">
        <v>46093</v>
      </c>
      <c r="C37" s="170" t="s">
        <v>4432</v>
      </c>
      <c r="D37" s="101" t="s">
        <v>4589</v>
      </c>
      <c r="E37" s="101" t="s">
        <v>4590</v>
      </c>
      <c r="F37" s="101" t="s">
        <v>4591</v>
      </c>
      <c r="G37" s="101" t="s">
        <v>4592</v>
      </c>
    </row>
    <row r="38" spans="1:7" ht="60" customHeight="1">
      <c r="A38" s="162" t="s">
        <v>4593</v>
      </c>
      <c r="B38" s="202">
        <v>46093</v>
      </c>
      <c r="C38" s="203" t="s">
        <v>4520</v>
      </c>
      <c r="D38" s="100" t="s">
        <v>4594</v>
      </c>
      <c r="E38" s="100" t="s">
        <v>4595</v>
      </c>
      <c r="F38" s="100" t="s">
        <v>4596</v>
      </c>
      <c r="G38" s="100" t="s">
        <v>4597</v>
      </c>
    </row>
    <row r="39" spans="1:7" ht="15" customHeight="1">
      <c r="A39" s="396" t="s">
        <v>4598</v>
      </c>
      <c r="B39" s="396" t="s">
        <v>2426</v>
      </c>
      <c r="C39" s="396" t="s">
        <v>4501</v>
      </c>
      <c r="D39" s="396" t="s">
        <v>4599</v>
      </c>
      <c r="E39" s="396" t="s">
        <v>4600</v>
      </c>
      <c r="F39" s="396" t="s">
        <v>4601</v>
      </c>
      <c r="G39" s="396" t="s">
        <v>4602</v>
      </c>
    </row>
    <row r="40" spans="1:7" ht="63.75" customHeight="1">
      <c r="A40" s="397" t="s">
        <v>4603</v>
      </c>
      <c r="B40" s="398" t="s">
        <v>2426</v>
      </c>
      <c r="C40" s="397" t="s">
        <v>400</v>
      </c>
      <c r="D40" s="398" t="s">
        <v>4604</v>
      </c>
      <c r="E40" s="398" t="s">
        <v>4605</v>
      </c>
      <c r="F40" s="398" t="s">
        <v>4606</v>
      </c>
      <c r="G40" s="398" t="s">
        <v>4607</v>
      </c>
    </row>
    <row r="41" spans="1:7" ht="89.25" customHeight="1">
      <c r="A41" s="168" t="s">
        <v>4608</v>
      </c>
      <c r="B41" s="101" t="s">
        <v>4609</v>
      </c>
      <c r="C41" s="170" t="s">
        <v>4432</v>
      </c>
      <c r="D41" s="101" t="s">
        <v>4610</v>
      </c>
      <c r="E41" s="101" t="s">
        <v>4611</v>
      </c>
      <c r="F41" s="101" t="s">
        <v>4612</v>
      </c>
      <c r="G41" s="101" t="s">
        <v>4613</v>
      </c>
    </row>
    <row r="42" spans="1:7" ht="213.75" customHeight="1">
      <c r="A42" s="204" t="s">
        <v>4614</v>
      </c>
      <c r="B42" s="205" t="s">
        <v>4609</v>
      </c>
      <c r="C42" s="206" t="s">
        <v>4432</v>
      </c>
      <c r="D42" s="205" t="s">
        <v>4615</v>
      </c>
      <c r="E42" s="205" t="s">
        <v>4616</v>
      </c>
      <c r="F42" s="205" t="s">
        <v>4617</v>
      </c>
      <c r="G42" s="205" t="s">
        <v>4618</v>
      </c>
    </row>
    <row r="43" spans="1:7" ht="90" customHeight="1">
      <c r="A43" s="23" t="s">
        <v>4619</v>
      </c>
      <c r="B43" s="207">
        <v>46094</v>
      </c>
      <c r="C43" s="23" t="s">
        <v>4432</v>
      </c>
      <c r="D43" s="47" t="s">
        <v>4620</v>
      </c>
      <c r="E43" s="47" t="s">
        <v>4621</v>
      </c>
      <c r="F43" s="23" t="s">
        <v>4622</v>
      </c>
      <c r="G43" s="47" t="s">
        <v>4623</v>
      </c>
    </row>
    <row r="44" spans="1:7" ht="165" customHeight="1">
      <c r="A44" s="23" t="s">
        <v>4158</v>
      </c>
      <c r="B44" s="47">
        <v>46098</v>
      </c>
      <c r="C44" s="23" t="s">
        <v>4432</v>
      </c>
      <c r="D44" s="47" t="s">
        <v>4624</v>
      </c>
      <c r="E44" s="47" t="s">
        <v>4625</v>
      </c>
      <c r="F44" s="47" t="s">
        <v>4626</v>
      </c>
      <c r="G44" s="47" t="s">
        <v>4627</v>
      </c>
    </row>
    <row r="45" spans="1:7" ht="41.25" customHeight="1">
      <c r="A45" s="23" t="s">
        <v>4628</v>
      </c>
      <c r="B45" s="23" t="s">
        <v>4609</v>
      </c>
      <c r="C45" s="23" t="s">
        <v>4432</v>
      </c>
      <c r="D45" s="23" t="s">
        <v>4629</v>
      </c>
      <c r="E45" s="23" t="s">
        <v>4630</v>
      </c>
      <c r="F45" s="23" t="s">
        <v>4631</v>
      </c>
      <c r="G45" s="23" t="s">
        <v>4632</v>
      </c>
    </row>
    <row r="46" spans="1:7" ht="68.25" customHeight="1">
      <c r="A46" s="23" t="s">
        <v>4164</v>
      </c>
      <c r="B46" s="23" t="s">
        <v>4609</v>
      </c>
      <c r="C46" s="23" t="s">
        <v>4432</v>
      </c>
      <c r="D46" s="23" t="s">
        <v>4633</v>
      </c>
      <c r="E46" s="23" t="s">
        <v>4634</v>
      </c>
      <c r="F46" s="23" t="s">
        <v>4635</v>
      </c>
      <c r="G46" s="23" t="s">
        <v>4636</v>
      </c>
    </row>
    <row r="47" spans="1:7" ht="68.25" customHeight="1">
      <c r="A47" s="23" t="s">
        <v>4637</v>
      </c>
      <c r="B47" s="23" t="s">
        <v>4638</v>
      </c>
      <c r="C47" s="23" t="s">
        <v>4501</v>
      </c>
      <c r="D47" s="23" t="s">
        <v>4639</v>
      </c>
      <c r="E47" s="23" t="s">
        <v>4640</v>
      </c>
      <c r="F47" s="23" t="s">
        <v>4641</v>
      </c>
      <c r="G47" s="23" t="s">
        <v>4642</v>
      </c>
    </row>
    <row r="48" spans="1:7" ht="81.75" customHeight="1">
      <c r="A48" s="23" t="s">
        <v>4643</v>
      </c>
      <c r="B48" s="23" t="s">
        <v>4638</v>
      </c>
      <c r="C48" s="23" t="s">
        <v>501</v>
      </c>
      <c r="D48" s="23" t="s">
        <v>4644</v>
      </c>
      <c r="E48" s="23" t="s">
        <v>4645</v>
      </c>
      <c r="F48" s="23" t="s">
        <v>4646</v>
      </c>
      <c r="G48" s="23" t="s">
        <v>4647</v>
      </c>
    </row>
    <row r="49" spans="1:8" ht="81.75" customHeight="1">
      <c r="A49" s="23" t="s">
        <v>4643</v>
      </c>
      <c r="B49" s="208">
        <v>46095</v>
      </c>
      <c r="C49" s="23" t="s">
        <v>501</v>
      </c>
      <c r="D49" s="23" t="s">
        <v>4644</v>
      </c>
      <c r="E49" s="23" t="s">
        <v>4648</v>
      </c>
      <c r="F49" s="23" t="s">
        <v>4646</v>
      </c>
      <c r="G49" s="23" t="s">
        <v>4647</v>
      </c>
    </row>
    <row r="50" spans="1:8" ht="81.75" customHeight="1">
      <c r="A50" s="23" t="s">
        <v>4649</v>
      </c>
      <c r="B50" s="208">
        <v>46095</v>
      </c>
      <c r="C50" s="23" t="s">
        <v>4432</v>
      </c>
      <c r="D50" s="23" t="s">
        <v>4650</v>
      </c>
      <c r="E50" s="23" t="s">
        <v>4651</v>
      </c>
      <c r="F50" s="23" t="s">
        <v>4652</v>
      </c>
      <c r="G50" s="23" t="s">
        <v>4653</v>
      </c>
    </row>
    <row r="51" spans="1:8" ht="140.25" customHeight="1">
      <c r="A51" s="209" t="s">
        <v>4654</v>
      </c>
      <c r="B51" s="210">
        <v>46095</v>
      </c>
      <c r="C51" s="209" t="s">
        <v>4655</v>
      </c>
      <c r="D51" s="209" t="s">
        <v>4656</v>
      </c>
      <c r="E51" s="209" t="s">
        <v>4657</v>
      </c>
      <c r="F51" s="209" t="s">
        <v>4658</v>
      </c>
      <c r="G51" s="209" t="s">
        <v>4659</v>
      </c>
    </row>
    <row r="52" spans="1:8" ht="120.75" customHeight="1">
      <c r="A52" s="211" t="s">
        <v>4660</v>
      </c>
      <c r="B52" s="212">
        <v>46096</v>
      </c>
      <c r="C52" s="126" t="s">
        <v>4501</v>
      </c>
      <c r="D52" s="213" t="s">
        <v>4661</v>
      </c>
      <c r="E52" s="213" t="s">
        <v>4662</v>
      </c>
      <c r="F52" s="213" t="s">
        <v>4663</v>
      </c>
      <c r="G52" s="28" t="s">
        <v>4664</v>
      </c>
    </row>
    <row r="53" spans="1:8" ht="15" customHeight="1">
      <c r="A53" s="337" t="s">
        <v>3671</v>
      </c>
      <c r="B53" s="337" t="s">
        <v>2676</v>
      </c>
      <c r="C53" s="337" t="s">
        <v>4665</v>
      </c>
      <c r="D53" s="337" t="s">
        <v>4666</v>
      </c>
      <c r="E53" s="337" t="s">
        <v>4667</v>
      </c>
      <c r="F53" s="337" t="s">
        <v>4668</v>
      </c>
      <c r="G53" s="337" t="s">
        <v>4669</v>
      </c>
      <c r="H53" s="333" t="s">
        <v>4670</v>
      </c>
    </row>
    <row r="54" spans="1:8" ht="240" customHeight="1">
      <c r="A54" s="337" t="s">
        <v>4671</v>
      </c>
      <c r="B54" s="337" t="s">
        <v>2676</v>
      </c>
      <c r="C54" s="337" t="s">
        <v>4672</v>
      </c>
      <c r="D54" s="350" t="s">
        <v>4673</v>
      </c>
      <c r="E54" s="350" t="s">
        <v>4674</v>
      </c>
      <c r="F54" s="350" t="s">
        <v>4675</v>
      </c>
      <c r="G54" s="337" t="s">
        <v>4676</v>
      </c>
      <c r="H54" s="333" t="s">
        <v>4677</v>
      </c>
    </row>
    <row r="55" spans="1:8" ht="64.5" customHeight="1">
      <c r="A55" s="342" t="s">
        <v>4678</v>
      </c>
      <c r="B55" s="342" t="s">
        <v>2426</v>
      </c>
      <c r="C55" s="416" t="s">
        <v>4501</v>
      </c>
      <c r="D55" s="410" t="s">
        <v>4679</v>
      </c>
      <c r="E55" s="410" t="s">
        <v>4680</v>
      </c>
      <c r="F55" s="410" t="s">
        <v>4681</v>
      </c>
      <c r="G55" s="342" t="s">
        <v>4682</v>
      </c>
    </row>
    <row r="56" spans="1:8">
      <c r="A56" t="s">
        <v>4683</v>
      </c>
      <c r="B56" s="450">
        <v>46101</v>
      </c>
      <c r="C56" t="s">
        <v>4501</v>
      </c>
      <c r="D56" t="s">
        <v>4684</v>
      </c>
      <c r="E56" t="s">
        <v>4685</v>
      </c>
      <c r="F56" t="s">
        <v>4686</v>
      </c>
      <c r="G56" t="s">
        <v>4687</v>
      </c>
    </row>
    <row r="57" spans="1:8">
      <c r="A57" t="s">
        <v>4688</v>
      </c>
      <c r="B57" s="450">
        <v>46101</v>
      </c>
      <c r="C57" t="s">
        <v>4501</v>
      </c>
      <c r="D57" t="s">
        <v>4689</v>
      </c>
      <c r="E57" t="s">
        <v>4690</v>
      </c>
      <c r="F57" t="s">
        <v>4691</v>
      </c>
    </row>
    <row r="58" spans="1:8" ht="48" customHeight="1">
      <c r="A58" s="456" t="s">
        <v>4692</v>
      </c>
      <c r="B58" s="456" t="s">
        <v>4693</v>
      </c>
      <c r="C58" s="456" t="s">
        <v>4501</v>
      </c>
      <c r="D58" s="456" t="s">
        <v>4694</v>
      </c>
      <c r="E58" s="456" t="s">
        <v>4695</v>
      </c>
      <c r="F58" s="456" t="s">
        <v>4696</v>
      </c>
      <c r="G58" s="456" t="s">
        <v>4697</v>
      </c>
      <c r="H58" s="456"/>
    </row>
    <row r="59" spans="1:8">
      <c r="A59" s="484" t="s">
        <v>4698</v>
      </c>
      <c r="B59" s="484" t="s">
        <v>4699</v>
      </c>
      <c r="C59" s="485" t="s">
        <v>4501</v>
      </c>
      <c r="D59" s="484" t="s">
        <v>4700</v>
      </c>
      <c r="E59" s="484" t="s">
        <v>4701</v>
      </c>
      <c r="F59" s="484" t="s">
        <v>4702</v>
      </c>
      <c r="G59" s="484" t="s">
        <v>4703</v>
      </c>
    </row>
  </sheetData>
  <pageMargins left="0.7" right="0.7" top="0.75" bottom="0.75"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541"/>
  <sheetViews>
    <sheetView zoomScaleNormal="100" workbookViewId="0">
      <pane ySplit="1" topLeftCell="A17" activePane="bottomLeft" state="frozen"/>
      <selection pane="bottomLeft"/>
    </sheetView>
  </sheetViews>
  <sheetFormatPr defaultColWidth="9.140625" defaultRowHeight="15"/>
  <cols>
    <col min="1" max="6" width="65" style="47" customWidth="1"/>
    <col min="7" max="7" width="25" style="47" customWidth="1"/>
    <col min="8" max="8" width="65" style="47" customWidth="1"/>
    <col min="9" max="26" width="9.140625" style="47" customWidth="1"/>
    <col min="27" max="16384" width="9.140625" style="47"/>
  </cols>
  <sheetData>
    <row r="1" spans="1:8" s="96" customFormat="1" ht="27.75" customHeight="1">
      <c r="A1" s="166" t="s">
        <v>4704</v>
      </c>
      <c r="B1" s="166" t="s">
        <v>1739</v>
      </c>
      <c r="C1" s="166" t="s">
        <v>4705</v>
      </c>
      <c r="D1" s="166" t="s">
        <v>2388</v>
      </c>
      <c r="E1" s="166" t="s">
        <v>4706</v>
      </c>
      <c r="F1" s="166" t="s">
        <v>4707</v>
      </c>
      <c r="G1" s="166" t="s">
        <v>4708</v>
      </c>
      <c r="H1" s="166" t="s">
        <v>1198</v>
      </c>
    </row>
    <row r="2" spans="1:8" ht="15" customHeight="1">
      <c r="A2" s="214" t="s">
        <v>4709</v>
      </c>
      <c r="B2" s="50" t="s">
        <v>4710</v>
      </c>
      <c r="C2" s="50" t="s">
        <v>4711</v>
      </c>
      <c r="D2" s="54" t="s">
        <v>4712</v>
      </c>
      <c r="E2" s="215" t="s">
        <v>4713</v>
      </c>
      <c r="F2" s="51" t="s">
        <v>4714</v>
      </c>
      <c r="G2" s="216">
        <v>46089</v>
      </c>
      <c r="H2" s="217" t="s">
        <v>3669</v>
      </c>
    </row>
    <row r="3" spans="1:8" ht="15" customHeight="1">
      <c r="A3" s="218" t="s">
        <v>4715</v>
      </c>
      <c r="B3" s="55" t="s">
        <v>4716</v>
      </c>
      <c r="C3" s="55" t="s">
        <v>4717</v>
      </c>
      <c r="D3" s="219" t="s">
        <v>4718</v>
      </c>
      <c r="E3" s="220" t="s">
        <v>4719</v>
      </c>
      <c r="F3" s="56" t="s">
        <v>4714</v>
      </c>
      <c r="G3" s="221">
        <v>46089</v>
      </c>
      <c r="H3" s="222" t="s">
        <v>4720</v>
      </c>
    </row>
    <row r="4" spans="1:8" ht="15" customHeight="1">
      <c r="A4" s="214" t="s">
        <v>4721</v>
      </c>
      <c r="B4" s="50" t="s">
        <v>4722</v>
      </c>
      <c r="C4" s="50" t="s">
        <v>4717</v>
      </c>
      <c r="D4" s="74" t="s">
        <v>4718</v>
      </c>
      <c r="E4" s="215" t="s">
        <v>4723</v>
      </c>
      <c r="F4" s="51" t="s">
        <v>4714</v>
      </c>
      <c r="G4" s="216">
        <v>46089</v>
      </c>
      <c r="H4" s="217" t="s">
        <v>4720</v>
      </c>
    </row>
    <row r="5" spans="1:8" ht="15" customHeight="1">
      <c r="A5" s="218" t="s">
        <v>4724</v>
      </c>
      <c r="B5" s="55" t="s">
        <v>4725</v>
      </c>
      <c r="C5" s="55" t="s">
        <v>4726</v>
      </c>
      <c r="D5" s="59" t="s">
        <v>4712</v>
      </c>
      <c r="E5" s="220" t="s">
        <v>4727</v>
      </c>
      <c r="F5" s="56" t="s">
        <v>4714</v>
      </c>
      <c r="G5" s="221">
        <v>46089</v>
      </c>
      <c r="H5" s="222" t="s">
        <v>3669</v>
      </c>
    </row>
    <row r="6" spans="1:8" ht="15" customHeight="1">
      <c r="A6" s="214" t="s">
        <v>4728</v>
      </c>
      <c r="B6" s="50" t="s">
        <v>4729</v>
      </c>
      <c r="C6" s="50" t="s">
        <v>4730</v>
      </c>
      <c r="D6" s="54" t="s">
        <v>4712</v>
      </c>
      <c r="E6" s="215" t="s">
        <v>4731</v>
      </c>
      <c r="F6" s="51" t="s">
        <v>4714</v>
      </c>
      <c r="G6" s="216">
        <v>46089</v>
      </c>
      <c r="H6" s="217" t="s">
        <v>3669</v>
      </c>
    </row>
    <row r="7" spans="1:8" ht="15" customHeight="1">
      <c r="A7" s="218" t="s">
        <v>4732</v>
      </c>
      <c r="B7" s="55" t="s">
        <v>4733</v>
      </c>
      <c r="C7" s="55" t="s">
        <v>4734</v>
      </c>
      <c r="D7" s="59" t="s">
        <v>4712</v>
      </c>
      <c r="E7" s="220" t="s">
        <v>4735</v>
      </c>
      <c r="F7" s="56" t="s">
        <v>4714</v>
      </c>
      <c r="G7" s="221">
        <v>46089</v>
      </c>
      <c r="H7" s="222" t="s">
        <v>3669</v>
      </c>
    </row>
    <row r="8" spans="1:8" ht="15" customHeight="1">
      <c r="A8" s="214" t="s">
        <v>4736</v>
      </c>
      <c r="B8" s="50" t="s">
        <v>4737</v>
      </c>
      <c r="C8" s="50" t="s">
        <v>4738</v>
      </c>
      <c r="D8" s="54" t="s">
        <v>4712</v>
      </c>
      <c r="E8" s="215" t="s">
        <v>4739</v>
      </c>
      <c r="F8" s="51" t="s">
        <v>4714</v>
      </c>
      <c r="G8" s="216">
        <v>46089</v>
      </c>
      <c r="H8" s="217" t="s">
        <v>3669</v>
      </c>
    </row>
    <row r="9" spans="1:8" ht="15" customHeight="1">
      <c r="A9" s="218" t="s">
        <v>4740</v>
      </c>
      <c r="B9" s="55" t="s">
        <v>4741</v>
      </c>
      <c r="C9" s="55" t="s">
        <v>4742</v>
      </c>
      <c r="D9" s="59" t="s">
        <v>4743</v>
      </c>
      <c r="E9" s="220" t="s">
        <v>4744</v>
      </c>
      <c r="F9" s="56" t="s">
        <v>4714</v>
      </c>
      <c r="G9" s="221">
        <v>46089</v>
      </c>
      <c r="H9" s="222" t="s">
        <v>4745</v>
      </c>
    </row>
    <row r="10" spans="1:8" ht="15" customHeight="1">
      <c r="A10" s="214" t="s">
        <v>4746</v>
      </c>
      <c r="B10" s="50" t="s">
        <v>4747</v>
      </c>
      <c r="C10" s="50" t="s">
        <v>4748</v>
      </c>
      <c r="D10" s="54" t="s">
        <v>4749</v>
      </c>
      <c r="E10" s="215" t="s">
        <v>4750</v>
      </c>
      <c r="F10" s="51" t="s">
        <v>4714</v>
      </c>
      <c r="G10" s="216">
        <v>46089</v>
      </c>
      <c r="H10" s="217" t="s">
        <v>4751</v>
      </c>
    </row>
    <row r="11" spans="1:8" ht="15" customHeight="1">
      <c r="A11" s="218" t="s">
        <v>4752</v>
      </c>
      <c r="B11" s="55" t="s">
        <v>4753</v>
      </c>
      <c r="C11" s="55" t="s">
        <v>4754</v>
      </c>
      <c r="D11" s="59" t="s">
        <v>4712</v>
      </c>
      <c r="E11" s="220" t="s">
        <v>4755</v>
      </c>
      <c r="F11" s="56" t="s">
        <v>4714</v>
      </c>
      <c r="G11" s="221">
        <v>46089</v>
      </c>
      <c r="H11" s="222" t="s">
        <v>3669</v>
      </c>
    </row>
    <row r="12" spans="1:8" ht="15" customHeight="1">
      <c r="A12" s="214" t="s">
        <v>4756</v>
      </c>
      <c r="B12" s="50" t="s">
        <v>4757</v>
      </c>
      <c r="C12" s="50" t="s">
        <v>4758</v>
      </c>
      <c r="D12" s="54" t="s">
        <v>4712</v>
      </c>
      <c r="E12" s="215" t="s">
        <v>4759</v>
      </c>
      <c r="F12" s="51" t="s">
        <v>4714</v>
      </c>
      <c r="G12" s="216">
        <v>46089</v>
      </c>
      <c r="H12" s="217" t="s">
        <v>3669</v>
      </c>
    </row>
    <row r="13" spans="1:8" ht="15" customHeight="1">
      <c r="A13" s="218" t="s">
        <v>4760</v>
      </c>
      <c r="B13" s="55" t="s">
        <v>4761</v>
      </c>
      <c r="C13" s="55" t="s">
        <v>4762</v>
      </c>
      <c r="D13" s="59" t="s">
        <v>4712</v>
      </c>
      <c r="E13" s="220" t="s">
        <v>4763</v>
      </c>
      <c r="F13" s="56" t="s">
        <v>4714</v>
      </c>
      <c r="G13" s="221">
        <v>46089</v>
      </c>
      <c r="H13" s="222" t="s">
        <v>3669</v>
      </c>
    </row>
    <row r="14" spans="1:8" ht="15" customHeight="1">
      <c r="A14" s="214" t="s">
        <v>4764</v>
      </c>
      <c r="B14" s="50" t="s">
        <v>4765</v>
      </c>
      <c r="C14" s="50" t="s">
        <v>4766</v>
      </c>
      <c r="D14" s="54" t="s">
        <v>4712</v>
      </c>
      <c r="E14" s="215" t="s">
        <v>4767</v>
      </c>
      <c r="F14" s="51" t="s">
        <v>4714</v>
      </c>
      <c r="G14" s="216">
        <v>46089</v>
      </c>
      <c r="H14" s="217" t="s">
        <v>3669</v>
      </c>
    </row>
    <row r="15" spans="1:8" ht="15" customHeight="1">
      <c r="A15" s="218" t="s">
        <v>4768</v>
      </c>
      <c r="B15" s="55" t="s">
        <v>4769</v>
      </c>
      <c r="C15" s="55" t="s">
        <v>4770</v>
      </c>
      <c r="D15" s="59" t="s">
        <v>4712</v>
      </c>
      <c r="E15" s="220" t="s">
        <v>4771</v>
      </c>
      <c r="F15" s="56" t="s">
        <v>4714</v>
      </c>
      <c r="G15" s="221">
        <v>46089</v>
      </c>
      <c r="H15" s="222" t="s">
        <v>3669</v>
      </c>
    </row>
    <row r="16" spans="1:8" ht="15" customHeight="1">
      <c r="A16" s="214" t="s">
        <v>4772</v>
      </c>
      <c r="B16" s="50" t="s">
        <v>4773</v>
      </c>
      <c r="C16" s="50" t="s">
        <v>4774</v>
      </c>
      <c r="D16" s="54" t="s">
        <v>4712</v>
      </c>
      <c r="E16" s="215" t="s">
        <v>4775</v>
      </c>
      <c r="F16" s="51" t="s">
        <v>4714</v>
      </c>
      <c r="G16" s="216">
        <v>46089</v>
      </c>
      <c r="H16" s="217" t="s">
        <v>3669</v>
      </c>
    </row>
    <row r="17" spans="1:8" ht="15" customHeight="1">
      <c r="A17" s="218" t="s">
        <v>4776</v>
      </c>
      <c r="B17" s="55" t="s">
        <v>4777</v>
      </c>
      <c r="C17" s="55" t="s">
        <v>4778</v>
      </c>
      <c r="D17" s="59" t="s">
        <v>4712</v>
      </c>
      <c r="E17" s="220" t="s">
        <v>4779</v>
      </c>
      <c r="F17" s="56" t="s">
        <v>4714</v>
      </c>
      <c r="G17" s="221">
        <v>46089</v>
      </c>
      <c r="H17" s="222" t="s">
        <v>3669</v>
      </c>
    </row>
    <row r="18" spans="1:8" ht="15" customHeight="1">
      <c r="A18" s="214" t="s">
        <v>4780</v>
      </c>
      <c r="B18" s="50" t="s">
        <v>4781</v>
      </c>
      <c r="C18" s="50" t="s">
        <v>4782</v>
      </c>
      <c r="D18" s="54" t="s">
        <v>4712</v>
      </c>
      <c r="E18" s="215" t="s">
        <v>4783</v>
      </c>
      <c r="F18" s="51" t="s">
        <v>4714</v>
      </c>
      <c r="G18" s="216">
        <v>46089</v>
      </c>
      <c r="H18" s="217" t="s">
        <v>3669</v>
      </c>
    </row>
    <row r="19" spans="1:8" ht="15" customHeight="1">
      <c r="A19" s="218" t="s">
        <v>4784</v>
      </c>
      <c r="B19" s="55" t="s">
        <v>4785</v>
      </c>
      <c r="C19" s="55" t="s">
        <v>4786</v>
      </c>
      <c r="D19" s="59" t="s">
        <v>4712</v>
      </c>
      <c r="E19" s="220" t="s">
        <v>4787</v>
      </c>
      <c r="F19" s="56" t="s">
        <v>4714</v>
      </c>
      <c r="G19" s="221">
        <v>46089</v>
      </c>
      <c r="H19" s="222" t="s">
        <v>3669</v>
      </c>
    </row>
    <row r="20" spans="1:8" ht="15" customHeight="1">
      <c r="A20" s="214" t="s">
        <v>4788</v>
      </c>
      <c r="B20" s="50" t="s">
        <v>4789</v>
      </c>
      <c r="C20" s="50" t="s">
        <v>4790</v>
      </c>
      <c r="D20" s="54" t="s">
        <v>4712</v>
      </c>
      <c r="E20" s="215" t="s">
        <v>4791</v>
      </c>
      <c r="F20" s="51" t="s">
        <v>4714</v>
      </c>
      <c r="G20" s="216">
        <v>46089</v>
      </c>
      <c r="H20" s="217" t="s">
        <v>3669</v>
      </c>
    </row>
    <row r="21" spans="1:8" ht="26.25" customHeight="1">
      <c r="A21" s="218" t="s">
        <v>4792</v>
      </c>
      <c r="B21" s="55" t="s">
        <v>4793</v>
      </c>
      <c r="C21" s="55" t="s">
        <v>4794</v>
      </c>
      <c r="D21" s="65" t="s">
        <v>4795</v>
      </c>
      <c r="E21" s="220" t="s">
        <v>4796</v>
      </c>
      <c r="F21" s="56" t="s">
        <v>4714</v>
      </c>
      <c r="G21" s="221">
        <v>46089</v>
      </c>
      <c r="H21" s="222" t="s">
        <v>4797</v>
      </c>
    </row>
    <row r="22" spans="1:8" ht="26.25" customHeight="1">
      <c r="A22" s="214" t="s">
        <v>4798</v>
      </c>
      <c r="B22" s="50" t="s">
        <v>4799</v>
      </c>
      <c r="C22" s="50" t="s">
        <v>4800</v>
      </c>
      <c r="D22" s="223" t="s">
        <v>4795</v>
      </c>
      <c r="E22" s="215" t="s">
        <v>4801</v>
      </c>
      <c r="F22" s="51" t="s">
        <v>4714</v>
      </c>
      <c r="G22" s="216">
        <v>46089</v>
      </c>
      <c r="H22" s="217" t="s">
        <v>4802</v>
      </c>
    </row>
    <row r="23" spans="1:8" ht="15" customHeight="1">
      <c r="A23" s="218" t="s">
        <v>4803</v>
      </c>
      <c r="B23" s="55" t="s">
        <v>4804</v>
      </c>
      <c r="C23" s="55" t="s">
        <v>4717</v>
      </c>
      <c r="D23" s="219" t="s">
        <v>4718</v>
      </c>
      <c r="E23" s="220" t="s">
        <v>4805</v>
      </c>
      <c r="F23" s="56" t="s">
        <v>4714</v>
      </c>
      <c r="G23" s="221">
        <v>46089</v>
      </c>
      <c r="H23" s="222" t="s">
        <v>4806</v>
      </c>
    </row>
    <row r="24" spans="1:8" ht="39" customHeight="1">
      <c r="A24" s="214" t="s">
        <v>4807</v>
      </c>
      <c r="B24" s="50" t="s">
        <v>4808</v>
      </c>
      <c r="C24" s="50" t="s">
        <v>4809</v>
      </c>
      <c r="D24" s="54" t="s">
        <v>4810</v>
      </c>
      <c r="E24" s="215" t="s">
        <v>4811</v>
      </c>
      <c r="F24" s="51" t="s">
        <v>4714</v>
      </c>
      <c r="G24" s="216">
        <v>46089</v>
      </c>
      <c r="H24" s="217" t="s">
        <v>4812</v>
      </c>
    </row>
    <row r="25" spans="1:8" ht="26.25" customHeight="1">
      <c r="A25" s="218" t="s">
        <v>4813</v>
      </c>
      <c r="B25" s="55" t="s">
        <v>4814</v>
      </c>
      <c r="C25" s="55" t="s">
        <v>4815</v>
      </c>
      <c r="D25" s="224" t="s">
        <v>4816</v>
      </c>
      <c r="E25" s="220" t="s">
        <v>4817</v>
      </c>
      <c r="F25" s="56" t="s">
        <v>4714</v>
      </c>
      <c r="G25" s="221">
        <v>46089</v>
      </c>
      <c r="H25" s="222" t="s">
        <v>4818</v>
      </c>
    </row>
    <row r="26" spans="1:8" ht="26.25" customHeight="1">
      <c r="A26" s="214" t="s">
        <v>4819</v>
      </c>
      <c r="B26" s="50" t="s">
        <v>4820</v>
      </c>
      <c r="C26" s="50" t="s">
        <v>4821</v>
      </c>
      <c r="D26" s="77" t="s">
        <v>4822</v>
      </c>
      <c r="E26" s="215" t="s">
        <v>4823</v>
      </c>
      <c r="F26" s="51" t="s">
        <v>4714</v>
      </c>
      <c r="G26" s="216">
        <v>46089</v>
      </c>
      <c r="H26" s="217" t="s">
        <v>4824</v>
      </c>
    </row>
    <row r="27" spans="1:8" ht="26.25" customHeight="1">
      <c r="A27" s="218" t="s">
        <v>4825</v>
      </c>
      <c r="B27" s="55" t="s">
        <v>4826</v>
      </c>
      <c r="C27" s="55" t="s">
        <v>4827</v>
      </c>
      <c r="D27" s="59" t="s">
        <v>3709</v>
      </c>
      <c r="E27" s="220" t="s">
        <v>4828</v>
      </c>
      <c r="F27" s="56" t="s">
        <v>4714</v>
      </c>
      <c r="G27" s="221">
        <v>46089</v>
      </c>
      <c r="H27" s="222" t="s">
        <v>4829</v>
      </c>
    </row>
    <row r="28" spans="1:8" ht="26.25" customHeight="1">
      <c r="A28" s="214" t="s">
        <v>4825</v>
      </c>
      <c r="B28" s="225" t="s">
        <v>4826</v>
      </c>
      <c r="C28" s="50" t="s">
        <v>4830</v>
      </c>
      <c r="D28" s="77" t="s">
        <v>4822</v>
      </c>
      <c r="E28" s="226" t="s">
        <v>4831</v>
      </c>
      <c r="F28" s="51" t="s">
        <v>4714</v>
      </c>
      <c r="G28" s="216">
        <v>46089</v>
      </c>
      <c r="H28" s="217" t="s">
        <v>4832</v>
      </c>
    </row>
    <row r="29" spans="1:8" ht="26.25" customHeight="1">
      <c r="A29" s="218" t="s">
        <v>4833</v>
      </c>
      <c r="B29" s="55" t="s">
        <v>4834</v>
      </c>
      <c r="C29" s="55" t="s">
        <v>4835</v>
      </c>
      <c r="D29" s="224" t="s">
        <v>4822</v>
      </c>
      <c r="E29" s="227" t="s">
        <v>4836</v>
      </c>
      <c r="F29" s="56" t="s">
        <v>4714</v>
      </c>
      <c r="G29" s="221">
        <v>46089</v>
      </c>
      <c r="H29" s="222" t="s">
        <v>4837</v>
      </c>
    </row>
    <row r="30" spans="1:8" ht="39" customHeight="1">
      <c r="A30" s="214" t="s">
        <v>4838</v>
      </c>
      <c r="B30" s="50" t="s">
        <v>4839</v>
      </c>
      <c r="C30" s="50" t="s">
        <v>4840</v>
      </c>
      <c r="D30" s="77" t="s">
        <v>4841</v>
      </c>
      <c r="E30" s="226" t="s">
        <v>4842</v>
      </c>
      <c r="F30" s="51" t="s">
        <v>4714</v>
      </c>
      <c r="G30" s="216">
        <v>46089</v>
      </c>
      <c r="H30" s="217" t="s">
        <v>4843</v>
      </c>
    </row>
    <row r="31" spans="1:8" ht="26.25" customHeight="1">
      <c r="A31" s="218" t="s">
        <v>4844</v>
      </c>
      <c r="B31" s="55" t="s">
        <v>4845</v>
      </c>
      <c r="C31" s="55" t="s">
        <v>4846</v>
      </c>
      <c r="D31" s="224" t="s">
        <v>4841</v>
      </c>
      <c r="E31" s="227" t="s">
        <v>4847</v>
      </c>
      <c r="F31" s="56" t="s">
        <v>4714</v>
      </c>
      <c r="G31" s="221">
        <v>46089</v>
      </c>
      <c r="H31" s="222" t="s">
        <v>4848</v>
      </c>
    </row>
    <row r="32" spans="1:8" ht="26.25" customHeight="1">
      <c r="A32" s="214" t="s">
        <v>4849</v>
      </c>
      <c r="B32" s="50" t="s">
        <v>4850</v>
      </c>
      <c r="C32" s="50" t="s">
        <v>4851</v>
      </c>
      <c r="D32" s="77" t="s">
        <v>4841</v>
      </c>
      <c r="E32" s="226" t="s">
        <v>4852</v>
      </c>
      <c r="F32" s="51" t="s">
        <v>4714</v>
      </c>
      <c r="G32" s="216">
        <v>46089</v>
      </c>
      <c r="H32" s="217" t="s">
        <v>4853</v>
      </c>
    </row>
    <row r="33" spans="1:8" ht="15" customHeight="1">
      <c r="A33" s="218" t="s">
        <v>4849</v>
      </c>
      <c r="B33" s="55" t="s">
        <v>4850</v>
      </c>
      <c r="C33" s="55" t="s">
        <v>4854</v>
      </c>
      <c r="D33" s="224" t="s">
        <v>4855</v>
      </c>
      <c r="E33" s="220" t="s">
        <v>4856</v>
      </c>
      <c r="F33" s="56" t="s">
        <v>4714</v>
      </c>
      <c r="G33" s="221">
        <v>46089</v>
      </c>
      <c r="H33" s="222" t="s">
        <v>4857</v>
      </c>
    </row>
    <row r="34" spans="1:8" ht="15" customHeight="1">
      <c r="A34" s="214"/>
      <c r="B34" s="50"/>
      <c r="C34" s="50"/>
      <c r="D34" s="77"/>
      <c r="E34" s="215"/>
      <c r="F34" s="51"/>
      <c r="G34" s="50"/>
      <c r="H34" s="217"/>
    </row>
    <row r="35" spans="1:8" ht="90" customHeight="1">
      <c r="A35" s="218" t="s">
        <v>4858</v>
      </c>
      <c r="B35" s="55"/>
      <c r="C35" s="55"/>
      <c r="D35" s="224"/>
      <c r="E35" s="220"/>
      <c r="F35" s="56"/>
      <c r="G35" s="55"/>
      <c r="H35" s="222"/>
    </row>
    <row r="36" spans="1:8" ht="39" customHeight="1">
      <c r="A36" s="214" t="s">
        <v>3728</v>
      </c>
      <c r="B36" s="50" t="s">
        <v>4859</v>
      </c>
      <c r="C36" s="50" t="s">
        <v>4860</v>
      </c>
      <c r="D36" s="223" t="s">
        <v>4861</v>
      </c>
      <c r="E36" s="215" t="s">
        <v>4862</v>
      </c>
      <c r="F36" s="51" t="s">
        <v>4714</v>
      </c>
      <c r="G36" s="216">
        <v>46089</v>
      </c>
      <c r="H36" s="217" t="s">
        <v>4863</v>
      </c>
    </row>
    <row r="37" spans="1:8" ht="26.25" customHeight="1">
      <c r="A37" s="218" t="s">
        <v>4864</v>
      </c>
      <c r="B37" s="55" t="s">
        <v>4865</v>
      </c>
      <c r="C37" s="55" t="s">
        <v>4866</v>
      </c>
      <c r="D37" s="65" t="s">
        <v>4861</v>
      </c>
      <c r="E37" s="220" t="s">
        <v>4867</v>
      </c>
      <c r="F37" s="56" t="s">
        <v>4714</v>
      </c>
      <c r="G37" s="221">
        <v>46089</v>
      </c>
      <c r="H37" s="222" t="s">
        <v>4868</v>
      </c>
    </row>
    <row r="38" spans="1:8" ht="26.25" customHeight="1">
      <c r="A38" s="214" t="s">
        <v>4869</v>
      </c>
      <c r="B38" s="50" t="s">
        <v>4870</v>
      </c>
      <c r="C38" s="50" t="s">
        <v>4871</v>
      </c>
      <c r="D38" s="77" t="s">
        <v>4872</v>
      </c>
      <c r="E38" s="215" t="s">
        <v>4873</v>
      </c>
      <c r="F38" s="51" t="s">
        <v>4714</v>
      </c>
      <c r="G38" s="216">
        <v>46089</v>
      </c>
      <c r="H38" s="217" t="s">
        <v>4874</v>
      </c>
    </row>
    <row r="39" spans="1:8" ht="15" customHeight="1">
      <c r="A39" s="218" t="s">
        <v>4875</v>
      </c>
      <c r="B39" s="55" t="s">
        <v>4876</v>
      </c>
      <c r="C39" s="55" t="s">
        <v>4877</v>
      </c>
      <c r="D39" s="224" t="s">
        <v>4872</v>
      </c>
      <c r="E39" s="220" t="s">
        <v>4878</v>
      </c>
      <c r="F39" s="56" t="s">
        <v>4714</v>
      </c>
      <c r="G39" s="221">
        <v>46089</v>
      </c>
      <c r="H39" s="222" t="s">
        <v>4874</v>
      </c>
    </row>
    <row r="40" spans="1:8" ht="15" customHeight="1">
      <c r="A40" s="214" t="s">
        <v>4879</v>
      </c>
      <c r="B40" s="50" t="s">
        <v>4880</v>
      </c>
      <c r="C40" s="50" t="s">
        <v>4881</v>
      </c>
      <c r="D40" s="77" t="s">
        <v>4872</v>
      </c>
      <c r="E40" s="215" t="s">
        <v>4882</v>
      </c>
      <c r="F40" s="51" t="s">
        <v>4714</v>
      </c>
      <c r="G40" s="216">
        <v>46089</v>
      </c>
      <c r="H40" s="217" t="s">
        <v>4874</v>
      </c>
    </row>
    <row r="41" spans="1:8" ht="26.25" customHeight="1">
      <c r="A41" s="218" t="s">
        <v>4883</v>
      </c>
      <c r="B41" s="55" t="s">
        <v>4884</v>
      </c>
      <c r="C41" s="55" t="s">
        <v>4885</v>
      </c>
      <c r="D41" s="224" t="s">
        <v>4872</v>
      </c>
      <c r="E41" s="220" t="s">
        <v>4886</v>
      </c>
      <c r="F41" s="56" t="s">
        <v>4714</v>
      </c>
      <c r="G41" s="221">
        <v>46089</v>
      </c>
      <c r="H41" s="222" t="s">
        <v>4874</v>
      </c>
    </row>
    <row r="42" spans="1:8" ht="15" customHeight="1">
      <c r="A42" s="214" t="s">
        <v>4887</v>
      </c>
      <c r="B42" s="50" t="s">
        <v>4888</v>
      </c>
      <c r="C42" s="50" t="s">
        <v>4889</v>
      </c>
      <c r="D42" s="77" t="s">
        <v>4872</v>
      </c>
      <c r="E42" s="215" t="s">
        <v>4890</v>
      </c>
      <c r="F42" s="51" t="s">
        <v>4714</v>
      </c>
      <c r="G42" s="216">
        <v>46089</v>
      </c>
      <c r="H42" s="217" t="s">
        <v>4874</v>
      </c>
    </row>
    <row r="43" spans="1:8" ht="26.25" customHeight="1">
      <c r="A43" s="218" t="s">
        <v>4891</v>
      </c>
      <c r="B43" s="55" t="s">
        <v>4892</v>
      </c>
      <c r="C43" s="55" t="s">
        <v>4893</v>
      </c>
      <c r="D43" s="224" t="s">
        <v>4872</v>
      </c>
      <c r="E43" s="220" t="s">
        <v>4894</v>
      </c>
      <c r="F43" s="56" t="s">
        <v>4714</v>
      </c>
      <c r="G43" s="221">
        <v>46089</v>
      </c>
      <c r="H43" s="222" t="s">
        <v>4895</v>
      </c>
    </row>
    <row r="44" spans="1:8" ht="15" customHeight="1">
      <c r="A44" s="214" t="s">
        <v>4896</v>
      </c>
      <c r="B44" s="50" t="s">
        <v>4897</v>
      </c>
      <c r="C44" s="50" t="s">
        <v>4898</v>
      </c>
      <c r="D44" s="77" t="s">
        <v>4872</v>
      </c>
      <c r="E44" s="215" t="s">
        <v>4899</v>
      </c>
      <c r="F44" s="51" t="s">
        <v>4714</v>
      </c>
      <c r="G44" s="216">
        <v>46089</v>
      </c>
      <c r="H44" s="217" t="s">
        <v>4874</v>
      </c>
    </row>
    <row r="45" spans="1:8" ht="15" customHeight="1">
      <c r="A45" s="218" t="s">
        <v>4900</v>
      </c>
      <c r="B45" s="55" t="s">
        <v>4901</v>
      </c>
      <c r="C45" s="55" t="s">
        <v>4902</v>
      </c>
      <c r="D45" s="224" t="s">
        <v>4872</v>
      </c>
      <c r="E45" s="220" t="s">
        <v>4903</v>
      </c>
      <c r="F45" s="56" t="s">
        <v>4714</v>
      </c>
      <c r="G45" s="221">
        <v>46089</v>
      </c>
      <c r="H45" s="222" t="s">
        <v>4874</v>
      </c>
    </row>
    <row r="46" spans="1:8" ht="26.25" customHeight="1">
      <c r="A46" s="214" t="s">
        <v>4904</v>
      </c>
      <c r="B46" s="50" t="s">
        <v>4905</v>
      </c>
      <c r="C46" s="50" t="s">
        <v>4906</v>
      </c>
      <c r="D46" s="77" t="s">
        <v>4872</v>
      </c>
      <c r="E46" s="215" t="s">
        <v>4907</v>
      </c>
      <c r="F46" s="51" t="s">
        <v>4714</v>
      </c>
      <c r="G46" s="216">
        <v>46089</v>
      </c>
      <c r="H46" s="217" t="s">
        <v>4874</v>
      </c>
    </row>
    <row r="47" spans="1:8" ht="26.25" customHeight="1">
      <c r="A47" s="218" t="s">
        <v>4908</v>
      </c>
      <c r="B47" s="55" t="s">
        <v>4909</v>
      </c>
      <c r="C47" s="55" t="s">
        <v>4910</v>
      </c>
      <c r="D47" s="59" t="s">
        <v>4911</v>
      </c>
      <c r="E47" s="220" t="s">
        <v>4912</v>
      </c>
      <c r="F47" s="56" t="s">
        <v>4714</v>
      </c>
      <c r="G47" s="221">
        <v>46089</v>
      </c>
      <c r="H47" s="222"/>
    </row>
    <row r="48" spans="1:8" ht="15" customHeight="1">
      <c r="A48" s="214"/>
      <c r="B48" s="50"/>
      <c r="C48" s="50"/>
      <c r="D48" s="77"/>
      <c r="E48" s="215"/>
      <c r="F48" s="51"/>
      <c r="G48" s="50"/>
      <c r="H48" s="217"/>
    </row>
    <row r="49" spans="1:8" ht="77.25" customHeight="1">
      <c r="A49" s="218" t="s">
        <v>4913</v>
      </c>
      <c r="B49" s="55"/>
      <c r="C49" s="55"/>
      <c r="D49" s="224"/>
      <c r="E49" s="220"/>
      <c r="F49" s="56"/>
      <c r="G49" s="55"/>
      <c r="H49" s="222"/>
    </row>
    <row r="50" spans="1:8" ht="26.25" customHeight="1">
      <c r="A50" s="214" t="s">
        <v>4914</v>
      </c>
      <c r="B50" s="50">
        <v>44</v>
      </c>
      <c r="C50" s="50"/>
      <c r="D50" s="77"/>
      <c r="E50" s="215"/>
      <c r="F50" s="51"/>
      <c r="G50" s="50"/>
      <c r="H50" s="217"/>
    </row>
    <row r="51" spans="1:8" ht="26.25" customHeight="1">
      <c r="A51" s="218" t="s">
        <v>4712</v>
      </c>
      <c r="B51" s="55">
        <v>17</v>
      </c>
      <c r="C51" s="55" t="s">
        <v>4915</v>
      </c>
      <c r="D51" s="224"/>
      <c r="E51" s="220"/>
      <c r="F51" s="56"/>
      <c r="G51" s="55"/>
      <c r="H51" s="222"/>
    </row>
    <row r="52" spans="1:8" ht="26.25" customHeight="1">
      <c r="A52" s="214" t="s">
        <v>3709</v>
      </c>
      <c r="B52" s="50">
        <v>2</v>
      </c>
      <c r="C52" s="50" t="s">
        <v>4916</v>
      </c>
      <c r="D52" s="77"/>
      <c r="E52" s="215"/>
      <c r="F52" s="51"/>
      <c r="G52" s="50"/>
      <c r="H52" s="217"/>
    </row>
    <row r="53" spans="1:8" ht="39" customHeight="1">
      <c r="A53" s="218" t="s">
        <v>4841</v>
      </c>
      <c r="B53" s="55">
        <v>3</v>
      </c>
      <c r="C53" s="55" t="s">
        <v>4917</v>
      </c>
      <c r="D53" s="224"/>
      <c r="E53" s="220"/>
      <c r="F53" s="56"/>
      <c r="G53" s="55"/>
      <c r="H53" s="222"/>
    </row>
    <row r="54" spans="1:8" ht="39" customHeight="1">
      <c r="A54" s="214" t="s">
        <v>4718</v>
      </c>
      <c r="B54" s="50">
        <v>3</v>
      </c>
      <c r="C54" s="50" t="s">
        <v>4918</v>
      </c>
      <c r="D54" s="77"/>
      <c r="E54" s="215"/>
      <c r="F54" s="51"/>
      <c r="G54" s="50"/>
      <c r="H54" s="217"/>
    </row>
    <row r="55" spans="1:8" ht="26.25" customHeight="1">
      <c r="A55" s="218" t="s">
        <v>4861</v>
      </c>
      <c r="B55" s="55">
        <v>4</v>
      </c>
      <c r="C55" s="55" t="s">
        <v>4919</v>
      </c>
      <c r="D55" s="224"/>
      <c r="E55" s="220"/>
      <c r="F55" s="56"/>
      <c r="G55" s="55"/>
      <c r="H55" s="222"/>
    </row>
    <row r="56" spans="1:8" ht="51.75" customHeight="1">
      <c r="A56" s="214" t="s">
        <v>4822</v>
      </c>
      <c r="B56" s="50">
        <v>3</v>
      </c>
      <c r="C56" s="50" t="s">
        <v>4920</v>
      </c>
      <c r="D56" s="77"/>
      <c r="E56" s="215"/>
      <c r="F56" s="51"/>
      <c r="G56" s="50"/>
      <c r="H56" s="217"/>
    </row>
    <row r="57" spans="1:8" ht="39" customHeight="1">
      <c r="A57" s="218" t="s">
        <v>4872</v>
      </c>
      <c r="B57" s="55">
        <v>10</v>
      </c>
      <c r="C57" s="55" t="s">
        <v>4921</v>
      </c>
      <c r="D57" s="224"/>
      <c r="E57" s="220"/>
      <c r="F57" s="56"/>
      <c r="G57" s="55"/>
      <c r="H57" s="222"/>
    </row>
    <row r="58" spans="1:8" ht="15" customHeight="1">
      <c r="A58" s="214"/>
      <c r="B58" s="50"/>
      <c r="C58" s="50"/>
      <c r="D58" s="77"/>
      <c r="E58" s="215"/>
      <c r="F58" s="51"/>
      <c r="G58" s="50"/>
      <c r="H58" s="217"/>
    </row>
    <row r="59" spans="1:8" ht="51.75" customHeight="1">
      <c r="A59" s="218" t="s">
        <v>4922</v>
      </c>
      <c r="B59" s="228" t="s">
        <v>2156</v>
      </c>
      <c r="C59" s="228" t="s">
        <v>1780</v>
      </c>
      <c r="D59" s="224"/>
      <c r="E59" s="220"/>
      <c r="F59" s="56"/>
      <c r="G59" s="55"/>
      <c r="H59" s="222"/>
    </row>
    <row r="60" spans="1:8" ht="64.5" customHeight="1">
      <c r="A60" s="214" t="s">
        <v>4923</v>
      </c>
      <c r="B60" s="50" t="s">
        <v>4924</v>
      </c>
      <c r="C60" s="50" t="s">
        <v>4925</v>
      </c>
      <c r="D60" s="77"/>
      <c r="E60" s="215"/>
      <c r="F60" s="51"/>
      <c r="G60" s="50"/>
      <c r="H60" s="217" t="s">
        <v>4926</v>
      </c>
    </row>
    <row r="61" spans="1:8" ht="64.5" customHeight="1">
      <c r="A61" s="218" t="s">
        <v>4927</v>
      </c>
      <c r="B61" s="55" t="s">
        <v>4924</v>
      </c>
      <c r="C61" s="55" t="s">
        <v>4928</v>
      </c>
      <c r="D61" s="224"/>
      <c r="E61" s="220"/>
      <c r="F61" s="56"/>
      <c r="G61" s="55"/>
      <c r="H61" s="222" t="s">
        <v>4929</v>
      </c>
    </row>
    <row r="62" spans="1:8" ht="77.25" customHeight="1">
      <c r="A62" s="214" t="s">
        <v>4930</v>
      </c>
      <c r="B62" s="50" t="s">
        <v>4931</v>
      </c>
      <c r="C62" s="50" t="s">
        <v>4932</v>
      </c>
      <c r="D62" s="77"/>
      <c r="E62" s="215"/>
      <c r="F62" s="51"/>
      <c r="G62" s="50"/>
      <c r="H62" s="217" t="s">
        <v>4933</v>
      </c>
    </row>
    <row r="63" spans="1:8" ht="77.25" customHeight="1">
      <c r="A63" s="218" t="s">
        <v>4934</v>
      </c>
      <c r="B63" s="55" t="s">
        <v>4931</v>
      </c>
      <c r="C63" s="55" t="s">
        <v>4935</v>
      </c>
      <c r="D63" s="224"/>
      <c r="E63" s="220"/>
      <c r="F63" s="56"/>
      <c r="G63" s="55"/>
      <c r="H63" s="222" t="s">
        <v>4936</v>
      </c>
    </row>
    <row r="64" spans="1:8" ht="90" customHeight="1">
      <c r="A64" s="214" t="s">
        <v>4937</v>
      </c>
      <c r="B64" s="50" t="s">
        <v>4938</v>
      </c>
      <c r="C64" s="50" t="s">
        <v>4939</v>
      </c>
      <c r="D64" s="77"/>
      <c r="E64" s="215"/>
      <c r="F64" s="51"/>
      <c r="G64" s="50"/>
      <c r="H64" s="217" t="s">
        <v>4940</v>
      </c>
    </row>
    <row r="65" spans="1:8" ht="77.25" customHeight="1">
      <c r="A65" s="218" t="s">
        <v>4941</v>
      </c>
      <c r="B65" s="55" t="s">
        <v>4938</v>
      </c>
      <c r="C65" s="55" t="s">
        <v>4942</v>
      </c>
      <c r="D65" s="224"/>
      <c r="E65" s="220"/>
      <c r="F65" s="56"/>
      <c r="G65" s="55"/>
      <c r="H65" s="222" t="s">
        <v>4943</v>
      </c>
    </row>
    <row r="66" spans="1:8" ht="77.25" customHeight="1">
      <c r="A66" s="214" t="s">
        <v>4944</v>
      </c>
      <c r="B66" s="50" t="s">
        <v>4945</v>
      </c>
      <c r="C66" s="50" t="s">
        <v>4946</v>
      </c>
      <c r="D66" s="77"/>
      <c r="E66" s="215"/>
      <c r="F66" s="51"/>
      <c r="G66" s="50"/>
      <c r="H66" s="217" t="s">
        <v>4947</v>
      </c>
    </row>
    <row r="67" spans="1:8" ht="15" customHeight="1">
      <c r="A67" s="218"/>
      <c r="B67" s="55"/>
      <c r="C67" s="55"/>
      <c r="D67" s="224"/>
      <c r="E67" s="220"/>
      <c r="F67" s="56"/>
      <c r="G67" s="55"/>
      <c r="H67" s="222"/>
    </row>
    <row r="68" spans="1:8" ht="90" customHeight="1">
      <c r="A68" s="214" t="s">
        <v>4948</v>
      </c>
      <c r="B68" s="50"/>
      <c r="C68" s="50"/>
      <c r="D68" s="77"/>
      <c r="E68" s="215"/>
      <c r="F68" s="51"/>
      <c r="G68" s="50"/>
      <c r="H68" s="217"/>
    </row>
    <row r="69" spans="1:8" ht="153.75" customHeight="1">
      <c r="A69" s="218" t="s">
        <v>4949</v>
      </c>
      <c r="B69" s="55" t="s">
        <v>4950</v>
      </c>
      <c r="C69" s="55" t="s">
        <v>4951</v>
      </c>
      <c r="D69" s="224"/>
      <c r="E69" s="220"/>
      <c r="F69" s="56"/>
      <c r="G69" s="55"/>
      <c r="H69" s="222"/>
    </row>
    <row r="70" spans="1:8" ht="102.75" customHeight="1">
      <c r="A70" s="214" t="s">
        <v>4952</v>
      </c>
      <c r="B70" s="50" t="s">
        <v>4950</v>
      </c>
      <c r="C70" s="50" t="s">
        <v>4953</v>
      </c>
      <c r="D70" s="77"/>
      <c r="E70" s="215"/>
      <c r="F70" s="51"/>
      <c r="G70" s="50"/>
      <c r="H70" s="217"/>
    </row>
    <row r="71" spans="1:8" ht="15" customHeight="1">
      <c r="A71" s="218"/>
      <c r="B71" s="55"/>
      <c r="C71" s="55"/>
      <c r="D71" s="224"/>
      <c r="E71" s="220"/>
      <c r="F71" s="56"/>
      <c r="G71" s="55"/>
      <c r="H71" s="222"/>
    </row>
    <row r="72" spans="1:8" ht="64.5" customHeight="1">
      <c r="A72" s="214" t="s">
        <v>4954</v>
      </c>
      <c r="B72" s="50"/>
      <c r="C72" s="50"/>
      <c r="D72" s="77"/>
      <c r="E72" s="215"/>
      <c r="F72" s="51" t="s">
        <v>4955</v>
      </c>
      <c r="G72" s="216">
        <v>46089</v>
      </c>
      <c r="H72" s="217"/>
    </row>
    <row r="73" spans="1:8" ht="26.25" customHeight="1">
      <c r="A73" s="218" t="s">
        <v>4956</v>
      </c>
      <c r="B73" s="55" t="s">
        <v>4957</v>
      </c>
      <c r="C73" s="55" t="s">
        <v>4958</v>
      </c>
      <c r="D73" s="59" t="s">
        <v>4959</v>
      </c>
      <c r="E73" s="220" t="s">
        <v>4960</v>
      </c>
      <c r="F73" s="56" t="s">
        <v>4955</v>
      </c>
      <c r="G73" s="221">
        <v>46089</v>
      </c>
      <c r="H73" s="222" t="s">
        <v>4961</v>
      </c>
    </row>
    <row r="74" spans="1:8" ht="26.25" customHeight="1">
      <c r="A74" s="214" t="s">
        <v>4962</v>
      </c>
      <c r="B74" s="50" t="s">
        <v>4963</v>
      </c>
      <c r="C74" s="50" t="s">
        <v>4964</v>
      </c>
      <c r="D74" s="54" t="s">
        <v>3031</v>
      </c>
      <c r="E74" s="215" t="s">
        <v>4965</v>
      </c>
      <c r="F74" s="51" t="s">
        <v>4955</v>
      </c>
      <c r="G74" s="216">
        <v>46089</v>
      </c>
      <c r="H74" s="217" t="s">
        <v>4966</v>
      </c>
    </row>
    <row r="75" spans="1:8" ht="26.25" customHeight="1">
      <c r="A75" s="218" t="s">
        <v>4967</v>
      </c>
      <c r="B75" s="55" t="s">
        <v>4968</v>
      </c>
      <c r="C75" s="55" t="s">
        <v>4969</v>
      </c>
      <c r="D75" s="59" t="s">
        <v>3031</v>
      </c>
      <c r="E75" s="220" t="s">
        <v>4970</v>
      </c>
      <c r="F75" s="56" t="s">
        <v>4955</v>
      </c>
      <c r="G75" s="221">
        <v>46089</v>
      </c>
      <c r="H75" s="222" t="s">
        <v>4971</v>
      </c>
    </row>
    <row r="76" spans="1:8" ht="51.75" customHeight="1">
      <c r="A76" s="214" t="s">
        <v>4972</v>
      </c>
      <c r="B76" s="50" t="s">
        <v>4973</v>
      </c>
      <c r="C76" s="50" t="s">
        <v>4974</v>
      </c>
      <c r="D76" s="54" t="s">
        <v>3031</v>
      </c>
      <c r="E76" s="215" t="s">
        <v>4975</v>
      </c>
      <c r="F76" s="51" t="s">
        <v>4955</v>
      </c>
      <c r="G76" s="216">
        <v>46089</v>
      </c>
      <c r="H76" s="217" t="s">
        <v>4976</v>
      </c>
    </row>
    <row r="77" spans="1:8" ht="39" customHeight="1">
      <c r="A77" s="218" t="s">
        <v>4977</v>
      </c>
      <c r="B77" s="55" t="s">
        <v>4978</v>
      </c>
      <c r="C77" s="55" t="s">
        <v>4979</v>
      </c>
      <c r="D77" s="59" t="s">
        <v>3031</v>
      </c>
      <c r="E77" s="220" t="s">
        <v>4980</v>
      </c>
      <c r="F77" s="56" t="s">
        <v>4955</v>
      </c>
      <c r="G77" s="221">
        <v>46089</v>
      </c>
      <c r="H77" s="222" t="s">
        <v>4981</v>
      </c>
    </row>
    <row r="78" spans="1:8" ht="39" customHeight="1">
      <c r="A78" s="214" t="s">
        <v>4982</v>
      </c>
      <c r="B78" s="50" t="s">
        <v>4983</v>
      </c>
      <c r="C78" s="50" t="s">
        <v>4984</v>
      </c>
      <c r="D78" s="54" t="s">
        <v>4985</v>
      </c>
      <c r="E78" s="215" t="s">
        <v>4986</v>
      </c>
      <c r="F78" s="51" t="s">
        <v>4955</v>
      </c>
      <c r="G78" s="216">
        <v>46089</v>
      </c>
      <c r="H78" s="217" t="s">
        <v>4987</v>
      </c>
    </row>
    <row r="79" spans="1:8" ht="15" customHeight="1">
      <c r="A79" s="218"/>
      <c r="B79" s="55"/>
      <c r="C79" s="55"/>
      <c r="D79" s="224"/>
      <c r="E79" s="220"/>
      <c r="F79" s="56"/>
      <c r="G79" s="55"/>
      <c r="H79" s="222"/>
    </row>
    <row r="80" spans="1:8" ht="77.25" customHeight="1">
      <c r="A80" s="214" t="s">
        <v>4988</v>
      </c>
      <c r="B80" s="50"/>
      <c r="C80" s="50"/>
      <c r="D80" s="77"/>
      <c r="E80" s="215"/>
      <c r="F80" s="51"/>
      <c r="G80" s="50"/>
      <c r="H80" s="217"/>
    </row>
    <row r="81" spans="1:8" ht="26.25" customHeight="1">
      <c r="A81" s="218" t="s">
        <v>11</v>
      </c>
      <c r="B81" s="55"/>
      <c r="C81" s="55" t="s">
        <v>4989</v>
      </c>
      <c r="D81" s="224"/>
      <c r="E81" s="220"/>
      <c r="F81" s="56"/>
      <c r="G81" s="55"/>
      <c r="H81" s="222"/>
    </row>
    <row r="82" spans="1:8" ht="26.25" customHeight="1">
      <c r="A82" s="214" t="s">
        <v>4990</v>
      </c>
      <c r="B82" s="50" t="s">
        <v>3750</v>
      </c>
      <c r="C82" s="50" t="s">
        <v>4991</v>
      </c>
      <c r="D82" s="77"/>
      <c r="E82" s="215" t="s">
        <v>4992</v>
      </c>
      <c r="F82" s="51"/>
      <c r="G82" s="50"/>
      <c r="H82" s="217"/>
    </row>
    <row r="83" spans="1:8" ht="26.25" customHeight="1">
      <c r="A83" s="218" t="s">
        <v>4993</v>
      </c>
      <c r="B83" s="55" t="s">
        <v>3750</v>
      </c>
      <c r="C83" s="55" t="s">
        <v>4994</v>
      </c>
      <c r="D83" s="224"/>
      <c r="E83" s="220" t="s">
        <v>4995</v>
      </c>
      <c r="F83" s="56"/>
      <c r="G83" s="55"/>
      <c r="H83" s="222"/>
    </row>
    <row r="84" spans="1:8" ht="26.25" customHeight="1">
      <c r="A84" s="214" t="s">
        <v>4996</v>
      </c>
      <c r="B84" s="50" t="s">
        <v>4997</v>
      </c>
      <c r="C84" s="50" t="s">
        <v>4998</v>
      </c>
      <c r="D84" s="77"/>
      <c r="E84" s="215" t="s">
        <v>4999</v>
      </c>
      <c r="F84" s="51"/>
      <c r="G84" s="50"/>
      <c r="H84" s="217"/>
    </row>
    <row r="85" spans="1:8" ht="26.25" customHeight="1">
      <c r="A85" s="218" t="s">
        <v>5000</v>
      </c>
      <c r="B85" s="55" t="s">
        <v>4959</v>
      </c>
      <c r="C85" s="55" t="s">
        <v>5001</v>
      </c>
      <c r="D85" s="224"/>
      <c r="E85" s="220" t="s">
        <v>5002</v>
      </c>
      <c r="F85" s="56"/>
      <c r="G85" s="55"/>
      <c r="H85" s="222"/>
    </row>
    <row r="86" spans="1:8" ht="15" customHeight="1">
      <c r="A86" s="214"/>
      <c r="B86" s="50"/>
      <c r="C86" s="50"/>
      <c r="D86" s="77"/>
      <c r="E86" s="215"/>
      <c r="F86" s="51"/>
      <c r="G86" s="50"/>
      <c r="H86" s="217"/>
    </row>
    <row r="87" spans="1:8" ht="51.75" customHeight="1">
      <c r="A87" s="218" t="s">
        <v>5003</v>
      </c>
      <c r="B87" s="55"/>
      <c r="C87" s="55"/>
      <c r="D87" s="224"/>
      <c r="E87" s="220"/>
      <c r="F87" s="56"/>
      <c r="G87" s="55"/>
      <c r="H87" s="222"/>
    </row>
    <row r="88" spans="1:8" ht="51.75" customHeight="1">
      <c r="A88" s="214" t="s">
        <v>4996</v>
      </c>
      <c r="B88" s="50" t="s">
        <v>5004</v>
      </c>
      <c r="C88" s="50" t="s">
        <v>5005</v>
      </c>
      <c r="D88" s="77"/>
      <c r="E88" s="215" t="s">
        <v>5006</v>
      </c>
      <c r="F88" s="51"/>
      <c r="G88" s="50"/>
      <c r="H88" s="217"/>
    </row>
    <row r="89" spans="1:8" ht="26.25" customHeight="1">
      <c r="A89" s="218" t="s">
        <v>5007</v>
      </c>
      <c r="B89" s="55" t="s">
        <v>5008</v>
      </c>
      <c r="C89" s="55" t="s">
        <v>5009</v>
      </c>
      <c r="D89" s="224"/>
      <c r="E89" s="220" t="s">
        <v>5010</v>
      </c>
      <c r="F89" s="56"/>
      <c r="G89" s="55"/>
      <c r="H89" s="222"/>
    </row>
    <row r="90" spans="1:8" ht="26.25" customHeight="1">
      <c r="A90" s="214" t="s">
        <v>5011</v>
      </c>
      <c r="B90" s="50" t="s">
        <v>5012</v>
      </c>
      <c r="C90" s="50" t="s">
        <v>5013</v>
      </c>
      <c r="D90" s="54" t="s">
        <v>3031</v>
      </c>
      <c r="E90" s="215" t="s">
        <v>5014</v>
      </c>
      <c r="F90" s="51" t="s">
        <v>4955</v>
      </c>
      <c r="G90" s="216">
        <v>46089</v>
      </c>
      <c r="H90" s="217" t="s">
        <v>5015</v>
      </c>
    </row>
    <row r="91" spans="1:8" ht="26.25" customHeight="1">
      <c r="A91" s="218" t="s">
        <v>5016</v>
      </c>
      <c r="B91" s="55" t="s">
        <v>5017</v>
      </c>
      <c r="C91" s="55" t="s">
        <v>5018</v>
      </c>
      <c r="D91" s="59" t="s">
        <v>3031</v>
      </c>
      <c r="E91" s="220" t="s">
        <v>5019</v>
      </c>
      <c r="F91" s="56" t="s">
        <v>4955</v>
      </c>
      <c r="G91" s="221">
        <v>46089</v>
      </c>
      <c r="H91" s="222" t="s">
        <v>5015</v>
      </c>
    </row>
    <row r="92" spans="1:8" ht="39" customHeight="1">
      <c r="A92" s="214" t="s">
        <v>5020</v>
      </c>
      <c r="B92" s="50" t="s">
        <v>5021</v>
      </c>
      <c r="C92" s="50" t="s">
        <v>5022</v>
      </c>
      <c r="D92" s="54" t="s">
        <v>3031</v>
      </c>
      <c r="E92" s="215" t="s">
        <v>5023</v>
      </c>
      <c r="F92" s="51" t="s">
        <v>4955</v>
      </c>
      <c r="G92" s="216">
        <v>46089</v>
      </c>
      <c r="H92" s="217" t="s">
        <v>5015</v>
      </c>
    </row>
    <row r="93" spans="1:8" ht="26.25" customHeight="1">
      <c r="A93" s="218" t="s">
        <v>5024</v>
      </c>
      <c r="B93" s="55" t="s">
        <v>5025</v>
      </c>
      <c r="C93" s="55" t="s">
        <v>5026</v>
      </c>
      <c r="D93" s="59" t="s">
        <v>3031</v>
      </c>
      <c r="E93" s="220" t="s">
        <v>5027</v>
      </c>
      <c r="F93" s="56" t="s">
        <v>4955</v>
      </c>
      <c r="G93" s="221">
        <v>46089</v>
      </c>
      <c r="H93" s="222" t="s">
        <v>5015</v>
      </c>
    </row>
    <row r="94" spans="1:8" ht="26.25" customHeight="1">
      <c r="A94" s="214" t="s">
        <v>5028</v>
      </c>
      <c r="B94" s="50" t="s">
        <v>5029</v>
      </c>
      <c r="C94" s="50" t="s">
        <v>5030</v>
      </c>
      <c r="D94" s="54" t="s">
        <v>3031</v>
      </c>
      <c r="E94" s="215" t="s">
        <v>5031</v>
      </c>
      <c r="F94" s="51" t="s">
        <v>4955</v>
      </c>
      <c r="G94" s="216">
        <v>46089</v>
      </c>
      <c r="H94" s="217" t="s">
        <v>5015</v>
      </c>
    </row>
    <row r="95" spans="1:8" ht="15" customHeight="1">
      <c r="A95" s="218"/>
      <c r="B95" s="55"/>
      <c r="C95" s="55"/>
      <c r="D95" s="224"/>
      <c r="E95" s="220"/>
      <c r="F95" s="56"/>
      <c r="G95" s="55"/>
      <c r="H95" s="222"/>
    </row>
    <row r="96" spans="1:8" ht="128.25" customHeight="1">
      <c r="A96" s="214" t="s">
        <v>5032</v>
      </c>
      <c r="B96" s="50"/>
      <c r="C96" s="50"/>
      <c r="D96" s="77"/>
      <c r="E96" s="215"/>
      <c r="F96" s="51" t="s">
        <v>4466</v>
      </c>
      <c r="G96" s="50"/>
      <c r="H96" s="217"/>
    </row>
    <row r="97" spans="1:8" ht="26.25" customHeight="1">
      <c r="A97" s="218" t="s">
        <v>5033</v>
      </c>
      <c r="B97" s="55" t="s">
        <v>5034</v>
      </c>
      <c r="C97" s="55" t="s">
        <v>5035</v>
      </c>
      <c r="D97" s="59" t="s">
        <v>4712</v>
      </c>
      <c r="E97" s="220" t="s">
        <v>5036</v>
      </c>
      <c r="F97" s="56" t="s">
        <v>4466</v>
      </c>
      <c r="G97" s="55"/>
      <c r="H97" s="222" t="s">
        <v>5037</v>
      </c>
    </row>
    <row r="98" spans="1:8" ht="15" customHeight="1">
      <c r="A98" s="214" t="s">
        <v>5038</v>
      </c>
      <c r="B98" s="50" t="s">
        <v>5039</v>
      </c>
      <c r="C98" s="50" t="s">
        <v>5040</v>
      </c>
      <c r="D98" s="54" t="s">
        <v>4712</v>
      </c>
      <c r="E98" s="215" t="s">
        <v>5041</v>
      </c>
      <c r="F98" s="51" t="s">
        <v>4466</v>
      </c>
      <c r="G98" s="50"/>
      <c r="H98" s="217" t="s">
        <v>3669</v>
      </c>
    </row>
    <row r="99" spans="1:8" ht="26.25" customHeight="1">
      <c r="A99" s="218" t="s">
        <v>5042</v>
      </c>
      <c r="B99" s="55" t="s">
        <v>5043</v>
      </c>
      <c r="C99" s="55" t="s">
        <v>5044</v>
      </c>
      <c r="D99" s="65" t="s">
        <v>5045</v>
      </c>
      <c r="E99" s="220" t="s">
        <v>5046</v>
      </c>
      <c r="F99" s="56" t="s">
        <v>4466</v>
      </c>
      <c r="G99" s="55"/>
      <c r="H99" s="222" t="s">
        <v>5047</v>
      </c>
    </row>
    <row r="100" spans="1:8" ht="26.25" customHeight="1">
      <c r="A100" s="214" t="s">
        <v>5048</v>
      </c>
      <c r="B100" s="50" t="s">
        <v>5049</v>
      </c>
      <c r="C100" s="50" t="s">
        <v>5050</v>
      </c>
      <c r="D100" s="54" t="s">
        <v>4712</v>
      </c>
      <c r="E100" s="215" t="s">
        <v>5051</v>
      </c>
      <c r="F100" s="51" t="s">
        <v>4466</v>
      </c>
      <c r="G100" s="50"/>
      <c r="H100" s="217" t="s">
        <v>3669</v>
      </c>
    </row>
    <row r="101" spans="1:8" ht="26.25" customHeight="1">
      <c r="A101" s="218" t="s">
        <v>5052</v>
      </c>
      <c r="B101" s="55" t="s">
        <v>5053</v>
      </c>
      <c r="C101" s="55" t="s">
        <v>5054</v>
      </c>
      <c r="D101" s="59" t="s">
        <v>5055</v>
      </c>
      <c r="E101" s="220" t="s">
        <v>5056</v>
      </c>
      <c r="F101" s="56" t="s">
        <v>4466</v>
      </c>
      <c r="G101" s="55"/>
      <c r="H101" s="222" t="s">
        <v>5057</v>
      </c>
    </row>
    <row r="102" spans="1:8" ht="15" customHeight="1">
      <c r="A102" s="214" t="s">
        <v>5058</v>
      </c>
      <c r="B102" s="50" t="s">
        <v>5059</v>
      </c>
      <c r="C102" s="50" t="s">
        <v>5060</v>
      </c>
      <c r="D102" s="54" t="s">
        <v>4712</v>
      </c>
      <c r="E102" s="215" t="s">
        <v>5061</v>
      </c>
      <c r="F102" s="51" t="s">
        <v>4466</v>
      </c>
      <c r="G102" s="50"/>
      <c r="H102" s="217" t="s">
        <v>3669</v>
      </c>
    </row>
    <row r="103" spans="1:8" ht="26.25" customHeight="1">
      <c r="A103" s="218" t="s">
        <v>5062</v>
      </c>
      <c r="B103" s="55" t="s">
        <v>5063</v>
      </c>
      <c r="C103" s="55" t="s">
        <v>5064</v>
      </c>
      <c r="D103" s="59" t="s">
        <v>5055</v>
      </c>
      <c r="E103" s="220" t="s">
        <v>5065</v>
      </c>
      <c r="F103" s="56" t="s">
        <v>4466</v>
      </c>
      <c r="G103" s="55"/>
      <c r="H103" s="222" t="s">
        <v>5057</v>
      </c>
    </row>
    <row r="104" spans="1:8" ht="26.25" customHeight="1">
      <c r="A104" s="214" t="s">
        <v>5066</v>
      </c>
      <c r="B104" s="50" t="s">
        <v>5067</v>
      </c>
      <c r="C104" s="50" t="s">
        <v>5068</v>
      </c>
      <c r="D104" s="54" t="s">
        <v>4712</v>
      </c>
      <c r="E104" s="215" t="s">
        <v>5069</v>
      </c>
      <c r="F104" s="51" t="s">
        <v>4466</v>
      </c>
      <c r="G104" s="50"/>
      <c r="H104" s="217" t="s">
        <v>3669</v>
      </c>
    </row>
    <row r="105" spans="1:8" ht="26.25" customHeight="1">
      <c r="A105" s="218" t="s">
        <v>5070</v>
      </c>
      <c r="B105" s="55" t="s">
        <v>817</v>
      </c>
      <c r="C105" s="55" t="s">
        <v>5071</v>
      </c>
      <c r="D105" s="65" t="s">
        <v>5072</v>
      </c>
      <c r="E105" s="220" t="s">
        <v>5073</v>
      </c>
      <c r="F105" s="56" t="s">
        <v>4466</v>
      </c>
      <c r="G105" s="55"/>
      <c r="H105" s="222" t="s">
        <v>5074</v>
      </c>
    </row>
    <row r="106" spans="1:8" ht="26.25" customHeight="1">
      <c r="A106" s="214" t="s">
        <v>5075</v>
      </c>
      <c r="B106" s="50" t="s">
        <v>5076</v>
      </c>
      <c r="C106" s="50" t="s">
        <v>5077</v>
      </c>
      <c r="D106" s="229" t="s">
        <v>5078</v>
      </c>
      <c r="E106" s="215" t="s">
        <v>5079</v>
      </c>
      <c r="F106" s="51" t="s">
        <v>4466</v>
      </c>
      <c r="G106" s="50"/>
      <c r="H106" s="217" t="s">
        <v>5080</v>
      </c>
    </row>
    <row r="107" spans="1:8" ht="26.25" customHeight="1">
      <c r="A107" s="218" t="s">
        <v>5081</v>
      </c>
      <c r="B107" s="55" t="s">
        <v>846</v>
      </c>
      <c r="C107" s="55" t="s">
        <v>5082</v>
      </c>
      <c r="D107" s="71" t="s">
        <v>5083</v>
      </c>
      <c r="E107" s="220" t="s">
        <v>5084</v>
      </c>
      <c r="F107" s="56" t="s">
        <v>4466</v>
      </c>
      <c r="G107" s="55"/>
      <c r="H107" s="222" t="s">
        <v>5085</v>
      </c>
    </row>
    <row r="108" spans="1:8" ht="15" customHeight="1">
      <c r="A108" s="214" t="s">
        <v>5086</v>
      </c>
      <c r="B108" s="50" t="s">
        <v>812</v>
      </c>
      <c r="C108" s="50" t="s">
        <v>5087</v>
      </c>
      <c r="D108" s="74" t="s">
        <v>4718</v>
      </c>
      <c r="E108" s="215" t="s">
        <v>5088</v>
      </c>
      <c r="F108" s="51" t="s">
        <v>4466</v>
      </c>
      <c r="G108" s="50"/>
      <c r="H108" s="217" t="s">
        <v>5089</v>
      </c>
    </row>
    <row r="109" spans="1:8" ht="15" customHeight="1">
      <c r="A109" s="218" t="s">
        <v>5090</v>
      </c>
      <c r="B109" s="55" t="s">
        <v>821</v>
      </c>
      <c r="C109" s="55" t="s">
        <v>5091</v>
      </c>
      <c r="D109" s="219" t="s">
        <v>4718</v>
      </c>
      <c r="E109" s="220" t="s">
        <v>5092</v>
      </c>
      <c r="F109" s="56" t="s">
        <v>4466</v>
      </c>
      <c r="G109" s="55"/>
      <c r="H109" s="222" t="s">
        <v>5089</v>
      </c>
    </row>
    <row r="110" spans="1:8" ht="15" customHeight="1">
      <c r="A110" s="214" t="s">
        <v>5093</v>
      </c>
      <c r="B110" s="50" t="s">
        <v>5094</v>
      </c>
      <c r="C110" s="50" t="s">
        <v>5095</v>
      </c>
      <c r="D110" s="223" t="s">
        <v>5072</v>
      </c>
      <c r="E110" s="215" t="s">
        <v>5096</v>
      </c>
      <c r="F110" s="51" t="s">
        <v>4466</v>
      </c>
      <c r="G110" s="50"/>
      <c r="H110" s="217" t="s">
        <v>5097</v>
      </c>
    </row>
    <row r="111" spans="1:8" ht="26.25" customHeight="1">
      <c r="A111" s="218" t="s">
        <v>5098</v>
      </c>
      <c r="B111" s="55" t="s">
        <v>1217</v>
      </c>
      <c r="C111" s="55" t="s">
        <v>5099</v>
      </c>
      <c r="D111" s="219" t="s">
        <v>4718</v>
      </c>
      <c r="E111" s="220" t="s">
        <v>5100</v>
      </c>
      <c r="F111" s="56" t="s">
        <v>4466</v>
      </c>
      <c r="G111" s="55"/>
      <c r="H111" s="222" t="s">
        <v>5089</v>
      </c>
    </row>
    <row r="112" spans="1:8" ht="15" customHeight="1">
      <c r="A112" s="214" t="s">
        <v>5101</v>
      </c>
      <c r="B112" s="50" t="s">
        <v>5102</v>
      </c>
      <c r="C112" s="50" t="s">
        <v>5103</v>
      </c>
      <c r="D112" s="54" t="s">
        <v>4712</v>
      </c>
      <c r="E112" s="215" t="s">
        <v>5104</v>
      </c>
      <c r="F112" s="51" t="s">
        <v>4466</v>
      </c>
      <c r="G112" s="50"/>
      <c r="H112" s="217" t="s">
        <v>3669</v>
      </c>
    </row>
    <row r="113" spans="1:8" ht="15" customHeight="1">
      <c r="A113" s="218"/>
      <c r="B113" s="55"/>
      <c r="C113" s="55"/>
      <c r="D113" s="224"/>
      <c r="E113" s="220"/>
      <c r="F113" s="56"/>
      <c r="G113" s="55"/>
      <c r="H113" s="222"/>
    </row>
    <row r="114" spans="1:8" ht="115.5" customHeight="1">
      <c r="A114" s="214" t="s">
        <v>5105</v>
      </c>
      <c r="B114" s="50"/>
      <c r="C114" s="50"/>
      <c r="D114" s="77"/>
      <c r="E114" s="215"/>
      <c r="F114" s="51"/>
      <c r="G114" s="50"/>
      <c r="H114" s="217"/>
    </row>
    <row r="115" spans="1:8" ht="15" customHeight="1">
      <c r="A115" s="218" t="s">
        <v>5106</v>
      </c>
      <c r="B115" s="55" t="s">
        <v>188</v>
      </c>
      <c r="C115" s="55" t="s">
        <v>3705</v>
      </c>
      <c r="D115" s="224" t="s">
        <v>189</v>
      </c>
      <c r="E115" s="220" t="s">
        <v>5107</v>
      </c>
      <c r="F115" s="56"/>
      <c r="G115" s="55"/>
      <c r="H115" s="222"/>
    </row>
    <row r="116" spans="1:8" ht="51.75" customHeight="1">
      <c r="A116" s="214" t="s">
        <v>5108</v>
      </c>
      <c r="B116" s="50" t="s">
        <v>5109</v>
      </c>
      <c r="C116" s="50" t="s">
        <v>5110</v>
      </c>
      <c r="D116" s="77" t="s">
        <v>5111</v>
      </c>
      <c r="E116" s="215" t="s">
        <v>5112</v>
      </c>
      <c r="F116" s="51"/>
      <c r="G116" s="50"/>
      <c r="H116" s="217"/>
    </row>
    <row r="117" spans="1:8" ht="51.75" customHeight="1">
      <c r="A117" s="218" t="s">
        <v>5113</v>
      </c>
      <c r="B117" s="55" t="s">
        <v>5114</v>
      </c>
      <c r="C117" s="55" t="s">
        <v>5110</v>
      </c>
      <c r="D117" s="224" t="s">
        <v>5115</v>
      </c>
      <c r="E117" s="220" t="s">
        <v>5116</v>
      </c>
      <c r="F117" s="56"/>
      <c r="G117" s="55"/>
      <c r="H117" s="222"/>
    </row>
    <row r="118" spans="1:8" ht="51.75" customHeight="1">
      <c r="A118" s="214" t="s">
        <v>5117</v>
      </c>
      <c r="B118" s="50" t="s">
        <v>5114</v>
      </c>
      <c r="C118" s="50" t="s">
        <v>5118</v>
      </c>
      <c r="D118" s="77" t="s">
        <v>5119</v>
      </c>
      <c r="E118" s="215" t="s">
        <v>5120</v>
      </c>
      <c r="F118" s="51"/>
      <c r="G118" s="50"/>
      <c r="H118" s="217"/>
    </row>
    <row r="119" spans="1:8" ht="64.5" customHeight="1">
      <c r="A119" s="218" t="s">
        <v>5121</v>
      </c>
      <c r="B119" s="55" t="s">
        <v>5122</v>
      </c>
      <c r="C119" s="55" t="s">
        <v>5123</v>
      </c>
      <c r="D119" s="224" t="s">
        <v>5124</v>
      </c>
      <c r="E119" s="220" t="s">
        <v>5125</v>
      </c>
      <c r="F119" s="56"/>
      <c r="G119" s="55"/>
      <c r="H119" s="222"/>
    </row>
    <row r="120" spans="1:8" ht="51.75" customHeight="1">
      <c r="A120" s="214" t="s">
        <v>5126</v>
      </c>
      <c r="B120" s="50" t="s">
        <v>5122</v>
      </c>
      <c r="C120" s="50" t="s">
        <v>5123</v>
      </c>
      <c r="D120" s="77" t="s">
        <v>5127</v>
      </c>
      <c r="E120" s="215" t="s">
        <v>5128</v>
      </c>
      <c r="F120" s="51"/>
      <c r="G120" s="50"/>
      <c r="H120" s="217"/>
    </row>
    <row r="121" spans="1:8" ht="15" customHeight="1">
      <c r="A121" s="218"/>
      <c r="B121" s="55"/>
      <c r="C121" s="55"/>
      <c r="D121" s="224"/>
      <c r="E121" s="220"/>
      <c r="F121" s="56"/>
      <c r="G121" s="55"/>
      <c r="H121" s="222"/>
    </row>
    <row r="122" spans="1:8" ht="77.25" customHeight="1">
      <c r="A122" s="214" t="s">
        <v>5129</v>
      </c>
      <c r="B122" s="50"/>
      <c r="C122" s="50"/>
      <c r="D122" s="77"/>
      <c r="E122" s="215"/>
      <c r="F122" s="51"/>
      <c r="G122" s="50"/>
      <c r="H122" s="217"/>
    </row>
    <row r="123" spans="1:8" ht="26.25" customHeight="1">
      <c r="A123" s="218" t="s">
        <v>5130</v>
      </c>
      <c r="B123" s="55" t="s">
        <v>5131</v>
      </c>
      <c r="C123" s="55" t="s">
        <v>5132</v>
      </c>
      <c r="D123" s="59" t="s">
        <v>5133</v>
      </c>
      <c r="E123" s="220" t="s">
        <v>5134</v>
      </c>
      <c r="F123" s="56" t="s">
        <v>4466</v>
      </c>
      <c r="G123" s="55"/>
      <c r="H123" s="222" t="s">
        <v>5135</v>
      </c>
    </row>
    <row r="124" spans="1:8" ht="26.25" customHeight="1">
      <c r="A124" s="214" t="s">
        <v>5136</v>
      </c>
      <c r="B124" s="50" t="s">
        <v>5137</v>
      </c>
      <c r="C124" s="50" t="s">
        <v>5138</v>
      </c>
      <c r="D124" s="54" t="s">
        <v>5133</v>
      </c>
      <c r="E124" s="215" t="s">
        <v>5139</v>
      </c>
      <c r="F124" s="51" t="s">
        <v>4466</v>
      </c>
      <c r="G124" s="50"/>
      <c r="H124" s="217" t="s">
        <v>5135</v>
      </c>
    </row>
    <row r="125" spans="1:8" ht="26.25" customHeight="1">
      <c r="A125" s="218" t="s">
        <v>5140</v>
      </c>
      <c r="B125" s="55" t="s">
        <v>5141</v>
      </c>
      <c r="C125" s="55" t="s">
        <v>5142</v>
      </c>
      <c r="D125" s="219" t="s">
        <v>5143</v>
      </c>
      <c r="E125" s="220" t="s">
        <v>5144</v>
      </c>
      <c r="F125" s="56" t="s">
        <v>4466</v>
      </c>
      <c r="G125" s="55"/>
      <c r="H125" s="222" t="s">
        <v>5145</v>
      </c>
    </row>
    <row r="126" spans="1:8" ht="15" customHeight="1">
      <c r="A126" s="214"/>
      <c r="B126" s="50"/>
      <c r="C126" s="50"/>
      <c r="D126" s="77"/>
      <c r="E126" s="215"/>
      <c r="F126" s="51"/>
      <c r="G126" s="50"/>
      <c r="H126" s="217"/>
    </row>
    <row r="127" spans="1:8" ht="90" customHeight="1">
      <c r="A127" s="218" t="s">
        <v>5146</v>
      </c>
      <c r="B127" s="55"/>
      <c r="C127" s="55"/>
      <c r="D127" s="224"/>
      <c r="E127" s="220"/>
      <c r="F127" s="56"/>
      <c r="G127" s="55"/>
      <c r="H127" s="222"/>
    </row>
    <row r="128" spans="1:8" ht="26.25" customHeight="1">
      <c r="A128" s="214" t="s">
        <v>5147</v>
      </c>
      <c r="B128" s="50" t="s">
        <v>5148</v>
      </c>
      <c r="C128" s="50" t="s">
        <v>5149</v>
      </c>
      <c r="D128" s="223" t="s">
        <v>5150</v>
      </c>
      <c r="E128" s="215" t="s">
        <v>5151</v>
      </c>
      <c r="F128" s="51" t="s">
        <v>4466</v>
      </c>
      <c r="G128" s="50"/>
      <c r="H128" s="217" t="s">
        <v>5152</v>
      </c>
    </row>
    <row r="129" spans="1:8" ht="26.25" customHeight="1">
      <c r="A129" s="218" t="s">
        <v>5153</v>
      </c>
      <c r="B129" s="55" t="s">
        <v>5154</v>
      </c>
      <c r="C129" s="55" t="s">
        <v>5155</v>
      </c>
      <c r="D129" s="65" t="s">
        <v>5150</v>
      </c>
      <c r="E129" s="220" t="s">
        <v>5156</v>
      </c>
      <c r="F129" s="56" t="s">
        <v>4466</v>
      </c>
      <c r="G129" s="55"/>
      <c r="H129" s="222" t="s">
        <v>5157</v>
      </c>
    </row>
    <row r="130" spans="1:8" ht="26.25" customHeight="1">
      <c r="A130" s="214" t="s">
        <v>5158</v>
      </c>
      <c r="B130" s="50" t="s">
        <v>5159</v>
      </c>
      <c r="C130" s="50" t="s">
        <v>5160</v>
      </c>
      <c r="D130" s="54" t="s">
        <v>4712</v>
      </c>
      <c r="E130" s="215" t="s">
        <v>5161</v>
      </c>
      <c r="F130" s="51" t="s">
        <v>4466</v>
      </c>
      <c r="G130" s="50"/>
      <c r="H130" s="217" t="s">
        <v>5162</v>
      </c>
    </row>
    <row r="131" spans="1:8" ht="26.25" customHeight="1">
      <c r="A131" s="218" t="s">
        <v>5163</v>
      </c>
      <c r="B131" s="55" t="s">
        <v>5164</v>
      </c>
      <c r="C131" s="55" t="s">
        <v>5165</v>
      </c>
      <c r="D131" s="71" t="s">
        <v>5166</v>
      </c>
      <c r="E131" s="220" t="s">
        <v>5167</v>
      </c>
      <c r="F131" s="56" t="s">
        <v>4466</v>
      </c>
      <c r="G131" s="55"/>
      <c r="H131" s="222" t="s">
        <v>5168</v>
      </c>
    </row>
    <row r="132" spans="1:8" ht="39" customHeight="1">
      <c r="A132" s="214" t="s">
        <v>5169</v>
      </c>
      <c r="B132" s="50" t="s">
        <v>5170</v>
      </c>
      <c r="C132" s="50" t="s">
        <v>5171</v>
      </c>
      <c r="D132" s="229" t="s">
        <v>5166</v>
      </c>
      <c r="E132" s="215" t="s">
        <v>5172</v>
      </c>
      <c r="F132" s="51" t="s">
        <v>4466</v>
      </c>
      <c r="G132" s="50"/>
      <c r="H132" s="217" t="s">
        <v>5173</v>
      </c>
    </row>
    <row r="133" spans="1:8" ht="26.25" customHeight="1">
      <c r="A133" s="218" t="s">
        <v>5174</v>
      </c>
      <c r="B133" s="55" t="s">
        <v>5175</v>
      </c>
      <c r="C133" s="55" t="s">
        <v>5176</v>
      </c>
      <c r="D133" s="71" t="s">
        <v>5166</v>
      </c>
      <c r="E133" s="220" t="s">
        <v>5177</v>
      </c>
      <c r="F133" s="56" t="s">
        <v>4466</v>
      </c>
      <c r="G133" s="55"/>
      <c r="H133" s="222" t="s">
        <v>5178</v>
      </c>
    </row>
    <row r="134" spans="1:8" ht="15" customHeight="1">
      <c r="A134" s="214"/>
      <c r="B134" s="50"/>
      <c r="C134" s="50"/>
      <c r="D134" s="77"/>
      <c r="E134" s="215"/>
      <c r="F134" s="51"/>
      <c r="G134" s="50"/>
      <c r="H134" s="217"/>
    </row>
    <row r="135" spans="1:8" ht="102.75" customHeight="1">
      <c r="A135" s="218" t="s">
        <v>5179</v>
      </c>
      <c r="B135" s="55"/>
      <c r="C135" s="55"/>
      <c r="D135" s="224"/>
      <c r="E135" s="220"/>
      <c r="F135" s="56"/>
      <c r="G135" s="55"/>
      <c r="H135" s="222"/>
    </row>
    <row r="136" spans="1:8" ht="39" customHeight="1">
      <c r="A136" s="214" t="s">
        <v>5180</v>
      </c>
      <c r="B136" s="50" t="s">
        <v>5181</v>
      </c>
      <c r="C136" s="50" t="s">
        <v>5182</v>
      </c>
      <c r="D136" s="54" t="s">
        <v>3078</v>
      </c>
      <c r="E136" s="215" t="s">
        <v>5183</v>
      </c>
      <c r="F136" s="51" t="s">
        <v>4466</v>
      </c>
      <c r="G136" s="50"/>
      <c r="H136" s="217" t="s">
        <v>5184</v>
      </c>
    </row>
    <row r="137" spans="1:8" ht="51.75" customHeight="1">
      <c r="A137" s="218" t="s">
        <v>5185</v>
      </c>
      <c r="B137" s="55" t="s">
        <v>5186</v>
      </c>
      <c r="C137" s="55" t="s">
        <v>5182</v>
      </c>
      <c r="D137" s="59" t="s">
        <v>3078</v>
      </c>
      <c r="E137" s="220" t="s">
        <v>5187</v>
      </c>
      <c r="F137" s="56" t="s">
        <v>4466</v>
      </c>
      <c r="G137" s="55"/>
      <c r="H137" s="222" t="s">
        <v>5184</v>
      </c>
    </row>
    <row r="138" spans="1:8" ht="51.75" customHeight="1">
      <c r="A138" s="214" t="s">
        <v>5188</v>
      </c>
      <c r="B138" s="50" t="s">
        <v>5189</v>
      </c>
      <c r="C138" s="50" t="s">
        <v>5190</v>
      </c>
      <c r="D138" s="54" t="s">
        <v>4712</v>
      </c>
      <c r="E138" s="215" t="s">
        <v>5191</v>
      </c>
      <c r="F138" s="51" t="s">
        <v>4466</v>
      </c>
      <c r="G138" s="50"/>
      <c r="H138" s="217" t="s">
        <v>5192</v>
      </c>
    </row>
    <row r="139" spans="1:8" ht="39" customHeight="1">
      <c r="A139" s="218" t="s">
        <v>5193</v>
      </c>
      <c r="B139" s="55" t="s">
        <v>5194</v>
      </c>
      <c r="C139" s="55" t="s">
        <v>5195</v>
      </c>
      <c r="D139" s="65" t="s">
        <v>5196</v>
      </c>
      <c r="E139" s="220" t="s">
        <v>5197</v>
      </c>
      <c r="F139" s="56" t="s">
        <v>4466</v>
      </c>
      <c r="G139" s="55"/>
      <c r="H139" s="222" t="s">
        <v>5198</v>
      </c>
    </row>
    <row r="140" spans="1:8" ht="39" customHeight="1">
      <c r="A140" s="214" t="s">
        <v>5199</v>
      </c>
      <c r="B140" s="50" t="s">
        <v>5200</v>
      </c>
      <c r="C140" s="50" t="s">
        <v>5201</v>
      </c>
      <c r="D140" s="223" t="s">
        <v>5196</v>
      </c>
      <c r="E140" s="215" t="s">
        <v>5202</v>
      </c>
      <c r="F140" s="51" t="s">
        <v>4466</v>
      </c>
      <c r="G140" s="50"/>
      <c r="H140" s="217" t="s">
        <v>5198</v>
      </c>
    </row>
    <row r="141" spans="1:8" ht="39" customHeight="1">
      <c r="A141" s="218" t="s">
        <v>5203</v>
      </c>
      <c r="B141" s="55" t="s">
        <v>5204</v>
      </c>
      <c r="C141" s="55" t="s">
        <v>5205</v>
      </c>
      <c r="D141" s="59" t="s">
        <v>3078</v>
      </c>
      <c r="E141" s="220" t="s">
        <v>5206</v>
      </c>
      <c r="F141" s="56" t="s">
        <v>4466</v>
      </c>
      <c r="G141" s="55"/>
      <c r="H141" s="222" t="s">
        <v>5207</v>
      </c>
    </row>
    <row r="142" spans="1:8" ht="39" customHeight="1">
      <c r="A142" s="214"/>
      <c r="B142" s="50" t="s">
        <v>5208</v>
      </c>
      <c r="C142" s="50"/>
      <c r="D142" s="77"/>
      <c r="E142" s="215"/>
      <c r="F142" s="51"/>
      <c r="G142" s="50"/>
      <c r="H142" s="217"/>
    </row>
    <row r="143" spans="1:8" ht="115.5" customHeight="1">
      <c r="A143" s="218" t="s">
        <v>5209</v>
      </c>
      <c r="B143" s="55"/>
      <c r="C143" s="55"/>
      <c r="D143" s="224"/>
      <c r="E143" s="220"/>
      <c r="F143" s="56"/>
      <c r="G143" s="55"/>
      <c r="H143" s="222"/>
    </row>
    <row r="144" spans="1:8" ht="26.25" customHeight="1">
      <c r="A144" s="214" t="s">
        <v>5210</v>
      </c>
      <c r="B144" s="50" t="s">
        <v>5211</v>
      </c>
      <c r="C144" s="50" t="s">
        <v>5212</v>
      </c>
      <c r="D144" s="54" t="s">
        <v>4712</v>
      </c>
      <c r="E144" s="215" t="s">
        <v>5213</v>
      </c>
      <c r="F144" s="51" t="s">
        <v>5214</v>
      </c>
      <c r="G144" s="50" t="s">
        <v>5215</v>
      </c>
      <c r="H144" s="217"/>
    </row>
    <row r="145" spans="1:8" ht="26.25" customHeight="1">
      <c r="A145" s="218" t="s">
        <v>5216</v>
      </c>
      <c r="B145" s="55" t="s">
        <v>3998</v>
      </c>
      <c r="C145" s="55" t="s">
        <v>5217</v>
      </c>
      <c r="D145" s="59" t="s">
        <v>4712</v>
      </c>
      <c r="E145" s="220" t="s">
        <v>5218</v>
      </c>
      <c r="F145" s="56" t="s">
        <v>5214</v>
      </c>
      <c r="G145" s="55" t="s">
        <v>5215</v>
      </c>
      <c r="H145" s="222"/>
    </row>
    <row r="146" spans="1:8" ht="26.25" customHeight="1">
      <c r="A146" s="214" t="s">
        <v>5219</v>
      </c>
      <c r="B146" s="50" t="s">
        <v>5220</v>
      </c>
      <c r="C146" s="50" t="s">
        <v>5221</v>
      </c>
      <c r="D146" s="54" t="s">
        <v>4712</v>
      </c>
      <c r="E146" s="215" t="s">
        <v>5222</v>
      </c>
      <c r="F146" s="51" t="s">
        <v>5214</v>
      </c>
      <c r="G146" s="50" t="s">
        <v>5215</v>
      </c>
      <c r="H146" s="217"/>
    </row>
    <row r="147" spans="1:8" ht="26.25" customHeight="1">
      <c r="A147" s="218" t="s">
        <v>5223</v>
      </c>
      <c r="B147" s="55" t="s">
        <v>5224</v>
      </c>
      <c r="C147" s="55" t="s">
        <v>5225</v>
      </c>
      <c r="D147" s="59" t="s">
        <v>4712</v>
      </c>
      <c r="E147" s="220" t="s">
        <v>5226</v>
      </c>
      <c r="F147" s="56" t="s">
        <v>5214</v>
      </c>
      <c r="G147" s="55" t="s">
        <v>5215</v>
      </c>
      <c r="H147" s="222"/>
    </row>
    <row r="148" spans="1:8" ht="26.25" customHeight="1">
      <c r="A148" s="214" t="s">
        <v>5227</v>
      </c>
      <c r="B148" s="50" t="s">
        <v>5228</v>
      </c>
      <c r="C148" s="50" t="s">
        <v>5229</v>
      </c>
      <c r="D148" s="54" t="s">
        <v>4712</v>
      </c>
      <c r="E148" s="215" t="s">
        <v>5230</v>
      </c>
      <c r="F148" s="51" t="s">
        <v>5214</v>
      </c>
      <c r="G148" s="50" t="s">
        <v>5215</v>
      </c>
      <c r="H148" s="217"/>
    </row>
    <row r="149" spans="1:8" ht="26.25" customHeight="1">
      <c r="A149" s="218" t="s">
        <v>5231</v>
      </c>
      <c r="B149" s="55" t="s">
        <v>5232</v>
      </c>
      <c r="C149" s="55" t="s">
        <v>5233</v>
      </c>
      <c r="D149" s="59" t="s">
        <v>4712</v>
      </c>
      <c r="E149" s="220" t="s">
        <v>5234</v>
      </c>
      <c r="F149" s="56" t="s">
        <v>5214</v>
      </c>
      <c r="G149" s="55" t="s">
        <v>5215</v>
      </c>
      <c r="H149" s="222"/>
    </row>
    <row r="150" spans="1:8" ht="26.25" customHeight="1">
      <c r="A150" s="214" t="s">
        <v>5235</v>
      </c>
      <c r="B150" s="50" t="s">
        <v>5236</v>
      </c>
      <c r="C150" s="50" t="s">
        <v>5237</v>
      </c>
      <c r="D150" s="54" t="s">
        <v>4712</v>
      </c>
      <c r="E150" s="215" t="s">
        <v>5238</v>
      </c>
      <c r="F150" s="51" t="s">
        <v>5214</v>
      </c>
      <c r="G150" s="50" t="s">
        <v>5215</v>
      </c>
      <c r="H150" s="217"/>
    </row>
    <row r="151" spans="1:8" ht="26.25" customHeight="1">
      <c r="A151" s="218" t="s">
        <v>5239</v>
      </c>
      <c r="B151" s="55" t="s">
        <v>5240</v>
      </c>
      <c r="C151" s="55" t="s">
        <v>5241</v>
      </c>
      <c r="D151" s="59" t="s">
        <v>4712</v>
      </c>
      <c r="E151" s="220" t="s">
        <v>5242</v>
      </c>
      <c r="F151" s="56" t="s">
        <v>5214</v>
      </c>
      <c r="G151" s="55" t="s">
        <v>5215</v>
      </c>
      <c r="H151" s="222"/>
    </row>
    <row r="152" spans="1:8" ht="26.25" customHeight="1">
      <c r="A152" s="214" t="s">
        <v>5243</v>
      </c>
      <c r="B152" s="50" t="s">
        <v>5244</v>
      </c>
      <c r="C152" s="50" t="s">
        <v>5245</v>
      </c>
      <c r="D152" s="54" t="s">
        <v>4712</v>
      </c>
      <c r="E152" s="215" t="s">
        <v>5246</v>
      </c>
      <c r="F152" s="51" t="s">
        <v>5214</v>
      </c>
      <c r="G152" s="50" t="s">
        <v>5215</v>
      </c>
      <c r="H152" s="217"/>
    </row>
    <row r="153" spans="1:8" ht="26.25" customHeight="1">
      <c r="A153" s="218" t="s">
        <v>5247</v>
      </c>
      <c r="B153" s="55" t="s">
        <v>5248</v>
      </c>
      <c r="C153" s="55" t="s">
        <v>5249</v>
      </c>
      <c r="D153" s="59" t="s">
        <v>4712</v>
      </c>
      <c r="E153" s="220" t="s">
        <v>5250</v>
      </c>
      <c r="F153" s="56" t="s">
        <v>5214</v>
      </c>
      <c r="G153" s="55" t="s">
        <v>5215</v>
      </c>
      <c r="H153" s="222"/>
    </row>
    <row r="154" spans="1:8" ht="26.25" customHeight="1">
      <c r="A154" s="214" t="s">
        <v>5251</v>
      </c>
      <c r="B154" s="50" t="s">
        <v>5252</v>
      </c>
      <c r="C154" s="50" t="s">
        <v>5253</v>
      </c>
      <c r="D154" s="54" t="s">
        <v>4712</v>
      </c>
      <c r="E154" s="215" t="s">
        <v>5254</v>
      </c>
      <c r="F154" s="51" t="s">
        <v>5214</v>
      </c>
      <c r="G154" s="50" t="s">
        <v>5215</v>
      </c>
      <c r="H154" s="217"/>
    </row>
    <row r="155" spans="1:8" ht="26.25" customHeight="1">
      <c r="A155" s="218" t="s">
        <v>5255</v>
      </c>
      <c r="B155" s="55" t="s">
        <v>5256</v>
      </c>
      <c r="C155" s="55" t="s">
        <v>5257</v>
      </c>
      <c r="D155" s="59" t="s">
        <v>4712</v>
      </c>
      <c r="E155" s="220" t="s">
        <v>5258</v>
      </c>
      <c r="F155" s="56" t="s">
        <v>5214</v>
      </c>
      <c r="G155" s="55" t="s">
        <v>5259</v>
      </c>
      <c r="H155" s="222"/>
    </row>
    <row r="156" spans="1:8" ht="26.25" customHeight="1">
      <c r="A156" s="214" t="s">
        <v>5260</v>
      </c>
      <c r="B156" s="50" t="s">
        <v>5261</v>
      </c>
      <c r="C156" s="50" t="s">
        <v>5262</v>
      </c>
      <c r="D156" s="54" t="s">
        <v>4712</v>
      </c>
      <c r="E156" s="215" t="s">
        <v>5263</v>
      </c>
      <c r="F156" s="51" t="s">
        <v>5214</v>
      </c>
      <c r="G156" s="50" t="s">
        <v>5264</v>
      </c>
      <c r="H156" s="217"/>
    </row>
    <row r="157" spans="1:8" ht="26.25" customHeight="1">
      <c r="A157" s="218" t="s">
        <v>5265</v>
      </c>
      <c r="B157" s="55" t="s">
        <v>5266</v>
      </c>
      <c r="C157" s="55" t="s">
        <v>5267</v>
      </c>
      <c r="D157" s="59" t="s">
        <v>4712</v>
      </c>
      <c r="E157" s="220" t="s">
        <v>5268</v>
      </c>
      <c r="F157" s="56" t="s">
        <v>5214</v>
      </c>
      <c r="G157" s="55" t="s">
        <v>5215</v>
      </c>
      <c r="H157" s="222"/>
    </row>
    <row r="158" spans="1:8" ht="26.25" customHeight="1">
      <c r="A158" s="214" t="s">
        <v>5269</v>
      </c>
      <c r="B158" s="50" t="s">
        <v>5270</v>
      </c>
      <c r="C158" s="50" t="s">
        <v>5271</v>
      </c>
      <c r="D158" s="54" t="s">
        <v>4712</v>
      </c>
      <c r="E158" s="215" t="s">
        <v>5272</v>
      </c>
      <c r="F158" s="51" t="s">
        <v>5214</v>
      </c>
      <c r="G158" s="50" t="s">
        <v>5273</v>
      </c>
      <c r="H158" s="217"/>
    </row>
    <row r="159" spans="1:8" ht="26.25" customHeight="1">
      <c r="A159" s="218" t="s">
        <v>5274</v>
      </c>
      <c r="B159" s="55" t="s">
        <v>5275</v>
      </c>
      <c r="C159" s="55" t="s">
        <v>5276</v>
      </c>
      <c r="D159" s="59" t="s">
        <v>4712</v>
      </c>
      <c r="E159" s="220" t="s">
        <v>5277</v>
      </c>
      <c r="F159" s="56" t="s">
        <v>5214</v>
      </c>
      <c r="G159" s="55" t="s">
        <v>5259</v>
      </c>
      <c r="H159" s="222"/>
    </row>
    <row r="160" spans="1:8" ht="26.25" customHeight="1">
      <c r="A160" s="214" t="s">
        <v>5278</v>
      </c>
      <c r="B160" s="50" t="s">
        <v>5279</v>
      </c>
      <c r="C160" s="50" t="s">
        <v>5280</v>
      </c>
      <c r="D160" s="54" t="s">
        <v>4712</v>
      </c>
      <c r="E160" s="215" t="s">
        <v>5281</v>
      </c>
      <c r="F160" s="51" t="s">
        <v>5214</v>
      </c>
      <c r="G160" s="50" t="s">
        <v>5282</v>
      </c>
      <c r="H160" s="217"/>
    </row>
    <row r="161" spans="1:8" ht="26.25" customHeight="1">
      <c r="A161" s="218" t="s">
        <v>5283</v>
      </c>
      <c r="B161" s="55" t="s">
        <v>5284</v>
      </c>
      <c r="C161" s="55" t="s">
        <v>5285</v>
      </c>
      <c r="D161" s="59" t="s">
        <v>4712</v>
      </c>
      <c r="E161" s="220" t="s">
        <v>5286</v>
      </c>
      <c r="F161" s="56" t="s">
        <v>5214</v>
      </c>
      <c r="G161" s="55" t="s">
        <v>5287</v>
      </c>
      <c r="H161" s="222"/>
    </row>
    <row r="162" spans="1:8" ht="26.25" customHeight="1">
      <c r="A162" s="214" t="s">
        <v>5288</v>
      </c>
      <c r="B162" s="50" t="s">
        <v>5289</v>
      </c>
      <c r="C162" s="50" t="s">
        <v>5290</v>
      </c>
      <c r="D162" s="54" t="s">
        <v>4712</v>
      </c>
      <c r="E162" s="215" t="s">
        <v>5291</v>
      </c>
      <c r="F162" s="51" t="s">
        <v>5214</v>
      </c>
      <c r="G162" s="50" t="s">
        <v>5292</v>
      </c>
      <c r="H162" s="217"/>
    </row>
    <row r="163" spans="1:8" ht="26.25" customHeight="1">
      <c r="A163" s="218" t="s">
        <v>5293</v>
      </c>
      <c r="B163" s="55" t="s">
        <v>5294</v>
      </c>
      <c r="C163" s="55" t="s">
        <v>5295</v>
      </c>
      <c r="D163" s="59" t="s">
        <v>4712</v>
      </c>
      <c r="E163" s="220" t="s">
        <v>5296</v>
      </c>
      <c r="F163" s="56" t="s">
        <v>5214</v>
      </c>
      <c r="G163" s="55" t="s">
        <v>5297</v>
      </c>
      <c r="H163" s="222"/>
    </row>
    <row r="164" spans="1:8" ht="26.25" customHeight="1">
      <c r="A164" s="214" t="s">
        <v>5298</v>
      </c>
      <c r="B164" s="50" t="s">
        <v>5299</v>
      </c>
      <c r="C164" s="50" t="s">
        <v>5300</v>
      </c>
      <c r="D164" s="54" t="s">
        <v>4712</v>
      </c>
      <c r="E164" s="215" t="s">
        <v>5301</v>
      </c>
      <c r="F164" s="51" t="s">
        <v>5214</v>
      </c>
      <c r="G164" s="50" t="s">
        <v>5302</v>
      </c>
      <c r="H164" s="217"/>
    </row>
    <row r="165" spans="1:8" ht="26.25" customHeight="1">
      <c r="A165" s="218" t="s">
        <v>5303</v>
      </c>
      <c r="B165" s="55" t="s">
        <v>5304</v>
      </c>
      <c r="C165" s="55" t="s">
        <v>5305</v>
      </c>
      <c r="D165" s="59" t="s">
        <v>4712</v>
      </c>
      <c r="E165" s="220" t="s">
        <v>5306</v>
      </c>
      <c r="F165" s="56" t="s">
        <v>5214</v>
      </c>
      <c r="G165" s="55" t="s">
        <v>5307</v>
      </c>
      <c r="H165" s="222"/>
    </row>
    <row r="166" spans="1:8" ht="26.25" customHeight="1">
      <c r="A166" s="214" t="s">
        <v>5308</v>
      </c>
      <c r="B166" s="50" t="s">
        <v>5309</v>
      </c>
      <c r="C166" s="50" t="s">
        <v>5310</v>
      </c>
      <c r="D166" s="54" t="s">
        <v>4712</v>
      </c>
      <c r="E166" s="215" t="s">
        <v>5311</v>
      </c>
      <c r="F166" s="51" t="s">
        <v>5214</v>
      </c>
      <c r="G166" s="50" t="s">
        <v>5312</v>
      </c>
      <c r="H166" s="217"/>
    </row>
    <row r="167" spans="1:8" ht="26.25" customHeight="1">
      <c r="A167" s="218" t="s">
        <v>5313</v>
      </c>
      <c r="B167" s="55" t="s">
        <v>5314</v>
      </c>
      <c r="C167" s="55" t="s">
        <v>5315</v>
      </c>
      <c r="D167" s="71" t="s">
        <v>5166</v>
      </c>
      <c r="E167" s="220" t="s">
        <v>5316</v>
      </c>
      <c r="F167" s="56" t="s">
        <v>5214</v>
      </c>
      <c r="G167" s="55" t="s">
        <v>5215</v>
      </c>
      <c r="H167" s="222"/>
    </row>
    <row r="168" spans="1:8" ht="26.25" customHeight="1">
      <c r="A168" s="214" t="s">
        <v>5317</v>
      </c>
      <c r="B168" s="50" t="s">
        <v>5318</v>
      </c>
      <c r="C168" s="50" t="s">
        <v>5319</v>
      </c>
      <c r="D168" s="229" t="s">
        <v>5166</v>
      </c>
      <c r="E168" s="215" t="s">
        <v>5316</v>
      </c>
      <c r="F168" s="51" t="s">
        <v>5214</v>
      </c>
      <c r="G168" s="50" t="s">
        <v>5215</v>
      </c>
      <c r="H168" s="217"/>
    </row>
    <row r="169" spans="1:8" ht="26.25" customHeight="1">
      <c r="A169" s="218" t="s">
        <v>5320</v>
      </c>
      <c r="B169" s="55" t="s">
        <v>5321</v>
      </c>
      <c r="C169" s="55" t="s">
        <v>5322</v>
      </c>
      <c r="D169" s="71" t="s">
        <v>5166</v>
      </c>
      <c r="E169" s="220" t="s">
        <v>5323</v>
      </c>
      <c r="F169" s="56" t="s">
        <v>5214</v>
      </c>
      <c r="G169" s="55" t="s">
        <v>5215</v>
      </c>
      <c r="H169" s="222"/>
    </row>
    <row r="170" spans="1:8" ht="26.25" customHeight="1">
      <c r="A170" s="214" t="s">
        <v>5324</v>
      </c>
      <c r="B170" s="50" t="s">
        <v>5325</v>
      </c>
      <c r="C170" s="50" t="s">
        <v>5326</v>
      </c>
      <c r="D170" s="229" t="s">
        <v>5166</v>
      </c>
      <c r="E170" s="215" t="s">
        <v>5327</v>
      </c>
      <c r="F170" s="51" t="s">
        <v>5214</v>
      </c>
      <c r="G170" s="50" t="s">
        <v>5215</v>
      </c>
      <c r="H170" s="217"/>
    </row>
    <row r="171" spans="1:8" ht="26.25" customHeight="1">
      <c r="A171" s="218" t="s">
        <v>5328</v>
      </c>
      <c r="B171" s="55" t="s">
        <v>5329</v>
      </c>
      <c r="C171" s="55" t="s">
        <v>5330</v>
      </c>
      <c r="D171" s="65" t="s">
        <v>5331</v>
      </c>
      <c r="E171" s="220" t="s">
        <v>5332</v>
      </c>
      <c r="F171" s="56" t="s">
        <v>5214</v>
      </c>
      <c r="G171" s="55" t="s">
        <v>5215</v>
      </c>
      <c r="H171" s="222"/>
    </row>
    <row r="172" spans="1:8" ht="26.25" customHeight="1">
      <c r="A172" s="214" t="s">
        <v>5333</v>
      </c>
      <c r="B172" s="50" t="s">
        <v>5334</v>
      </c>
      <c r="C172" s="50" t="s">
        <v>5335</v>
      </c>
      <c r="D172" s="74" t="s">
        <v>4718</v>
      </c>
      <c r="E172" s="215" t="s">
        <v>5336</v>
      </c>
      <c r="F172" s="51" t="s">
        <v>5214</v>
      </c>
      <c r="G172" s="50" t="s">
        <v>5215</v>
      </c>
      <c r="H172" s="217"/>
    </row>
    <row r="173" spans="1:8" ht="26.25" customHeight="1">
      <c r="A173" s="218" t="s">
        <v>5337</v>
      </c>
      <c r="B173" s="55" t="s">
        <v>5338</v>
      </c>
      <c r="C173" s="55" t="s">
        <v>5339</v>
      </c>
      <c r="D173" s="219" t="s">
        <v>4718</v>
      </c>
      <c r="E173" s="220" t="s">
        <v>5340</v>
      </c>
      <c r="F173" s="56" t="s">
        <v>5214</v>
      </c>
      <c r="G173" s="55" t="s">
        <v>5341</v>
      </c>
      <c r="H173" s="222"/>
    </row>
    <row r="174" spans="1:8" ht="26.25" customHeight="1">
      <c r="A174" s="214" t="s">
        <v>5342</v>
      </c>
      <c r="B174" s="50" t="s">
        <v>5343</v>
      </c>
      <c r="C174" s="50" t="s">
        <v>5344</v>
      </c>
      <c r="D174" s="74" t="s">
        <v>4718</v>
      </c>
      <c r="E174" s="215" t="s">
        <v>5345</v>
      </c>
      <c r="F174" s="51" t="s">
        <v>5214</v>
      </c>
      <c r="G174" s="50" t="s">
        <v>5341</v>
      </c>
      <c r="H174" s="217"/>
    </row>
    <row r="175" spans="1:8" ht="15" customHeight="1">
      <c r="A175" s="218"/>
      <c r="B175" s="55"/>
      <c r="C175" s="55"/>
      <c r="D175" s="224"/>
      <c r="E175" s="220"/>
      <c r="F175" s="56"/>
      <c r="G175" s="55"/>
      <c r="H175" s="222"/>
    </row>
    <row r="176" spans="1:8" ht="15" customHeight="1">
      <c r="A176" s="214"/>
      <c r="B176" s="50"/>
      <c r="C176" s="50"/>
      <c r="D176" s="77"/>
      <c r="E176" s="215"/>
      <c r="F176" s="51"/>
      <c r="G176" s="50"/>
      <c r="H176" s="217"/>
    </row>
    <row r="177" spans="1:8" ht="102.75" customHeight="1">
      <c r="A177" s="218" t="s">
        <v>5346</v>
      </c>
      <c r="B177" s="55"/>
      <c r="C177" s="55"/>
      <c r="D177" s="224"/>
      <c r="E177" s="220"/>
      <c r="F177" s="56"/>
      <c r="G177" s="55"/>
      <c r="H177" s="222"/>
    </row>
    <row r="178" spans="1:8" ht="15" customHeight="1">
      <c r="A178" s="214" t="s">
        <v>813</v>
      </c>
      <c r="B178" s="50" t="s">
        <v>5347</v>
      </c>
      <c r="C178" s="230">
        <v>0.77400000000000002</v>
      </c>
      <c r="D178" s="54" t="s">
        <v>3825</v>
      </c>
      <c r="E178" s="215" t="s">
        <v>5348</v>
      </c>
      <c r="F178" s="51"/>
      <c r="G178" s="50"/>
      <c r="H178" s="217"/>
    </row>
    <row r="179" spans="1:8" ht="26.25" customHeight="1">
      <c r="A179" s="218" t="s">
        <v>3370</v>
      </c>
      <c r="B179" s="55" t="s">
        <v>5349</v>
      </c>
      <c r="C179" s="231">
        <v>0.129</v>
      </c>
      <c r="D179" s="71" t="s">
        <v>5350</v>
      </c>
      <c r="E179" s="220" t="s">
        <v>5351</v>
      </c>
      <c r="F179" s="56"/>
      <c r="G179" s="55"/>
      <c r="H179" s="222"/>
    </row>
    <row r="180" spans="1:8" ht="39" customHeight="1">
      <c r="A180" s="214" t="s">
        <v>5352</v>
      </c>
      <c r="B180" s="50" t="s">
        <v>5353</v>
      </c>
      <c r="C180" s="230">
        <v>3.2000000000000001E-2</v>
      </c>
      <c r="D180" s="223" t="s">
        <v>5354</v>
      </c>
      <c r="E180" s="215" t="s">
        <v>5355</v>
      </c>
      <c r="F180" s="51"/>
      <c r="G180" s="50"/>
      <c r="H180" s="217"/>
    </row>
    <row r="181" spans="1:8" ht="26.25" customHeight="1">
      <c r="A181" s="218" t="s">
        <v>5356</v>
      </c>
      <c r="B181" s="55" t="s">
        <v>5357</v>
      </c>
      <c r="C181" s="231">
        <v>9.7000000000000003E-2</v>
      </c>
      <c r="D181" s="219" t="s">
        <v>5358</v>
      </c>
      <c r="E181" s="220" t="s">
        <v>5359</v>
      </c>
      <c r="F181" s="56"/>
      <c r="G181" s="55"/>
      <c r="H181" s="222"/>
    </row>
    <row r="182" spans="1:8" ht="15" customHeight="1">
      <c r="A182" s="214"/>
      <c r="B182" s="50"/>
      <c r="C182" s="50"/>
      <c r="D182" s="77"/>
      <c r="E182" s="215"/>
      <c r="F182" s="51"/>
      <c r="G182" s="50"/>
      <c r="H182" s="217"/>
    </row>
    <row r="183" spans="1:8" ht="39" customHeight="1">
      <c r="A183" s="218" t="s">
        <v>5360</v>
      </c>
      <c r="B183" s="55"/>
      <c r="C183" s="55"/>
      <c r="D183" s="224"/>
      <c r="E183" s="220"/>
      <c r="F183" s="56"/>
      <c r="G183" s="55"/>
      <c r="H183" s="222"/>
    </row>
    <row r="184" spans="1:8" ht="26.25" customHeight="1">
      <c r="A184" s="214">
        <v>1</v>
      </c>
      <c r="B184" s="50" t="s">
        <v>5361</v>
      </c>
      <c r="C184" s="50"/>
      <c r="D184" s="77"/>
      <c r="E184" s="215"/>
      <c r="F184" s="51"/>
      <c r="G184" s="50"/>
      <c r="H184" s="217"/>
    </row>
    <row r="185" spans="1:8" ht="26.25" customHeight="1">
      <c r="A185" s="218">
        <v>2</v>
      </c>
      <c r="B185" s="55" t="s">
        <v>5362</v>
      </c>
      <c r="C185" s="55"/>
      <c r="D185" s="224"/>
      <c r="E185" s="220"/>
      <c r="F185" s="56"/>
      <c r="G185" s="55"/>
      <c r="H185" s="222"/>
    </row>
    <row r="186" spans="1:8" ht="26.25" customHeight="1">
      <c r="A186" s="214">
        <v>3</v>
      </c>
      <c r="B186" s="50" t="s">
        <v>5363</v>
      </c>
      <c r="C186" s="50"/>
      <c r="D186" s="77"/>
      <c r="E186" s="215"/>
      <c r="F186" s="51"/>
      <c r="G186" s="50"/>
      <c r="H186" s="217"/>
    </row>
    <row r="187" spans="1:8" ht="39" customHeight="1">
      <c r="A187" s="218">
        <v>4</v>
      </c>
      <c r="B187" s="55" t="s">
        <v>5364</v>
      </c>
      <c r="C187" s="55"/>
      <c r="D187" s="224"/>
      <c r="E187" s="220"/>
      <c r="F187" s="56"/>
      <c r="G187" s="55"/>
      <c r="H187" s="222"/>
    </row>
    <row r="188" spans="1:8" ht="26.25" customHeight="1">
      <c r="A188" s="214">
        <v>5</v>
      </c>
      <c r="B188" s="50" t="s">
        <v>5365</v>
      </c>
      <c r="C188" s="50"/>
      <c r="D188" s="77"/>
      <c r="E188" s="215"/>
      <c r="F188" s="51"/>
      <c r="G188" s="50"/>
      <c r="H188" s="217"/>
    </row>
    <row r="189" spans="1:8" ht="26.25" customHeight="1">
      <c r="A189" s="218">
        <v>6</v>
      </c>
      <c r="B189" s="55" t="s">
        <v>5366</v>
      </c>
      <c r="C189" s="55"/>
      <c r="D189" s="224"/>
      <c r="E189" s="220"/>
      <c r="F189" s="56"/>
      <c r="G189" s="55"/>
      <c r="H189" s="222"/>
    </row>
    <row r="190" spans="1:8" ht="39" customHeight="1">
      <c r="A190" s="214">
        <v>7</v>
      </c>
      <c r="B190" s="50" t="s">
        <v>5367</v>
      </c>
      <c r="C190" s="50"/>
      <c r="D190" s="77"/>
      <c r="E190" s="215"/>
      <c r="F190" s="51"/>
      <c r="G190" s="50"/>
      <c r="H190" s="217"/>
    </row>
    <row r="191" spans="1:8" ht="26.25" customHeight="1">
      <c r="A191" s="218">
        <v>8</v>
      </c>
      <c r="B191" s="55" t="s">
        <v>5368</v>
      </c>
      <c r="C191" s="55"/>
      <c r="D191" s="224"/>
      <c r="E191" s="220"/>
      <c r="F191" s="56"/>
      <c r="G191" s="55"/>
      <c r="H191" s="222"/>
    </row>
    <row r="192" spans="1:8" ht="39" customHeight="1">
      <c r="A192" s="214">
        <v>9</v>
      </c>
      <c r="B192" s="50" t="s">
        <v>5369</v>
      </c>
      <c r="C192" s="50"/>
      <c r="D192" s="77"/>
      <c r="E192" s="215"/>
      <c r="F192" s="51"/>
      <c r="G192" s="50"/>
      <c r="H192" s="217"/>
    </row>
    <row r="193" spans="1:8" ht="15" customHeight="1">
      <c r="A193" s="218" t="s">
        <v>5370</v>
      </c>
      <c r="B193" s="55" t="s">
        <v>5371</v>
      </c>
      <c r="C193" s="55"/>
      <c r="D193" s="224"/>
      <c r="E193" s="220"/>
      <c r="F193" s="56"/>
      <c r="G193" s="55"/>
      <c r="H193" s="222"/>
    </row>
    <row r="194" spans="1:8" ht="51.75" customHeight="1">
      <c r="A194" s="214" t="s">
        <v>5372</v>
      </c>
      <c r="B194" s="50" t="s">
        <v>5373</v>
      </c>
      <c r="C194" s="50"/>
      <c r="D194" s="77"/>
      <c r="E194" s="215"/>
      <c r="F194" s="51"/>
      <c r="G194" s="50"/>
      <c r="H194" s="217"/>
    </row>
    <row r="195" spans="1:8" ht="51.75" customHeight="1">
      <c r="A195" s="218" t="s">
        <v>4973</v>
      </c>
      <c r="B195" s="55" t="s">
        <v>5374</v>
      </c>
      <c r="C195" s="55"/>
      <c r="D195" s="224"/>
      <c r="E195" s="220"/>
      <c r="F195" s="56"/>
      <c r="G195" s="55"/>
      <c r="H195" s="222"/>
    </row>
    <row r="196" spans="1:8" ht="51.75" customHeight="1">
      <c r="A196" s="214" t="s">
        <v>5375</v>
      </c>
      <c r="B196" s="50" t="s">
        <v>5376</v>
      </c>
      <c r="C196" s="50"/>
      <c r="D196" s="77"/>
      <c r="E196" s="215"/>
      <c r="F196" s="51"/>
      <c r="G196" s="50"/>
      <c r="H196" s="217"/>
    </row>
    <row r="197" spans="1:8" ht="51.75" customHeight="1">
      <c r="A197" s="218" t="s">
        <v>5377</v>
      </c>
      <c r="B197" s="55" t="s">
        <v>5378</v>
      </c>
      <c r="C197" s="55"/>
      <c r="D197" s="224"/>
      <c r="E197" s="220"/>
      <c r="F197" s="56"/>
      <c r="G197" s="55"/>
      <c r="H197" s="222"/>
    </row>
    <row r="198" spans="1:8" ht="51.75" customHeight="1">
      <c r="A198" s="214" t="s">
        <v>5379</v>
      </c>
      <c r="B198" s="50" t="s">
        <v>5378</v>
      </c>
      <c r="C198" s="50"/>
      <c r="D198" s="77"/>
      <c r="E198" s="215"/>
      <c r="F198" s="51"/>
      <c r="G198" s="50"/>
      <c r="H198" s="217"/>
    </row>
    <row r="199" spans="1:8" ht="64.5" customHeight="1">
      <c r="A199" s="218" t="s">
        <v>5380</v>
      </c>
      <c r="B199" s="55" t="s">
        <v>5381</v>
      </c>
      <c r="C199" s="55"/>
      <c r="D199" s="224"/>
      <c r="E199" s="220"/>
      <c r="F199" s="56"/>
      <c r="G199" s="55"/>
      <c r="H199" s="222"/>
    </row>
    <row r="200" spans="1:8" ht="39" customHeight="1">
      <c r="A200" s="214" t="s">
        <v>5382</v>
      </c>
      <c r="B200" s="50" t="s">
        <v>5383</v>
      </c>
      <c r="C200" s="50"/>
      <c r="D200" s="77"/>
      <c r="E200" s="215"/>
      <c r="F200" s="51"/>
      <c r="G200" s="50"/>
      <c r="H200" s="217"/>
    </row>
    <row r="201" spans="1:8" ht="39" customHeight="1">
      <c r="A201" s="218" t="s">
        <v>5384</v>
      </c>
      <c r="B201" s="55" t="s">
        <v>5385</v>
      </c>
      <c r="C201" s="55"/>
      <c r="D201" s="224"/>
      <c r="E201" s="220"/>
      <c r="F201" s="56"/>
      <c r="G201" s="55"/>
      <c r="H201" s="222"/>
    </row>
    <row r="202" spans="1:8" ht="51.75" customHeight="1">
      <c r="A202" s="214" t="s">
        <v>5386</v>
      </c>
      <c r="B202" s="50" t="s">
        <v>5387</v>
      </c>
      <c r="C202" s="50"/>
      <c r="D202" s="77"/>
      <c r="E202" s="215"/>
      <c r="F202" s="51"/>
      <c r="G202" s="50"/>
      <c r="H202" s="217"/>
    </row>
    <row r="203" spans="1:8" ht="26.25" customHeight="1">
      <c r="A203" s="218" t="s">
        <v>5388</v>
      </c>
      <c r="B203" s="55" t="s">
        <v>5389</v>
      </c>
      <c r="C203" s="55"/>
      <c r="D203" s="224"/>
      <c r="E203" s="220"/>
      <c r="F203" s="56"/>
      <c r="G203" s="55"/>
      <c r="H203" s="222"/>
    </row>
    <row r="204" spans="1:8" ht="15" customHeight="1">
      <c r="A204" s="214"/>
      <c r="B204" s="50"/>
      <c r="C204" s="50"/>
      <c r="D204" s="77"/>
      <c r="E204" s="215"/>
      <c r="F204" s="51"/>
      <c r="G204" s="50"/>
      <c r="H204" s="217"/>
    </row>
    <row r="205" spans="1:8" ht="115.5" customHeight="1">
      <c r="A205" s="218" t="s">
        <v>5390</v>
      </c>
      <c r="B205" s="55"/>
      <c r="C205" s="55"/>
      <c r="D205" s="224"/>
      <c r="E205" s="220"/>
      <c r="F205" s="56" t="s">
        <v>4506</v>
      </c>
      <c r="G205" s="55"/>
      <c r="H205" s="222"/>
    </row>
    <row r="206" spans="1:8" ht="51.75" customHeight="1">
      <c r="A206" s="214" t="s">
        <v>5391</v>
      </c>
      <c r="B206" s="50" t="s">
        <v>5392</v>
      </c>
      <c r="C206" s="50" t="s">
        <v>5393</v>
      </c>
      <c r="D206" s="54" t="s">
        <v>3709</v>
      </c>
      <c r="E206" s="215" t="s">
        <v>5394</v>
      </c>
      <c r="F206" s="51" t="s">
        <v>4506</v>
      </c>
      <c r="G206" s="216">
        <v>46090</v>
      </c>
      <c r="H206" s="217" t="s">
        <v>5395</v>
      </c>
    </row>
    <row r="207" spans="1:8" ht="26.25" customHeight="1">
      <c r="A207" s="218" t="s">
        <v>5396</v>
      </c>
      <c r="B207" s="55" t="s">
        <v>5397</v>
      </c>
      <c r="C207" s="55" t="s">
        <v>5398</v>
      </c>
      <c r="D207" s="59" t="s">
        <v>4712</v>
      </c>
      <c r="E207" s="220" t="s">
        <v>5399</v>
      </c>
      <c r="F207" s="56" t="s">
        <v>4506</v>
      </c>
      <c r="G207" s="221">
        <v>46090</v>
      </c>
      <c r="H207" s="222" t="s">
        <v>3669</v>
      </c>
    </row>
    <row r="208" spans="1:8" ht="51.75" customHeight="1">
      <c r="A208" s="214" t="s">
        <v>5400</v>
      </c>
      <c r="B208" s="50"/>
      <c r="C208" s="50"/>
      <c r="D208" s="77"/>
      <c r="E208" s="215"/>
      <c r="F208" s="51"/>
      <c r="G208" s="50"/>
      <c r="H208" s="217"/>
    </row>
    <row r="209" spans="1:8" ht="51.75" customHeight="1">
      <c r="A209" s="218" t="s">
        <v>5401</v>
      </c>
      <c r="B209" s="55" t="s">
        <v>5402</v>
      </c>
      <c r="C209" s="55" t="s">
        <v>5403</v>
      </c>
      <c r="D209" s="59" t="s">
        <v>3750</v>
      </c>
      <c r="E209" s="220" t="s">
        <v>5404</v>
      </c>
      <c r="F209" s="56" t="s">
        <v>4510</v>
      </c>
      <c r="G209" s="55" t="s">
        <v>5405</v>
      </c>
      <c r="H209" s="222" t="s">
        <v>5406</v>
      </c>
    </row>
    <row r="210" spans="1:8" ht="39" customHeight="1">
      <c r="A210" s="214" t="s">
        <v>5407</v>
      </c>
      <c r="B210" s="50" t="s">
        <v>5408</v>
      </c>
      <c r="C210" s="50" t="s">
        <v>5409</v>
      </c>
      <c r="D210" s="77" t="s">
        <v>4822</v>
      </c>
      <c r="E210" s="215" t="s">
        <v>5410</v>
      </c>
      <c r="F210" s="51" t="s">
        <v>4510</v>
      </c>
      <c r="G210" s="50" t="s">
        <v>5405</v>
      </c>
      <c r="H210" s="217" t="s">
        <v>5411</v>
      </c>
    </row>
    <row r="211" spans="1:8" ht="39" customHeight="1">
      <c r="A211" s="218" t="s">
        <v>5412</v>
      </c>
      <c r="B211" s="55" t="s">
        <v>5413</v>
      </c>
      <c r="C211" s="55" t="s">
        <v>5414</v>
      </c>
      <c r="D211" s="224" t="s">
        <v>5415</v>
      </c>
      <c r="E211" s="220" t="s">
        <v>5416</v>
      </c>
      <c r="F211" s="56" t="s">
        <v>4510</v>
      </c>
      <c r="G211" s="55" t="s">
        <v>5417</v>
      </c>
      <c r="H211" s="222" t="s">
        <v>5418</v>
      </c>
    </row>
    <row r="212" spans="1:8" ht="39" customHeight="1">
      <c r="A212" s="214" t="s">
        <v>5419</v>
      </c>
      <c r="B212" s="50" t="s">
        <v>5420</v>
      </c>
      <c r="C212" s="50" t="s">
        <v>5319</v>
      </c>
      <c r="D212" s="74" t="s">
        <v>4718</v>
      </c>
      <c r="E212" s="215" t="s">
        <v>5421</v>
      </c>
      <c r="F212" s="51" t="s">
        <v>4510</v>
      </c>
      <c r="G212" s="50" t="s">
        <v>5417</v>
      </c>
      <c r="H212" s="217" t="s">
        <v>5422</v>
      </c>
    </row>
    <row r="213" spans="1:8" ht="39" customHeight="1">
      <c r="A213" s="218" t="s">
        <v>5423</v>
      </c>
      <c r="B213" s="55" t="s">
        <v>5424</v>
      </c>
      <c r="C213" s="55" t="s">
        <v>5425</v>
      </c>
      <c r="D213" s="59" t="s">
        <v>4712</v>
      </c>
      <c r="E213" s="220" t="s">
        <v>5426</v>
      </c>
      <c r="F213" s="56" t="s">
        <v>4510</v>
      </c>
      <c r="G213" s="55" t="s">
        <v>5417</v>
      </c>
      <c r="H213" s="222" t="s">
        <v>5427</v>
      </c>
    </row>
    <row r="214" spans="1:8" ht="26.25" customHeight="1">
      <c r="A214" s="214" t="s">
        <v>5428</v>
      </c>
      <c r="B214" s="50" t="s">
        <v>5429</v>
      </c>
      <c r="C214" s="50" t="s">
        <v>5430</v>
      </c>
      <c r="D214" s="54" t="s">
        <v>4712</v>
      </c>
      <c r="E214" s="215" t="s">
        <v>5431</v>
      </c>
      <c r="F214" s="51" t="s">
        <v>4510</v>
      </c>
      <c r="G214" s="50" t="s">
        <v>5432</v>
      </c>
      <c r="H214" s="217" t="s">
        <v>3669</v>
      </c>
    </row>
    <row r="215" spans="1:8" ht="15" customHeight="1">
      <c r="A215" s="218"/>
      <c r="B215" s="55"/>
      <c r="C215" s="55"/>
      <c r="D215" s="224"/>
      <c r="E215" s="220"/>
      <c r="F215" s="56"/>
      <c r="G215" s="55"/>
      <c r="H215" s="222"/>
    </row>
    <row r="216" spans="1:8" ht="15" customHeight="1">
      <c r="A216" s="214"/>
      <c r="B216" s="50"/>
      <c r="C216" s="50"/>
      <c r="D216" s="77"/>
      <c r="E216" s="215"/>
      <c r="F216" s="51"/>
      <c r="G216" s="50"/>
      <c r="H216" s="217"/>
    </row>
    <row r="217" spans="1:8" ht="15" customHeight="1">
      <c r="A217" s="218"/>
      <c r="B217" s="55"/>
      <c r="C217" s="55"/>
      <c r="D217" s="224"/>
      <c r="E217" s="220"/>
      <c r="F217" s="56"/>
      <c r="G217" s="55"/>
      <c r="H217" s="222"/>
    </row>
    <row r="218" spans="1:8" ht="102.75" customHeight="1">
      <c r="A218" s="214" t="s">
        <v>5433</v>
      </c>
      <c r="B218" s="225" t="s">
        <v>5434</v>
      </c>
      <c r="C218" s="225" t="s">
        <v>5435</v>
      </c>
      <c r="D218" s="77"/>
      <c r="E218" s="215"/>
      <c r="F218" s="51"/>
      <c r="G218" s="50"/>
      <c r="H218" s="217"/>
    </row>
    <row r="219" spans="1:8" ht="15" customHeight="1">
      <c r="A219" s="218" t="s">
        <v>5436</v>
      </c>
      <c r="B219" s="55" t="s">
        <v>5437</v>
      </c>
      <c r="C219" s="55" t="s">
        <v>5438</v>
      </c>
      <c r="D219" s="59" t="s">
        <v>4712</v>
      </c>
      <c r="E219" s="220" t="s">
        <v>5439</v>
      </c>
      <c r="F219" s="56" t="s">
        <v>4510</v>
      </c>
      <c r="G219" s="221">
        <v>46090</v>
      </c>
      <c r="H219" s="222" t="s">
        <v>3669</v>
      </c>
    </row>
    <row r="220" spans="1:8" ht="15" customHeight="1">
      <c r="A220" s="214" t="s">
        <v>5440</v>
      </c>
      <c r="B220" s="50" t="s">
        <v>5441</v>
      </c>
      <c r="C220" s="50" t="s">
        <v>5442</v>
      </c>
      <c r="D220" s="54" t="s">
        <v>4712</v>
      </c>
      <c r="E220" s="215" t="s">
        <v>5443</v>
      </c>
      <c r="F220" s="51" t="s">
        <v>4510</v>
      </c>
      <c r="G220" s="216">
        <v>46090</v>
      </c>
      <c r="H220" s="217" t="s">
        <v>3669</v>
      </c>
    </row>
    <row r="221" spans="1:8" ht="15" customHeight="1">
      <c r="A221" s="218" t="s">
        <v>5444</v>
      </c>
      <c r="B221" s="55" t="s">
        <v>2047</v>
      </c>
      <c r="C221" s="55" t="s">
        <v>5445</v>
      </c>
      <c r="D221" s="59" t="s">
        <v>4712</v>
      </c>
      <c r="E221" s="220" t="s">
        <v>5446</v>
      </c>
      <c r="F221" s="56" t="s">
        <v>4510</v>
      </c>
      <c r="G221" s="221">
        <v>46090</v>
      </c>
      <c r="H221" s="222" t="s">
        <v>3669</v>
      </c>
    </row>
    <row r="222" spans="1:8" ht="15" customHeight="1">
      <c r="A222" s="214" t="s">
        <v>5447</v>
      </c>
      <c r="B222" s="50" t="s">
        <v>2049</v>
      </c>
      <c r="C222" s="50" t="s">
        <v>5448</v>
      </c>
      <c r="D222" s="54" t="s">
        <v>4712</v>
      </c>
      <c r="E222" s="215" t="s">
        <v>5449</v>
      </c>
      <c r="F222" s="51" t="s">
        <v>4510</v>
      </c>
      <c r="G222" s="216">
        <v>46090</v>
      </c>
      <c r="H222" s="217" t="s">
        <v>3669</v>
      </c>
    </row>
    <row r="223" spans="1:8" ht="15" customHeight="1">
      <c r="A223" s="218" t="s">
        <v>3711</v>
      </c>
      <c r="B223" s="55" t="s">
        <v>5450</v>
      </c>
      <c r="C223" s="55" t="s">
        <v>5451</v>
      </c>
      <c r="D223" s="65" t="s">
        <v>5452</v>
      </c>
      <c r="E223" s="220" t="s">
        <v>5453</v>
      </c>
      <c r="F223" s="56" t="s">
        <v>4510</v>
      </c>
      <c r="G223" s="221">
        <v>46090</v>
      </c>
      <c r="H223" s="222" t="s">
        <v>5454</v>
      </c>
    </row>
    <row r="224" spans="1:8" ht="15" customHeight="1">
      <c r="A224" s="214" t="s">
        <v>5455</v>
      </c>
      <c r="B224" s="50" t="s">
        <v>5456</v>
      </c>
      <c r="C224" s="50" t="s">
        <v>5457</v>
      </c>
      <c r="D224" s="229" t="s">
        <v>5166</v>
      </c>
      <c r="E224" s="215" t="s">
        <v>5458</v>
      </c>
      <c r="F224" s="51" t="s">
        <v>4510</v>
      </c>
      <c r="G224" s="216">
        <v>46090</v>
      </c>
      <c r="H224" s="217" t="s">
        <v>5459</v>
      </c>
    </row>
    <row r="225" spans="1:8" ht="15" customHeight="1">
      <c r="A225" s="218" t="s">
        <v>5460</v>
      </c>
      <c r="B225" s="55" t="s">
        <v>5461</v>
      </c>
      <c r="C225" s="55" t="s">
        <v>5462</v>
      </c>
      <c r="D225" s="219" t="s">
        <v>4718</v>
      </c>
      <c r="E225" s="220" t="s">
        <v>5463</v>
      </c>
      <c r="F225" s="56" t="s">
        <v>4510</v>
      </c>
      <c r="G225" s="221">
        <v>46090</v>
      </c>
      <c r="H225" s="222" t="s">
        <v>5464</v>
      </c>
    </row>
    <row r="226" spans="1:8" ht="15" customHeight="1">
      <c r="A226" s="214" t="s">
        <v>5465</v>
      </c>
      <c r="B226" s="50" t="s">
        <v>5466</v>
      </c>
      <c r="C226" s="50" t="s">
        <v>5467</v>
      </c>
      <c r="D226" s="54" t="s">
        <v>4712</v>
      </c>
      <c r="E226" s="215" t="s">
        <v>5468</v>
      </c>
      <c r="F226" s="51" t="s">
        <v>4510</v>
      </c>
      <c r="G226" s="216">
        <v>46090</v>
      </c>
      <c r="H226" s="217" t="s">
        <v>3669</v>
      </c>
    </row>
    <row r="227" spans="1:8" ht="15" customHeight="1">
      <c r="A227" s="218" t="s">
        <v>5469</v>
      </c>
      <c r="B227" s="55" t="s">
        <v>5470</v>
      </c>
      <c r="C227" s="55" t="s">
        <v>5471</v>
      </c>
      <c r="D227" s="59" t="s">
        <v>4712</v>
      </c>
      <c r="E227" s="220" t="s">
        <v>5472</v>
      </c>
      <c r="F227" s="56" t="s">
        <v>4510</v>
      </c>
      <c r="G227" s="221">
        <v>46090</v>
      </c>
      <c r="H227" s="222" t="s">
        <v>3669</v>
      </c>
    </row>
    <row r="228" spans="1:8" ht="15" customHeight="1">
      <c r="A228" s="214" t="s">
        <v>5473</v>
      </c>
      <c r="B228" s="50" t="s">
        <v>5474</v>
      </c>
      <c r="C228" s="50" t="s">
        <v>5475</v>
      </c>
      <c r="D228" s="54" t="s">
        <v>4712</v>
      </c>
      <c r="E228" s="215" t="s">
        <v>5476</v>
      </c>
      <c r="F228" s="51" t="s">
        <v>4510</v>
      </c>
      <c r="G228" s="216">
        <v>46090</v>
      </c>
      <c r="H228" s="217" t="s">
        <v>3669</v>
      </c>
    </row>
    <row r="229" spans="1:8" ht="15" customHeight="1">
      <c r="A229" s="218" t="s">
        <v>5477</v>
      </c>
      <c r="B229" s="55" t="s">
        <v>5478</v>
      </c>
      <c r="C229" s="55" t="s">
        <v>5479</v>
      </c>
      <c r="D229" s="59" t="s">
        <v>4712</v>
      </c>
      <c r="E229" s="220" t="s">
        <v>5480</v>
      </c>
      <c r="F229" s="56" t="s">
        <v>4510</v>
      </c>
      <c r="G229" s="221">
        <v>46090</v>
      </c>
      <c r="H229" s="222" t="s">
        <v>3669</v>
      </c>
    </row>
    <row r="230" spans="1:8" ht="15" customHeight="1">
      <c r="A230" s="214" t="s">
        <v>5481</v>
      </c>
      <c r="B230" s="50" t="s">
        <v>5482</v>
      </c>
      <c r="C230" s="50" t="s">
        <v>5483</v>
      </c>
      <c r="D230" s="54" t="s">
        <v>4712</v>
      </c>
      <c r="E230" s="215" t="s">
        <v>5484</v>
      </c>
      <c r="F230" s="51" t="s">
        <v>4510</v>
      </c>
      <c r="G230" s="216">
        <v>46090</v>
      </c>
      <c r="H230" s="217" t="s">
        <v>3669</v>
      </c>
    </row>
    <row r="231" spans="1:8" ht="15" customHeight="1">
      <c r="A231" s="218" t="s">
        <v>5485</v>
      </c>
      <c r="B231" s="55" t="s">
        <v>5486</v>
      </c>
      <c r="C231" s="55" t="s">
        <v>5487</v>
      </c>
      <c r="D231" s="59" t="s">
        <v>4712</v>
      </c>
      <c r="E231" s="220" t="s">
        <v>5488</v>
      </c>
      <c r="F231" s="56" t="s">
        <v>4510</v>
      </c>
      <c r="G231" s="221">
        <v>46090</v>
      </c>
      <c r="H231" s="222" t="s">
        <v>3669</v>
      </c>
    </row>
    <row r="232" spans="1:8" ht="15" customHeight="1">
      <c r="A232" s="214" t="s">
        <v>5489</v>
      </c>
      <c r="B232" s="50" t="s">
        <v>5490</v>
      </c>
      <c r="C232" s="50" t="s">
        <v>5491</v>
      </c>
      <c r="D232" s="54" t="s">
        <v>4712</v>
      </c>
      <c r="E232" s="215" t="s">
        <v>5492</v>
      </c>
      <c r="F232" s="51" t="s">
        <v>4510</v>
      </c>
      <c r="G232" s="216">
        <v>46090</v>
      </c>
      <c r="H232" s="217" t="s">
        <v>3669</v>
      </c>
    </row>
    <row r="233" spans="1:8" ht="15" customHeight="1">
      <c r="A233" s="218" t="s">
        <v>5493</v>
      </c>
      <c r="B233" s="55" t="s">
        <v>5494</v>
      </c>
      <c r="C233" s="55" t="s">
        <v>5495</v>
      </c>
      <c r="D233" s="59" t="s">
        <v>4712</v>
      </c>
      <c r="E233" s="220" t="s">
        <v>5496</v>
      </c>
      <c r="F233" s="56" t="s">
        <v>4510</v>
      </c>
      <c r="G233" s="221">
        <v>46090</v>
      </c>
      <c r="H233" s="222" t="s">
        <v>3669</v>
      </c>
    </row>
    <row r="234" spans="1:8" ht="15" customHeight="1">
      <c r="A234" s="214" t="s">
        <v>5497</v>
      </c>
      <c r="B234" s="50" t="s">
        <v>5498</v>
      </c>
      <c r="C234" s="50" t="s">
        <v>5499</v>
      </c>
      <c r="D234" s="54" t="s">
        <v>4712</v>
      </c>
      <c r="E234" s="215" t="s">
        <v>5500</v>
      </c>
      <c r="F234" s="51" t="s">
        <v>4510</v>
      </c>
      <c r="G234" s="216">
        <v>46090</v>
      </c>
      <c r="H234" s="217" t="s">
        <v>3669</v>
      </c>
    </row>
    <row r="235" spans="1:8" ht="15" customHeight="1">
      <c r="A235" s="218" t="s">
        <v>3719</v>
      </c>
      <c r="B235" s="55" t="s">
        <v>5501</v>
      </c>
      <c r="C235" s="55" t="s">
        <v>5502</v>
      </c>
      <c r="D235" s="71" t="s">
        <v>5083</v>
      </c>
      <c r="E235" s="220" t="s">
        <v>5503</v>
      </c>
      <c r="F235" s="56" t="s">
        <v>4510</v>
      </c>
      <c r="G235" s="221">
        <v>46090</v>
      </c>
      <c r="H235" s="222" t="s">
        <v>5504</v>
      </c>
    </row>
    <row r="236" spans="1:8" ht="15" customHeight="1">
      <c r="A236" s="214" t="s">
        <v>5505</v>
      </c>
      <c r="B236" s="50" t="s">
        <v>5506</v>
      </c>
      <c r="C236" s="50" t="s">
        <v>5507</v>
      </c>
      <c r="D236" s="54" t="s">
        <v>4712</v>
      </c>
      <c r="E236" s="215" t="s">
        <v>5508</v>
      </c>
      <c r="F236" s="51" t="s">
        <v>4510</v>
      </c>
      <c r="G236" s="216">
        <v>46090</v>
      </c>
      <c r="H236" s="217" t="s">
        <v>3669</v>
      </c>
    </row>
    <row r="237" spans="1:8" ht="15" customHeight="1">
      <c r="A237" s="218" t="s">
        <v>5509</v>
      </c>
      <c r="B237" s="55" t="s">
        <v>5510</v>
      </c>
      <c r="C237" s="55" t="s">
        <v>5511</v>
      </c>
      <c r="D237" s="219" t="s">
        <v>5512</v>
      </c>
      <c r="E237" s="220" t="s">
        <v>5513</v>
      </c>
      <c r="F237" s="56" t="s">
        <v>4510</v>
      </c>
      <c r="G237" s="221">
        <v>46090</v>
      </c>
      <c r="H237" s="222" t="s">
        <v>5514</v>
      </c>
    </row>
    <row r="238" spans="1:8" ht="15" customHeight="1">
      <c r="A238" s="214" t="s">
        <v>5515</v>
      </c>
      <c r="B238" s="50" t="s">
        <v>5516</v>
      </c>
      <c r="C238" s="50" t="s">
        <v>5517</v>
      </c>
      <c r="D238" s="74" t="s">
        <v>5512</v>
      </c>
      <c r="E238" s="215" t="s">
        <v>5513</v>
      </c>
      <c r="F238" s="51" t="s">
        <v>4510</v>
      </c>
      <c r="G238" s="216">
        <v>46090</v>
      </c>
      <c r="H238" s="217" t="s">
        <v>5514</v>
      </c>
    </row>
    <row r="239" spans="1:8" ht="15" customHeight="1">
      <c r="A239" s="218" t="s">
        <v>5518</v>
      </c>
      <c r="B239" s="55" t="s">
        <v>5519</v>
      </c>
      <c r="C239" s="55" t="s">
        <v>5520</v>
      </c>
      <c r="D239" s="59" t="s">
        <v>4712</v>
      </c>
      <c r="E239" s="220" t="s">
        <v>5521</v>
      </c>
      <c r="F239" s="56" t="s">
        <v>4510</v>
      </c>
      <c r="G239" s="221">
        <v>46090</v>
      </c>
      <c r="H239" s="222" t="s">
        <v>3669</v>
      </c>
    </row>
    <row r="240" spans="1:8" ht="15" customHeight="1">
      <c r="A240" s="214" t="s">
        <v>5522</v>
      </c>
      <c r="B240" s="50" t="s">
        <v>5523</v>
      </c>
      <c r="C240" s="50" t="s">
        <v>5524</v>
      </c>
      <c r="D240" s="54" t="s">
        <v>4712</v>
      </c>
      <c r="E240" s="215" t="s">
        <v>5525</v>
      </c>
      <c r="F240" s="51" t="s">
        <v>4510</v>
      </c>
      <c r="G240" s="216">
        <v>46090</v>
      </c>
      <c r="H240" s="217" t="s">
        <v>3669</v>
      </c>
    </row>
    <row r="241" spans="1:8" ht="15" customHeight="1">
      <c r="A241" s="218" t="s">
        <v>5526</v>
      </c>
      <c r="B241" s="55" t="s">
        <v>3364</v>
      </c>
      <c r="C241" s="55" t="s">
        <v>5527</v>
      </c>
      <c r="D241" s="219" t="s">
        <v>5512</v>
      </c>
      <c r="E241" s="220" t="s">
        <v>5528</v>
      </c>
      <c r="F241" s="56" t="s">
        <v>4510</v>
      </c>
      <c r="G241" s="221">
        <v>46090</v>
      </c>
      <c r="H241" s="222" t="s">
        <v>5529</v>
      </c>
    </row>
    <row r="242" spans="1:8" ht="15" customHeight="1">
      <c r="A242" s="214" t="s">
        <v>5530</v>
      </c>
      <c r="B242" s="50" t="s">
        <v>5531</v>
      </c>
      <c r="C242" s="50" t="s">
        <v>5532</v>
      </c>
      <c r="D242" s="74" t="s">
        <v>5512</v>
      </c>
      <c r="E242" s="215" t="s">
        <v>5533</v>
      </c>
      <c r="F242" s="51" t="s">
        <v>4510</v>
      </c>
      <c r="G242" s="216">
        <v>46090</v>
      </c>
      <c r="H242" s="217" t="s">
        <v>5534</v>
      </c>
    </row>
    <row r="243" spans="1:8" ht="15" customHeight="1">
      <c r="A243" s="218" t="s">
        <v>5535</v>
      </c>
      <c r="B243" s="55" t="s">
        <v>5536</v>
      </c>
      <c r="C243" s="55" t="s">
        <v>5537</v>
      </c>
      <c r="D243" s="219" t="s">
        <v>5538</v>
      </c>
      <c r="E243" s="220" t="s">
        <v>5539</v>
      </c>
      <c r="F243" s="56" t="s">
        <v>4510</v>
      </c>
      <c r="G243" s="221">
        <v>46090</v>
      </c>
      <c r="H243" s="222" t="s">
        <v>5540</v>
      </c>
    </row>
    <row r="244" spans="1:8" ht="15" customHeight="1">
      <c r="A244" s="214" t="s">
        <v>5541</v>
      </c>
      <c r="B244" s="50" t="s">
        <v>2041</v>
      </c>
      <c r="C244" s="50" t="s">
        <v>5542</v>
      </c>
      <c r="D244" s="74" t="s">
        <v>5538</v>
      </c>
      <c r="E244" s="215" t="s">
        <v>5539</v>
      </c>
      <c r="F244" s="51" t="s">
        <v>4510</v>
      </c>
      <c r="G244" s="216">
        <v>46090</v>
      </c>
      <c r="H244" s="217" t="s">
        <v>5543</v>
      </c>
    </row>
    <row r="245" spans="1:8" ht="15" customHeight="1">
      <c r="A245" s="218" t="s">
        <v>5544</v>
      </c>
      <c r="B245" s="55" t="s">
        <v>2043</v>
      </c>
      <c r="C245" s="55" t="s">
        <v>5545</v>
      </c>
      <c r="D245" s="219" t="s">
        <v>5538</v>
      </c>
      <c r="E245" s="220" t="s">
        <v>5546</v>
      </c>
      <c r="F245" s="56" t="s">
        <v>4510</v>
      </c>
      <c r="G245" s="221">
        <v>46090</v>
      </c>
      <c r="H245" s="222" t="s">
        <v>5547</v>
      </c>
    </row>
    <row r="246" spans="1:8" ht="15" customHeight="1">
      <c r="A246" s="214" t="s">
        <v>5548</v>
      </c>
      <c r="B246" s="50" t="s">
        <v>5549</v>
      </c>
      <c r="C246" s="50" t="s">
        <v>5550</v>
      </c>
      <c r="D246" s="74" t="s">
        <v>5538</v>
      </c>
      <c r="E246" s="215" t="s">
        <v>5546</v>
      </c>
      <c r="F246" s="51" t="s">
        <v>4510</v>
      </c>
      <c r="G246" s="216">
        <v>46090</v>
      </c>
      <c r="H246" s="217" t="s">
        <v>5547</v>
      </c>
    </row>
    <row r="247" spans="1:8" ht="15" customHeight="1">
      <c r="A247" s="218" t="s">
        <v>5551</v>
      </c>
      <c r="B247" s="55" t="s">
        <v>5552</v>
      </c>
      <c r="C247" s="55" t="s">
        <v>5553</v>
      </c>
      <c r="D247" s="65" t="s">
        <v>5554</v>
      </c>
      <c r="E247" s="220" t="s">
        <v>5555</v>
      </c>
      <c r="F247" s="56" t="s">
        <v>4510</v>
      </c>
      <c r="G247" s="221">
        <v>46090</v>
      </c>
      <c r="H247" s="222" t="s">
        <v>5556</v>
      </c>
    </row>
    <row r="248" spans="1:8" ht="15" customHeight="1">
      <c r="A248" s="214" t="s">
        <v>5557</v>
      </c>
      <c r="B248" s="50" t="s">
        <v>5558</v>
      </c>
      <c r="C248" s="50" t="s">
        <v>5559</v>
      </c>
      <c r="D248" s="223" t="s">
        <v>5554</v>
      </c>
      <c r="E248" s="215" t="s">
        <v>5560</v>
      </c>
      <c r="F248" s="51" t="s">
        <v>4510</v>
      </c>
      <c r="G248" s="216">
        <v>46090</v>
      </c>
      <c r="H248" s="217" t="s">
        <v>5556</v>
      </c>
    </row>
    <row r="249" spans="1:8" ht="15" customHeight="1">
      <c r="A249" s="218" t="s">
        <v>5561</v>
      </c>
      <c r="B249" s="55" t="s">
        <v>5562</v>
      </c>
      <c r="C249" s="55" t="s">
        <v>5563</v>
      </c>
      <c r="D249" s="65" t="s">
        <v>5554</v>
      </c>
      <c r="E249" s="220" t="s">
        <v>5564</v>
      </c>
      <c r="F249" s="56" t="s">
        <v>4510</v>
      </c>
      <c r="G249" s="221">
        <v>46090</v>
      </c>
      <c r="H249" s="222" t="s">
        <v>5556</v>
      </c>
    </row>
    <row r="250" spans="1:8" ht="15" customHeight="1">
      <c r="A250" s="214" t="s">
        <v>5565</v>
      </c>
      <c r="B250" s="50" t="s">
        <v>5566</v>
      </c>
      <c r="C250" s="50" t="s">
        <v>5567</v>
      </c>
      <c r="D250" s="223" t="s">
        <v>5554</v>
      </c>
      <c r="E250" s="215" t="s">
        <v>5568</v>
      </c>
      <c r="F250" s="51" t="s">
        <v>4510</v>
      </c>
      <c r="G250" s="216">
        <v>46090</v>
      </c>
      <c r="H250" s="217" t="s">
        <v>5556</v>
      </c>
    </row>
    <row r="251" spans="1:8" ht="15" customHeight="1">
      <c r="A251" s="218" t="s">
        <v>5569</v>
      </c>
      <c r="B251" s="55" t="s">
        <v>5570</v>
      </c>
      <c r="C251" s="55" t="s">
        <v>5571</v>
      </c>
      <c r="D251" s="65" t="s">
        <v>5554</v>
      </c>
      <c r="E251" s="220" t="s">
        <v>5572</v>
      </c>
      <c r="F251" s="56" t="s">
        <v>4510</v>
      </c>
      <c r="G251" s="221">
        <v>46090</v>
      </c>
      <c r="H251" s="222" t="s">
        <v>5556</v>
      </c>
    </row>
    <row r="252" spans="1:8" ht="15" customHeight="1">
      <c r="A252" s="214" t="s">
        <v>5573</v>
      </c>
      <c r="B252" s="50" t="s">
        <v>5574</v>
      </c>
      <c r="C252" s="50" t="s">
        <v>5575</v>
      </c>
      <c r="D252" s="223" t="s">
        <v>5554</v>
      </c>
      <c r="E252" s="215" t="s">
        <v>5576</v>
      </c>
      <c r="F252" s="51" t="s">
        <v>4510</v>
      </c>
      <c r="G252" s="216">
        <v>46090</v>
      </c>
      <c r="H252" s="217" t="s">
        <v>5556</v>
      </c>
    </row>
    <row r="253" spans="1:8" ht="15" customHeight="1">
      <c r="A253" s="218"/>
      <c r="B253" s="55"/>
      <c r="C253" s="55"/>
      <c r="D253" s="224"/>
      <c r="E253" s="220"/>
      <c r="F253" s="56"/>
      <c r="G253" s="55"/>
      <c r="H253" s="222"/>
    </row>
    <row r="254" spans="1:8" ht="64.5" customHeight="1">
      <c r="A254" s="214" t="s">
        <v>5577</v>
      </c>
      <c r="B254" s="50"/>
      <c r="C254" s="50"/>
      <c r="D254" s="77"/>
      <c r="E254" s="215"/>
      <c r="F254" s="51"/>
      <c r="G254" s="50"/>
      <c r="H254" s="217"/>
    </row>
    <row r="255" spans="1:8" ht="39" customHeight="1">
      <c r="A255" s="218" t="s">
        <v>5578</v>
      </c>
      <c r="B255" s="55">
        <v>34</v>
      </c>
      <c r="C255" s="55" t="s">
        <v>4712</v>
      </c>
      <c r="D255" s="232">
        <v>17</v>
      </c>
      <c r="E255" s="220" t="s">
        <v>5166</v>
      </c>
      <c r="F255" s="56">
        <v>2</v>
      </c>
      <c r="G255" s="55" t="s">
        <v>5579</v>
      </c>
      <c r="H255" s="222">
        <v>9</v>
      </c>
    </row>
    <row r="256" spans="1:8" ht="26.25" customHeight="1">
      <c r="A256" s="214" t="s">
        <v>5554</v>
      </c>
      <c r="B256" s="50">
        <v>6</v>
      </c>
      <c r="C256" s="50" t="s">
        <v>5580</v>
      </c>
      <c r="D256" s="233">
        <v>0.61</v>
      </c>
      <c r="E256" s="215" t="s">
        <v>5581</v>
      </c>
      <c r="F256" s="234">
        <v>0.89</v>
      </c>
      <c r="G256" s="50"/>
      <c r="H256" s="217"/>
    </row>
    <row r="257" spans="1:8" ht="15" customHeight="1">
      <c r="A257" s="218"/>
      <c r="B257" s="55"/>
      <c r="C257" s="55"/>
      <c r="D257" s="224"/>
      <c r="E257" s="220"/>
      <c r="F257" s="56"/>
      <c r="G257" s="55"/>
      <c r="H257" s="222"/>
    </row>
    <row r="258" spans="1:8" ht="51.75" customHeight="1">
      <c r="A258" s="214" t="s">
        <v>5582</v>
      </c>
      <c r="B258" s="50"/>
      <c r="C258" s="50"/>
      <c r="D258" s="77"/>
      <c r="E258" s="215"/>
      <c r="F258" s="51"/>
      <c r="G258" s="50"/>
      <c r="H258" s="217"/>
    </row>
    <row r="259" spans="1:8" ht="26.25" customHeight="1">
      <c r="A259" s="218">
        <v>1</v>
      </c>
      <c r="B259" s="55" t="s">
        <v>3707</v>
      </c>
      <c r="C259" s="55" t="s">
        <v>5583</v>
      </c>
      <c r="D259" s="59" t="s">
        <v>5584</v>
      </c>
      <c r="E259" s="220"/>
      <c r="F259" s="56"/>
      <c r="G259" s="55"/>
      <c r="H259" s="222"/>
    </row>
    <row r="260" spans="1:8" ht="26.25" customHeight="1">
      <c r="A260" s="214">
        <v>2</v>
      </c>
      <c r="B260" s="50" t="s">
        <v>3712</v>
      </c>
      <c r="C260" s="50" t="s">
        <v>5585</v>
      </c>
      <c r="D260" s="54" t="s">
        <v>5586</v>
      </c>
      <c r="E260" s="215"/>
      <c r="F260" s="51"/>
      <c r="G260" s="50"/>
      <c r="H260" s="217"/>
    </row>
    <row r="261" spans="1:8" ht="26.25" customHeight="1">
      <c r="A261" s="218">
        <v>3</v>
      </c>
      <c r="B261" s="55" t="s">
        <v>5587</v>
      </c>
      <c r="C261" s="55" t="s">
        <v>5588</v>
      </c>
      <c r="D261" s="59" t="s">
        <v>5589</v>
      </c>
      <c r="E261" s="220"/>
      <c r="F261" s="56"/>
      <c r="G261" s="55"/>
      <c r="H261" s="222"/>
    </row>
    <row r="262" spans="1:8" ht="26.25" customHeight="1">
      <c r="A262" s="214">
        <v>4</v>
      </c>
      <c r="B262" s="50" t="s">
        <v>5590</v>
      </c>
      <c r="C262" s="50" t="s">
        <v>5591</v>
      </c>
      <c r="D262" s="54" t="s">
        <v>5592</v>
      </c>
      <c r="E262" s="215"/>
      <c r="F262" s="51"/>
      <c r="G262" s="50"/>
      <c r="H262" s="217"/>
    </row>
    <row r="263" spans="1:8" ht="39" customHeight="1">
      <c r="A263" s="218">
        <v>5</v>
      </c>
      <c r="B263" s="55" t="s">
        <v>5593</v>
      </c>
      <c r="C263" s="55" t="s">
        <v>5594</v>
      </c>
      <c r="D263" s="219" t="s">
        <v>5595</v>
      </c>
      <c r="E263" s="220"/>
      <c r="F263" s="56"/>
      <c r="G263" s="55"/>
      <c r="H263" s="222"/>
    </row>
    <row r="264" spans="1:8" ht="39" customHeight="1">
      <c r="A264" s="214">
        <v>6</v>
      </c>
      <c r="B264" s="50" t="s">
        <v>5596</v>
      </c>
      <c r="C264" s="50" t="s">
        <v>5597</v>
      </c>
      <c r="D264" s="77" t="s">
        <v>5598</v>
      </c>
      <c r="E264" s="215"/>
      <c r="F264" s="51"/>
      <c r="G264" s="50"/>
      <c r="H264" s="217"/>
    </row>
    <row r="265" spans="1:8" ht="26.25" customHeight="1">
      <c r="A265" s="218">
        <v>7</v>
      </c>
      <c r="B265" s="55" t="s">
        <v>5599</v>
      </c>
      <c r="C265" s="55" t="s">
        <v>5600</v>
      </c>
      <c r="D265" s="224" t="s">
        <v>5601</v>
      </c>
      <c r="E265" s="220"/>
      <c r="F265" s="56"/>
      <c r="G265" s="55"/>
      <c r="H265" s="222"/>
    </row>
    <row r="266" spans="1:8" ht="26.25" customHeight="1">
      <c r="A266" s="214">
        <v>8</v>
      </c>
      <c r="B266" s="50" t="s">
        <v>5602</v>
      </c>
      <c r="C266" s="50" t="s">
        <v>5603</v>
      </c>
      <c r="D266" s="77" t="s">
        <v>5604</v>
      </c>
      <c r="E266" s="215"/>
      <c r="F266" s="51"/>
      <c r="G266" s="50"/>
      <c r="H266" s="217"/>
    </row>
    <row r="267" spans="1:8" ht="15" customHeight="1">
      <c r="A267" s="218"/>
      <c r="B267" s="55"/>
      <c r="C267" s="55"/>
      <c r="D267" s="224"/>
      <c r="E267" s="220"/>
      <c r="F267" s="56"/>
      <c r="G267" s="55"/>
      <c r="H267" s="222"/>
    </row>
    <row r="268" spans="1:8" ht="128.25" customHeight="1">
      <c r="A268" s="214" t="s">
        <v>5605</v>
      </c>
      <c r="B268" s="50"/>
      <c r="C268" s="50"/>
      <c r="D268" s="77"/>
      <c r="E268" s="215"/>
      <c r="F268" s="51" t="s">
        <v>5606</v>
      </c>
      <c r="G268" s="50"/>
      <c r="H268" s="217"/>
    </row>
    <row r="269" spans="1:8" ht="26.25" customHeight="1">
      <c r="A269" s="218" t="s">
        <v>5607</v>
      </c>
      <c r="B269" s="55" t="s">
        <v>5608</v>
      </c>
      <c r="C269" s="55" t="s">
        <v>5609</v>
      </c>
      <c r="D269" s="59" t="s">
        <v>4712</v>
      </c>
      <c r="E269" s="220" t="s">
        <v>5610</v>
      </c>
      <c r="F269" s="56" t="s">
        <v>5606</v>
      </c>
      <c r="G269" s="55" t="s">
        <v>5611</v>
      </c>
      <c r="H269" s="222" t="s">
        <v>5612</v>
      </c>
    </row>
    <row r="270" spans="1:8" ht="26.25" customHeight="1">
      <c r="A270" s="214" t="s">
        <v>5613</v>
      </c>
      <c r="B270" s="50" t="s">
        <v>5614</v>
      </c>
      <c r="C270" s="50" t="s">
        <v>5615</v>
      </c>
      <c r="D270" s="54" t="s">
        <v>3709</v>
      </c>
      <c r="E270" s="215" t="s">
        <v>5616</v>
      </c>
      <c r="F270" s="51" t="s">
        <v>5606</v>
      </c>
      <c r="G270" s="50" t="s">
        <v>5617</v>
      </c>
      <c r="H270" s="217" t="s">
        <v>5618</v>
      </c>
    </row>
    <row r="271" spans="1:8" ht="26.25" customHeight="1">
      <c r="A271" s="218" t="s">
        <v>5619</v>
      </c>
      <c r="B271" s="55" t="s">
        <v>5620</v>
      </c>
      <c r="C271" s="55" t="s">
        <v>5621</v>
      </c>
      <c r="D271" s="59" t="s">
        <v>4712</v>
      </c>
      <c r="E271" s="220" t="s">
        <v>5622</v>
      </c>
      <c r="F271" s="56" t="s">
        <v>5606</v>
      </c>
      <c r="G271" s="55" t="s">
        <v>5623</v>
      </c>
      <c r="H271" s="222" t="s">
        <v>5624</v>
      </c>
    </row>
    <row r="272" spans="1:8" ht="26.25" customHeight="1">
      <c r="A272" s="214" t="s">
        <v>3741</v>
      </c>
      <c r="B272" s="50" t="s">
        <v>5625</v>
      </c>
      <c r="C272" s="50" t="s">
        <v>5626</v>
      </c>
      <c r="D272" s="54" t="s">
        <v>4712</v>
      </c>
      <c r="E272" s="215" t="s">
        <v>5627</v>
      </c>
      <c r="F272" s="51" t="s">
        <v>5606</v>
      </c>
      <c r="G272" s="50" t="s">
        <v>5628</v>
      </c>
      <c r="H272" s="217" t="s">
        <v>5629</v>
      </c>
    </row>
    <row r="273" spans="1:8" ht="26.25" customHeight="1">
      <c r="A273" s="218" t="s">
        <v>5630</v>
      </c>
      <c r="B273" s="55" t="s">
        <v>5631</v>
      </c>
      <c r="C273" s="55" t="s">
        <v>5632</v>
      </c>
      <c r="D273" s="59" t="s">
        <v>4712</v>
      </c>
      <c r="E273" s="220" t="s">
        <v>5633</v>
      </c>
      <c r="F273" s="56" t="s">
        <v>5606</v>
      </c>
      <c r="G273" s="55" t="s">
        <v>5634</v>
      </c>
      <c r="H273" s="222" t="s">
        <v>5635</v>
      </c>
    </row>
    <row r="274" spans="1:8" ht="26.25" customHeight="1">
      <c r="A274" s="214" t="s">
        <v>5636</v>
      </c>
      <c r="B274" s="50" t="s">
        <v>5637</v>
      </c>
      <c r="C274" s="50" t="s">
        <v>5638</v>
      </c>
      <c r="D274" s="54" t="s">
        <v>4712</v>
      </c>
      <c r="E274" s="215" t="s">
        <v>5639</v>
      </c>
      <c r="F274" s="51" t="s">
        <v>4514</v>
      </c>
      <c r="G274" s="50" t="s">
        <v>5640</v>
      </c>
      <c r="H274" s="217" t="s">
        <v>5641</v>
      </c>
    </row>
    <row r="275" spans="1:8" ht="39" customHeight="1">
      <c r="A275" s="218" t="s">
        <v>5642</v>
      </c>
      <c r="B275" s="55" t="s">
        <v>5637</v>
      </c>
      <c r="C275" s="55" t="s">
        <v>5643</v>
      </c>
      <c r="D275" s="59" t="s">
        <v>4712</v>
      </c>
      <c r="E275" s="220" t="s">
        <v>5644</v>
      </c>
      <c r="F275" s="56" t="s">
        <v>4514</v>
      </c>
      <c r="G275" s="55" t="s">
        <v>5645</v>
      </c>
      <c r="H275" s="222" t="s">
        <v>5646</v>
      </c>
    </row>
    <row r="276" spans="1:8" ht="26.25" customHeight="1">
      <c r="A276" s="214" t="s">
        <v>5647</v>
      </c>
      <c r="B276" s="50" t="s">
        <v>5637</v>
      </c>
      <c r="C276" s="50" t="s">
        <v>5648</v>
      </c>
      <c r="D276" s="54" t="s">
        <v>4712</v>
      </c>
      <c r="E276" s="215" t="s">
        <v>5649</v>
      </c>
      <c r="F276" s="51" t="s">
        <v>4514</v>
      </c>
      <c r="G276" s="50" t="s">
        <v>5650</v>
      </c>
      <c r="H276" s="217" t="s">
        <v>5651</v>
      </c>
    </row>
    <row r="277" spans="1:8" ht="26.25" customHeight="1">
      <c r="A277" s="218" t="s">
        <v>3715</v>
      </c>
      <c r="B277" s="55" t="s">
        <v>5652</v>
      </c>
      <c r="C277" s="55" t="s">
        <v>5653</v>
      </c>
      <c r="D277" s="59" t="s">
        <v>4712</v>
      </c>
      <c r="E277" s="220" t="s">
        <v>5654</v>
      </c>
      <c r="F277" s="56" t="s">
        <v>4514</v>
      </c>
      <c r="G277" s="55" t="s">
        <v>5655</v>
      </c>
      <c r="H277" s="222" t="s">
        <v>5656</v>
      </c>
    </row>
    <row r="278" spans="1:8" ht="26.25" customHeight="1">
      <c r="A278" s="214" t="s">
        <v>5657</v>
      </c>
      <c r="B278" s="50" t="s">
        <v>5658</v>
      </c>
      <c r="C278" s="50" t="s">
        <v>5659</v>
      </c>
      <c r="D278" s="54" t="s">
        <v>4712</v>
      </c>
      <c r="E278" s="215" t="s">
        <v>5660</v>
      </c>
      <c r="F278" s="51" t="s">
        <v>4514</v>
      </c>
      <c r="G278" s="50" t="s">
        <v>5655</v>
      </c>
      <c r="H278" s="217" t="s">
        <v>5661</v>
      </c>
    </row>
    <row r="279" spans="1:8" ht="26.25" customHeight="1">
      <c r="A279" s="218" t="s">
        <v>5662</v>
      </c>
      <c r="B279" s="55" t="s">
        <v>5663</v>
      </c>
      <c r="C279" s="55" t="s">
        <v>5664</v>
      </c>
      <c r="D279" s="59" t="s">
        <v>4712</v>
      </c>
      <c r="E279" s="220" t="s">
        <v>5665</v>
      </c>
      <c r="F279" s="56" t="s">
        <v>5666</v>
      </c>
      <c r="G279" s="55" t="s">
        <v>5667</v>
      </c>
      <c r="H279" s="222"/>
    </row>
    <row r="280" spans="1:8" ht="26.25" customHeight="1">
      <c r="A280" s="214" t="s">
        <v>5668</v>
      </c>
      <c r="B280" s="50" t="s">
        <v>5669</v>
      </c>
      <c r="C280" s="50" t="s">
        <v>5670</v>
      </c>
      <c r="D280" s="54" t="s">
        <v>4712</v>
      </c>
      <c r="E280" s="215" t="s">
        <v>5671</v>
      </c>
      <c r="F280" s="51" t="s">
        <v>5666</v>
      </c>
      <c r="G280" s="50" t="s">
        <v>5672</v>
      </c>
      <c r="H280" s="217"/>
    </row>
    <row r="281" spans="1:8" ht="26.25" customHeight="1">
      <c r="A281" s="218" t="s">
        <v>5673</v>
      </c>
      <c r="B281" s="55" t="s">
        <v>5674</v>
      </c>
      <c r="C281" s="55" t="s">
        <v>5675</v>
      </c>
      <c r="D281" s="71" t="s">
        <v>5166</v>
      </c>
      <c r="E281" s="220" t="s">
        <v>5676</v>
      </c>
      <c r="F281" s="56" t="s">
        <v>5666</v>
      </c>
      <c r="G281" s="55" t="s">
        <v>5677</v>
      </c>
      <c r="H281" s="222" t="s">
        <v>5678</v>
      </c>
    </row>
    <row r="282" spans="1:8" ht="26.25" customHeight="1">
      <c r="A282" s="214" t="s">
        <v>5679</v>
      </c>
      <c r="B282" s="50" t="s">
        <v>5680</v>
      </c>
      <c r="C282" s="50" t="s">
        <v>5681</v>
      </c>
      <c r="D282" s="54" t="s">
        <v>4712</v>
      </c>
      <c r="E282" s="215" t="s">
        <v>5682</v>
      </c>
      <c r="F282" s="51" t="s">
        <v>5666</v>
      </c>
      <c r="G282" s="50" t="s">
        <v>5683</v>
      </c>
      <c r="H282" s="217"/>
    </row>
    <row r="283" spans="1:8" ht="26.25" customHeight="1">
      <c r="A283" s="218" t="s">
        <v>5684</v>
      </c>
      <c r="B283" s="55" t="s">
        <v>5685</v>
      </c>
      <c r="C283" s="55" t="s">
        <v>5686</v>
      </c>
      <c r="D283" s="59" t="s">
        <v>4712</v>
      </c>
      <c r="E283" s="220" t="s">
        <v>5687</v>
      </c>
      <c r="F283" s="56" t="s">
        <v>5666</v>
      </c>
      <c r="G283" s="55" t="s">
        <v>5688</v>
      </c>
      <c r="H283" s="222"/>
    </row>
    <row r="284" spans="1:8" ht="39" customHeight="1">
      <c r="A284" s="214" t="s">
        <v>5689</v>
      </c>
      <c r="B284" s="50" t="s">
        <v>5690</v>
      </c>
      <c r="C284" s="50" t="s">
        <v>5691</v>
      </c>
      <c r="D284" s="54" t="s">
        <v>4712</v>
      </c>
      <c r="E284" s="215" t="s">
        <v>5692</v>
      </c>
      <c r="F284" s="51" t="s">
        <v>5666</v>
      </c>
      <c r="G284" s="50" t="s">
        <v>5693</v>
      </c>
      <c r="H284" s="217"/>
    </row>
    <row r="285" spans="1:8" ht="26.25" customHeight="1">
      <c r="A285" s="218" t="s">
        <v>5694</v>
      </c>
      <c r="B285" s="55" t="s">
        <v>5695</v>
      </c>
      <c r="C285" s="55" t="s">
        <v>5696</v>
      </c>
      <c r="D285" s="59" t="s">
        <v>4712</v>
      </c>
      <c r="E285" s="220" t="s">
        <v>5697</v>
      </c>
      <c r="F285" s="56" t="s">
        <v>5666</v>
      </c>
      <c r="G285" s="55" t="s">
        <v>5683</v>
      </c>
      <c r="H285" s="222"/>
    </row>
    <row r="286" spans="1:8" ht="39" customHeight="1">
      <c r="A286" s="214" t="s">
        <v>5698</v>
      </c>
      <c r="B286" s="50" t="s">
        <v>5699</v>
      </c>
      <c r="C286" s="50" t="s">
        <v>5700</v>
      </c>
      <c r="D286" s="54" t="s">
        <v>4712</v>
      </c>
      <c r="E286" s="215" t="s">
        <v>5701</v>
      </c>
      <c r="F286" s="51" t="s">
        <v>5666</v>
      </c>
      <c r="G286" s="50" t="s">
        <v>5702</v>
      </c>
      <c r="H286" s="217"/>
    </row>
    <row r="287" spans="1:8" ht="26.25" customHeight="1">
      <c r="A287" s="218" t="s">
        <v>5703</v>
      </c>
      <c r="B287" s="55" t="s">
        <v>5704</v>
      </c>
      <c r="C287" s="55" t="s">
        <v>5705</v>
      </c>
      <c r="D287" s="59" t="s">
        <v>4712</v>
      </c>
      <c r="E287" s="220" t="s">
        <v>5706</v>
      </c>
      <c r="F287" s="56" t="s">
        <v>5666</v>
      </c>
      <c r="G287" s="55" t="s">
        <v>5707</v>
      </c>
      <c r="H287" s="222"/>
    </row>
    <row r="288" spans="1:8" ht="26.25" customHeight="1">
      <c r="A288" s="214" t="s">
        <v>5708</v>
      </c>
      <c r="B288" s="50" t="s">
        <v>5709</v>
      </c>
      <c r="C288" s="50" t="s">
        <v>5710</v>
      </c>
      <c r="D288" s="54" t="s">
        <v>4712</v>
      </c>
      <c r="E288" s="215" t="s">
        <v>5711</v>
      </c>
      <c r="F288" s="51" t="s">
        <v>5666</v>
      </c>
      <c r="G288" s="50" t="s">
        <v>5712</v>
      </c>
      <c r="H288" s="217"/>
    </row>
    <row r="289" spans="1:8" ht="26.25" customHeight="1">
      <c r="A289" s="218" t="s">
        <v>5713</v>
      </c>
      <c r="B289" s="55" t="s">
        <v>5714</v>
      </c>
      <c r="C289" s="55" t="s">
        <v>5715</v>
      </c>
      <c r="D289" s="219" t="s">
        <v>4718</v>
      </c>
      <c r="E289" s="220" t="s">
        <v>5716</v>
      </c>
      <c r="F289" s="56" t="s">
        <v>5666</v>
      </c>
      <c r="G289" s="55" t="s">
        <v>5717</v>
      </c>
      <c r="H289" s="222" t="s">
        <v>5718</v>
      </c>
    </row>
    <row r="290" spans="1:8" ht="26.25" customHeight="1">
      <c r="A290" s="214" t="s">
        <v>5719</v>
      </c>
      <c r="B290" s="50" t="s">
        <v>5720</v>
      </c>
      <c r="C290" s="50" t="s">
        <v>5721</v>
      </c>
      <c r="D290" s="74" t="s">
        <v>4718</v>
      </c>
      <c r="E290" s="215" t="s">
        <v>5722</v>
      </c>
      <c r="F290" s="51" t="s">
        <v>5666</v>
      </c>
      <c r="G290" s="50" t="s">
        <v>5717</v>
      </c>
      <c r="H290" s="217" t="s">
        <v>5723</v>
      </c>
    </row>
    <row r="291" spans="1:8" ht="26.25" customHeight="1">
      <c r="A291" s="218" t="s">
        <v>5724</v>
      </c>
      <c r="B291" s="55" t="s">
        <v>5725</v>
      </c>
      <c r="C291" s="55" t="s">
        <v>5726</v>
      </c>
      <c r="D291" s="219" t="s">
        <v>4718</v>
      </c>
      <c r="E291" s="220" t="s">
        <v>5722</v>
      </c>
      <c r="F291" s="56" t="s">
        <v>5666</v>
      </c>
      <c r="G291" s="55" t="s">
        <v>5717</v>
      </c>
      <c r="H291" s="222" t="s">
        <v>5723</v>
      </c>
    </row>
    <row r="292" spans="1:8" ht="26.25" customHeight="1">
      <c r="A292" s="214" t="s">
        <v>5727</v>
      </c>
      <c r="B292" s="50" t="s">
        <v>5728</v>
      </c>
      <c r="C292" s="50" t="s">
        <v>5729</v>
      </c>
      <c r="D292" s="74" t="s">
        <v>4718</v>
      </c>
      <c r="E292" s="215" t="s">
        <v>5730</v>
      </c>
      <c r="F292" s="51" t="s">
        <v>5666</v>
      </c>
      <c r="G292" s="50" t="s">
        <v>5717</v>
      </c>
      <c r="H292" s="217" t="s">
        <v>5723</v>
      </c>
    </row>
    <row r="293" spans="1:8" ht="26.25" customHeight="1">
      <c r="A293" s="218" t="s">
        <v>5731</v>
      </c>
      <c r="B293" s="55" t="s">
        <v>5732</v>
      </c>
      <c r="C293" s="55" t="s">
        <v>5733</v>
      </c>
      <c r="D293" s="59" t="s">
        <v>4712</v>
      </c>
      <c r="E293" s="220" t="s">
        <v>5734</v>
      </c>
      <c r="F293" s="56" t="s">
        <v>5666</v>
      </c>
      <c r="G293" s="55" t="s">
        <v>5735</v>
      </c>
      <c r="H293" s="222" t="s">
        <v>5736</v>
      </c>
    </row>
    <row r="294" spans="1:8" ht="39" customHeight="1">
      <c r="A294" s="214" t="s">
        <v>5737</v>
      </c>
      <c r="B294" s="50" t="s">
        <v>5732</v>
      </c>
      <c r="C294" s="50" t="s">
        <v>5738</v>
      </c>
      <c r="D294" s="54" t="s">
        <v>4712</v>
      </c>
      <c r="E294" s="215" t="s">
        <v>5739</v>
      </c>
      <c r="F294" s="51" t="s">
        <v>5666</v>
      </c>
      <c r="G294" s="50" t="s">
        <v>5740</v>
      </c>
      <c r="H294" s="217" t="s">
        <v>5741</v>
      </c>
    </row>
    <row r="295" spans="1:8" ht="15" customHeight="1">
      <c r="A295" s="69"/>
      <c r="B295" s="69"/>
      <c r="C295" s="69"/>
      <c r="D295" s="69"/>
      <c r="E295" s="69"/>
      <c r="F295" s="69"/>
      <c r="G295" s="69"/>
      <c r="H295" s="69"/>
    </row>
    <row r="296" spans="1:8" ht="15" customHeight="1">
      <c r="A296" s="69"/>
      <c r="B296" s="69"/>
      <c r="C296" s="69"/>
      <c r="D296" s="69"/>
      <c r="E296" s="69"/>
      <c r="F296" s="69"/>
      <c r="G296" s="69"/>
      <c r="H296" s="69"/>
    </row>
    <row r="297" spans="1:8" ht="121.5" customHeight="1">
      <c r="A297" s="90" t="s">
        <v>5742</v>
      </c>
      <c r="B297" s="69"/>
      <c r="C297" s="69" t="s">
        <v>5743</v>
      </c>
      <c r="D297" s="69"/>
      <c r="E297" s="69"/>
      <c r="F297" s="69"/>
      <c r="G297" s="69"/>
      <c r="H297" s="69"/>
    </row>
    <row r="298" spans="1:8" ht="27" customHeight="1">
      <c r="A298" s="69" t="s">
        <v>5744</v>
      </c>
      <c r="B298" s="69" t="s">
        <v>4710</v>
      </c>
      <c r="C298" s="69" t="s">
        <v>5745</v>
      </c>
      <c r="D298" s="69" t="s">
        <v>4712</v>
      </c>
      <c r="E298" s="69" t="s">
        <v>5746</v>
      </c>
      <c r="F298" s="69" t="s">
        <v>4519</v>
      </c>
      <c r="G298" s="69" t="s">
        <v>5747</v>
      </c>
      <c r="H298" s="69" t="s">
        <v>3669</v>
      </c>
    </row>
    <row r="299" spans="1:8" ht="54" customHeight="1">
      <c r="A299" s="69" t="s">
        <v>3723</v>
      </c>
      <c r="B299" s="69" t="s">
        <v>5748</v>
      </c>
      <c r="C299" s="69" t="s">
        <v>5749</v>
      </c>
      <c r="D299" s="69" t="s">
        <v>3709</v>
      </c>
      <c r="E299" s="69" t="s">
        <v>5750</v>
      </c>
      <c r="F299" s="69" t="s">
        <v>4519</v>
      </c>
      <c r="G299" s="69" t="s">
        <v>5751</v>
      </c>
      <c r="H299" s="69" t="s">
        <v>5752</v>
      </c>
    </row>
    <row r="300" spans="1:8" ht="27" customHeight="1">
      <c r="A300" s="69" t="s">
        <v>5753</v>
      </c>
      <c r="B300" s="69" t="s">
        <v>5754</v>
      </c>
      <c r="C300" s="69" t="s">
        <v>5755</v>
      </c>
      <c r="D300" s="69" t="s">
        <v>5756</v>
      </c>
      <c r="E300" s="69" t="s">
        <v>5757</v>
      </c>
      <c r="F300" s="69" t="s">
        <v>4519</v>
      </c>
      <c r="G300" s="69" t="s">
        <v>5758</v>
      </c>
      <c r="H300" s="69" t="s">
        <v>3669</v>
      </c>
    </row>
    <row r="301" spans="1:8" ht="40.5" customHeight="1">
      <c r="A301" s="69" t="s">
        <v>5759</v>
      </c>
      <c r="B301" s="69" t="s">
        <v>5760</v>
      </c>
      <c r="C301" s="69" t="s">
        <v>5761</v>
      </c>
      <c r="D301" s="69" t="s">
        <v>5150</v>
      </c>
      <c r="E301" s="69" t="s">
        <v>5762</v>
      </c>
      <c r="F301" s="69" t="s">
        <v>4519</v>
      </c>
      <c r="G301" s="69" t="s">
        <v>5763</v>
      </c>
      <c r="H301" s="69" t="s">
        <v>5764</v>
      </c>
    </row>
    <row r="302" spans="1:8" ht="27" customHeight="1">
      <c r="A302" s="69" t="s">
        <v>5765</v>
      </c>
      <c r="B302" s="69" t="s">
        <v>5766</v>
      </c>
      <c r="C302" s="69" t="s">
        <v>5767</v>
      </c>
      <c r="D302" s="69" t="s">
        <v>5768</v>
      </c>
      <c r="E302" s="69" t="s">
        <v>5769</v>
      </c>
      <c r="F302" s="69" t="s">
        <v>4519</v>
      </c>
      <c r="G302" s="69" t="s">
        <v>5770</v>
      </c>
      <c r="H302" s="69" t="s">
        <v>5771</v>
      </c>
    </row>
    <row r="303" spans="1:8" ht="27" customHeight="1">
      <c r="A303" s="69" t="s">
        <v>5772</v>
      </c>
      <c r="B303" s="69" t="s">
        <v>5773</v>
      </c>
      <c r="C303" s="69" t="s">
        <v>5040</v>
      </c>
      <c r="D303" s="69" t="s">
        <v>4712</v>
      </c>
      <c r="E303" s="69" t="s">
        <v>5774</v>
      </c>
      <c r="F303" s="69" t="s">
        <v>4519</v>
      </c>
      <c r="G303" s="69" t="s">
        <v>5775</v>
      </c>
      <c r="H303" s="69" t="s">
        <v>3669</v>
      </c>
    </row>
    <row r="304" spans="1:8" ht="27" customHeight="1">
      <c r="A304" s="69" t="s">
        <v>5776</v>
      </c>
      <c r="B304" s="69" t="s">
        <v>5777</v>
      </c>
      <c r="C304" s="69" t="s">
        <v>5442</v>
      </c>
      <c r="D304" s="69" t="s">
        <v>4712</v>
      </c>
      <c r="E304" s="69" t="s">
        <v>5778</v>
      </c>
      <c r="F304" s="69" t="s">
        <v>4519</v>
      </c>
      <c r="G304" s="69" t="s">
        <v>5779</v>
      </c>
      <c r="H304" s="69" t="s">
        <v>3669</v>
      </c>
    </row>
    <row r="305" spans="1:8" ht="27" customHeight="1">
      <c r="A305" s="69" t="s">
        <v>5780</v>
      </c>
      <c r="B305" s="69" t="s">
        <v>5781</v>
      </c>
      <c r="C305" s="69" t="s">
        <v>5445</v>
      </c>
      <c r="D305" s="69" t="s">
        <v>4712</v>
      </c>
      <c r="E305" s="69" t="s">
        <v>5782</v>
      </c>
      <c r="F305" s="69" t="s">
        <v>4519</v>
      </c>
      <c r="G305" s="69" t="s">
        <v>5783</v>
      </c>
      <c r="H305" s="69" t="s">
        <v>3669</v>
      </c>
    </row>
    <row r="306" spans="1:8" ht="27" customHeight="1">
      <c r="A306" s="69" t="s">
        <v>5784</v>
      </c>
      <c r="B306" s="69" t="s">
        <v>5785</v>
      </c>
      <c r="C306" s="69" t="s">
        <v>5786</v>
      </c>
      <c r="D306" s="69" t="s">
        <v>5452</v>
      </c>
      <c r="E306" s="69" t="s">
        <v>5787</v>
      </c>
      <c r="F306" s="69" t="s">
        <v>4519</v>
      </c>
      <c r="G306" s="69" t="s">
        <v>5788</v>
      </c>
      <c r="H306" s="69" t="s">
        <v>5789</v>
      </c>
    </row>
    <row r="307" spans="1:8" ht="27" customHeight="1">
      <c r="A307" s="69" t="s">
        <v>5790</v>
      </c>
      <c r="B307" s="69" t="s">
        <v>5791</v>
      </c>
      <c r="C307" s="69" t="s">
        <v>5103</v>
      </c>
      <c r="D307" s="69" t="s">
        <v>4712</v>
      </c>
      <c r="E307" s="69" t="s">
        <v>5792</v>
      </c>
      <c r="F307" s="69" t="s">
        <v>4519</v>
      </c>
      <c r="G307" s="69" t="s">
        <v>5793</v>
      </c>
      <c r="H307" s="69" t="s">
        <v>3669</v>
      </c>
    </row>
    <row r="308" spans="1:8" ht="27" customHeight="1">
      <c r="A308" s="69" t="s">
        <v>5794</v>
      </c>
      <c r="B308" s="69" t="s">
        <v>5795</v>
      </c>
      <c r="C308" s="69" t="s">
        <v>5796</v>
      </c>
      <c r="D308" s="69" t="s">
        <v>5797</v>
      </c>
      <c r="E308" s="69" t="s">
        <v>5798</v>
      </c>
      <c r="F308" s="69" t="s">
        <v>4519</v>
      </c>
      <c r="G308" s="69" t="s">
        <v>5799</v>
      </c>
      <c r="H308" s="69" t="s">
        <v>3669</v>
      </c>
    </row>
    <row r="309" spans="1:8" ht="27" customHeight="1">
      <c r="A309" s="69" t="s">
        <v>5800</v>
      </c>
      <c r="B309" s="69" t="s">
        <v>5801</v>
      </c>
      <c r="C309" s="69" t="s">
        <v>5457</v>
      </c>
      <c r="D309" s="69" t="s">
        <v>4712</v>
      </c>
      <c r="E309" s="69" t="s">
        <v>5802</v>
      </c>
      <c r="F309" s="69" t="s">
        <v>4519</v>
      </c>
      <c r="G309" s="69" t="s">
        <v>5803</v>
      </c>
      <c r="H309" s="69" t="s">
        <v>3669</v>
      </c>
    </row>
    <row r="310" spans="1:8" ht="27" customHeight="1">
      <c r="A310" s="69" t="s">
        <v>5804</v>
      </c>
      <c r="B310" s="69" t="s">
        <v>5631</v>
      </c>
      <c r="C310" s="69" t="s">
        <v>5632</v>
      </c>
      <c r="D310" s="69" t="s">
        <v>4712</v>
      </c>
      <c r="E310" s="69" t="s">
        <v>5805</v>
      </c>
      <c r="F310" s="69" t="s">
        <v>4519</v>
      </c>
      <c r="G310" s="69" t="s">
        <v>5806</v>
      </c>
      <c r="H310" s="69" t="s">
        <v>3669</v>
      </c>
    </row>
    <row r="311" spans="1:8" ht="27" customHeight="1">
      <c r="A311" s="69" t="s">
        <v>5807</v>
      </c>
      <c r="B311" s="69" t="s">
        <v>5808</v>
      </c>
      <c r="C311" s="69" t="s">
        <v>5809</v>
      </c>
      <c r="D311" s="69" t="s">
        <v>5756</v>
      </c>
      <c r="E311" s="69" t="s">
        <v>5810</v>
      </c>
      <c r="F311" s="69" t="s">
        <v>4519</v>
      </c>
      <c r="G311" s="69" t="s">
        <v>5811</v>
      </c>
      <c r="H311" s="69" t="s">
        <v>3669</v>
      </c>
    </row>
    <row r="312" spans="1:8" ht="15" customHeight="1">
      <c r="A312" s="69"/>
      <c r="B312" s="69"/>
      <c r="C312" s="69"/>
      <c r="D312" s="69"/>
      <c r="E312" s="69"/>
      <c r="F312" s="69"/>
      <c r="G312" s="69"/>
      <c r="H312" s="69"/>
    </row>
    <row r="313" spans="1:8" ht="148.5" customHeight="1">
      <c r="A313" s="90" t="s">
        <v>5812</v>
      </c>
      <c r="B313" s="69"/>
      <c r="C313" s="69"/>
      <c r="D313" s="69"/>
      <c r="E313" s="69"/>
      <c r="F313" s="69"/>
      <c r="G313" s="69"/>
      <c r="H313" s="69"/>
    </row>
    <row r="314" spans="1:8" ht="15" customHeight="1">
      <c r="A314" s="69" t="s">
        <v>5813</v>
      </c>
      <c r="B314" s="69" t="s">
        <v>5456</v>
      </c>
      <c r="C314" s="69" t="s">
        <v>5814</v>
      </c>
      <c r="D314" s="69" t="s">
        <v>4712</v>
      </c>
      <c r="E314" s="69" t="s">
        <v>5815</v>
      </c>
      <c r="F314" s="69" t="s">
        <v>4525</v>
      </c>
      <c r="G314" s="69">
        <v>46091</v>
      </c>
      <c r="H314" s="69"/>
    </row>
    <row r="315" spans="1:8" ht="27" customHeight="1">
      <c r="A315" s="69" t="s">
        <v>5816</v>
      </c>
      <c r="B315" s="69" t="s">
        <v>5501</v>
      </c>
      <c r="C315" s="69" t="s">
        <v>5817</v>
      </c>
      <c r="D315" s="69" t="s">
        <v>4712</v>
      </c>
      <c r="E315" s="69" t="s">
        <v>5818</v>
      </c>
      <c r="F315" s="69" t="s">
        <v>4525</v>
      </c>
      <c r="G315" s="69">
        <v>46091</v>
      </c>
      <c r="H315" s="69"/>
    </row>
    <row r="316" spans="1:8" ht="27" customHeight="1">
      <c r="A316" s="69" t="s">
        <v>5819</v>
      </c>
      <c r="B316" s="69" t="s">
        <v>5437</v>
      </c>
      <c r="C316" s="69" t="s">
        <v>5212</v>
      </c>
      <c r="D316" s="69" t="s">
        <v>4712</v>
      </c>
      <c r="E316" s="69" t="s">
        <v>5820</v>
      </c>
      <c r="F316" s="69" t="s">
        <v>4525</v>
      </c>
      <c r="G316" s="69">
        <v>46091</v>
      </c>
      <c r="H316" s="69"/>
    </row>
    <row r="317" spans="1:8" ht="15" customHeight="1">
      <c r="A317" s="69" t="s">
        <v>5821</v>
      </c>
      <c r="B317" s="69" t="s">
        <v>2049</v>
      </c>
      <c r="C317" s="69" t="s">
        <v>5822</v>
      </c>
      <c r="D317" s="69" t="s">
        <v>4712</v>
      </c>
      <c r="E317" s="69" t="s">
        <v>5823</v>
      </c>
      <c r="F317" s="69" t="s">
        <v>4525</v>
      </c>
      <c r="G317" s="69">
        <v>46091</v>
      </c>
      <c r="H317" s="69"/>
    </row>
    <row r="318" spans="1:8" ht="15" customHeight="1">
      <c r="A318" s="69" t="s">
        <v>5824</v>
      </c>
      <c r="B318" s="69" t="s">
        <v>5482</v>
      </c>
      <c r="C318" s="69" t="s">
        <v>5276</v>
      </c>
      <c r="D318" s="69" t="s">
        <v>4712</v>
      </c>
      <c r="E318" s="69" t="s">
        <v>5825</v>
      </c>
      <c r="F318" s="69" t="s">
        <v>4525</v>
      </c>
      <c r="G318" s="69">
        <v>46091</v>
      </c>
      <c r="H318" s="69"/>
    </row>
    <row r="319" spans="1:8" ht="15" customHeight="1">
      <c r="A319" s="69" t="s">
        <v>5826</v>
      </c>
      <c r="B319" s="69" t="s">
        <v>5450</v>
      </c>
      <c r="C319" s="69" t="s">
        <v>5827</v>
      </c>
      <c r="D319" s="69" t="s">
        <v>5828</v>
      </c>
      <c r="E319" s="69" t="s">
        <v>5829</v>
      </c>
      <c r="F319" s="69" t="s">
        <v>4525</v>
      </c>
      <c r="G319" s="69">
        <v>46091</v>
      </c>
      <c r="H319" s="69"/>
    </row>
    <row r="320" spans="1:8" ht="15" customHeight="1">
      <c r="A320" s="69" t="s">
        <v>5830</v>
      </c>
      <c r="B320" s="69" t="s">
        <v>5506</v>
      </c>
      <c r="C320" s="69" t="s">
        <v>5831</v>
      </c>
      <c r="D320" s="69" t="s">
        <v>4712</v>
      </c>
      <c r="E320" s="69" t="s">
        <v>5832</v>
      </c>
      <c r="F320" s="69" t="s">
        <v>4525</v>
      </c>
      <c r="G320" s="69">
        <v>46091</v>
      </c>
      <c r="H320" s="69"/>
    </row>
    <row r="321" spans="1:8" ht="27" customHeight="1">
      <c r="A321" s="69" t="s">
        <v>5833</v>
      </c>
      <c r="B321" s="69" t="s">
        <v>5562</v>
      </c>
      <c r="C321" s="69" t="s">
        <v>5834</v>
      </c>
      <c r="D321" s="69" t="s">
        <v>4712</v>
      </c>
      <c r="E321" s="69" t="s">
        <v>5835</v>
      </c>
      <c r="F321" s="69" t="s">
        <v>4525</v>
      </c>
      <c r="G321" s="69">
        <v>46091</v>
      </c>
      <c r="H321" s="69"/>
    </row>
    <row r="322" spans="1:8" ht="15" customHeight="1">
      <c r="A322" s="69" t="s">
        <v>5836</v>
      </c>
      <c r="B322" s="69" t="s">
        <v>5478</v>
      </c>
      <c r="C322" s="69" t="s">
        <v>5837</v>
      </c>
      <c r="D322" s="69" t="s">
        <v>4712</v>
      </c>
      <c r="E322" s="69" t="s">
        <v>5838</v>
      </c>
      <c r="F322" s="69" t="s">
        <v>4525</v>
      </c>
      <c r="G322" s="69">
        <v>46091</v>
      </c>
      <c r="H322" s="69"/>
    </row>
    <row r="323" spans="1:8" ht="15" customHeight="1">
      <c r="A323" s="69" t="s">
        <v>5839</v>
      </c>
      <c r="B323" s="69" t="s">
        <v>5474</v>
      </c>
      <c r="C323" s="69" t="s">
        <v>5295</v>
      </c>
      <c r="D323" s="69" t="s">
        <v>4712</v>
      </c>
      <c r="E323" s="69" t="s">
        <v>5840</v>
      </c>
      <c r="F323" s="69" t="s">
        <v>4525</v>
      </c>
      <c r="G323" s="69">
        <v>46091</v>
      </c>
      <c r="H323" s="69"/>
    </row>
    <row r="324" spans="1:8" ht="15" customHeight="1">
      <c r="A324" s="69" t="s">
        <v>5841</v>
      </c>
      <c r="B324" s="69" t="s">
        <v>5470</v>
      </c>
      <c r="C324" s="69" t="s">
        <v>5842</v>
      </c>
      <c r="D324" s="69" t="s">
        <v>4712</v>
      </c>
      <c r="E324" s="69" t="s">
        <v>5843</v>
      </c>
      <c r="F324" s="69" t="s">
        <v>4525</v>
      </c>
      <c r="G324" s="69">
        <v>46091</v>
      </c>
      <c r="H324" s="69"/>
    </row>
    <row r="325" spans="1:8" ht="15" customHeight="1">
      <c r="A325" s="69" t="s">
        <v>5844</v>
      </c>
      <c r="B325" s="69" t="s">
        <v>5494</v>
      </c>
      <c r="C325" s="69" t="s">
        <v>5845</v>
      </c>
      <c r="D325" s="69" t="s">
        <v>4712</v>
      </c>
      <c r="E325" s="69" t="s">
        <v>5846</v>
      </c>
      <c r="F325" s="69" t="s">
        <v>4525</v>
      </c>
      <c r="G325" s="69">
        <v>46091</v>
      </c>
      <c r="H325" s="69"/>
    </row>
    <row r="326" spans="1:8" ht="27" customHeight="1">
      <c r="A326" s="69" t="s">
        <v>5847</v>
      </c>
      <c r="B326" s="69" t="s">
        <v>5466</v>
      </c>
      <c r="C326" s="69" t="s">
        <v>5848</v>
      </c>
      <c r="D326" s="69" t="s">
        <v>4712</v>
      </c>
      <c r="E326" s="69" t="s">
        <v>5849</v>
      </c>
      <c r="F326" s="69" t="s">
        <v>4525</v>
      </c>
      <c r="G326" s="69">
        <v>46091</v>
      </c>
      <c r="H326" s="69"/>
    </row>
    <row r="327" spans="1:8" ht="27" customHeight="1">
      <c r="A327" s="69" t="s">
        <v>5850</v>
      </c>
      <c r="B327" s="69" t="s">
        <v>3364</v>
      </c>
      <c r="C327" s="69" t="s">
        <v>5851</v>
      </c>
      <c r="D327" s="69" t="s">
        <v>5852</v>
      </c>
      <c r="E327" s="69" t="s">
        <v>5853</v>
      </c>
      <c r="F327" s="69" t="s">
        <v>4525</v>
      </c>
      <c r="G327" s="69">
        <v>46091</v>
      </c>
      <c r="H327" s="69"/>
    </row>
    <row r="328" spans="1:8" ht="15" customHeight="1">
      <c r="A328" s="69" t="s">
        <v>5854</v>
      </c>
      <c r="B328" s="69" t="s">
        <v>5441</v>
      </c>
      <c r="C328" s="69" t="s">
        <v>5855</v>
      </c>
      <c r="D328" s="69" t="s">
        <v>5856</v>
      </c>
      <c r="E328" s="69" t="s">
        <v>5857</v>
      </c>
      <c r="F328" s="69" t="s">
        <v>4525</v>
      </c>
      <c r="G328" s="69">
        <v>46091</v>
      </c>
      <c r="H328" s="69"/>
    </row>
    <row r="329" spans="1:8" ht="15" customHeight="1">
      <c r="A329" s="69" t="s">
        <v>5858</v>
      </c>
      <c r="B329" s="69" t="s">
        <v>5486</v>
      </c>
      <c r="C329" s="69" t="s">
        <v>5859</v>
      </c>
      <c r="D329" s="69" t="s">
        <v>5856</v>
      </c>
      <c r="E329" s="69" t="s">
        <v>5857</v>
      </c>
      <c r="F329" s="69" t="s">
        <v>4525</v>
      </c>
      <c r="G329" s="69">
        <v>46091</v>
      </c>
      <c r="H329" s="69"/>
    </row>
    <row r="330" spans="1:8" ht="15" customHeight="1">
      <c r="A330" s="69" t="s">
        <v>5860</v>
      </c>
      <c r="B330" s="69" t="s">
        <v>2047</v>
      </c>
      <c r="C330" s="69" t="s">
        <v>5861</v>
      </c>
      <c r="D330" s="69" t="s">
        <v>5856</v>
      </c>
      <c r="E330" s="69" t="s">
        <v>5857</v>
      </c>
      <c r="F330" s="69" t="s">
        <v>4525</v>
      </c>
      <c r="G330" s="69">
        <v>46091</v>
      </c>
      <c r="H330" s="69"/>
    </row>
    <row r="331" spans="1:8" ht="15" customHeight="1">
      <c r="A331" s="69" t="s">
        <v>5862</v>
      </c>
      <c r="B331" s="69" t="s">
        <v>5536</v>
      </c>
      <c r="C331" s="69" t="s">
        <v>5863</v>
      </c>
      <c r="D331" s="69" t="s">
        <v>5856</v>
      </c>
      <c r="E331" s="69" t="s">
        <v>5864</v>
      </c>
      <c r="F331" s="69" t="s">
        <v>4525</v>
      </c>
      <c r="G331" s="69">
        <v>46091</v>
      </c>
      <c r="H331" s="69"/>
    </row>
    <row r="332" spans="1:8" ht="15" customHeight="1">
      <c r="A332" s="69"/>
      <c r="B332" s="69"/>
      <c r="C332" s="69"/>
      <c r="D332" s="69"/>
      <c r="E332" s="69"/>
      <c r="F332" s="69"/>
      <c r="G332" s="69"/>
      <c r="H332" s="69"/>
    </row>
    <row r="333" spans="1:8" ht="94.5" customHeight="1">
      <c r="A333" s="69" t="s">
        <v>5865</v>
      </c>
      <c r="B333" s="69" t="s">
        <v>5866</v>
      </c>
      <c r="C333" s="69" t="s">
        <v>5867</v>
      </c>
      <c r="D333" s="69">
        <v>200</v>
      </c>
      <c r="E333" s="69" t="s">
        <v>4712</v>
      </c>
      <c r="F333" s="69" t="s">
        <v>5868</v>
      </c>
      <c r="G333" s="91">
        <v>46091</v>
      </c>
      <c r="H333" s="69"/>
    </row>
    <row r="334" spans="1:8" ht="67.5" customHeight="1">
      <c r="A334" s="69" t="s">
        <v>5869</v>
      </c>
      <c r="B334" s="69" t="s">
        <v>5870</v>
      </c>
      <c r="C334" s="69" t="s">
        <v>5827</v>
      </c>
      <c r="D334" s="69">
        <v>200</v>
      </c>
      <c r="E334" s="69" t="s">
        <v>4712</v>
      </c>
      <c r="F334" s="69" t="s">
        <v>5871</v>
      </c>
      <c r="G334" s="91">
        <v>46091</v>
      </c>
      <c r="H334" s="69"/>
    </row>
    <row r="335" spans="1:8" ht="94.5" customHeight="1">
      <c r="A335" s="69" t="s">
        <v>5872</v>
      </c>
      <c r="B335" s="69" t="s">
        <v>5441</v>
      </c>
      <c r="C335" s="69" t="s">
        <v>5873</v>
      </c>
      <c r="D335" s="69">
        <v>200</v>
      </c>
      <c r="E335" s="69" t="s">
        <v>4712</v>
      </c>
      <c r="F335" s="69" t="s">
        <v>5874</v>
      </c>
      <c r="G335" s="91">
        <v>46091</v>
      </c>
      <c r="H335" s="69"/>
    </row>
    <row r="336" spans="1:8" ht="67.5" customHeight="1">
      <c r="A336" s="69" t="s">
        <v>5875</v>
      </c>
      <c r="B336" s="69" t="s">
        <v>5486</v>
      </c>
      <c r="C336" s="69" t="s">
        <v>5876</v>
      </c>
      <c r="D336" s="69">
        <v>200</v>
      </c>
      <c r="E336" s="69" t="s">
        <v>4712</v>
      </c>
      <c r="F336" s="69" t="s">
        <v>5877</v>
      </c>
      <c r="G336" s="91">
        <v>46091</v>
      </c>
      <c r="H336" s="69"/>
    </row>
    <row r="337" spans="1:8" ht="108" customHeight="1">
      <c r="A337" s="69" t="s">
        <v>5878</v>
      </c>
      <c r="B337" s="69" t="s">
        <v>2047</v>
      </c>
      <c r="C337" s="69" t="s">
        <v>5879</v>
      </c>
      <c r="D337" s="69">
        <v>200</v>
      </c>
      <c r="E337" s="69" t="s">
        <v>4712</v>
      </c>
      <c r="F337" s="69" t="s">
        <v>5880</v>
      </c>
      <c r="G337" s="91">
        <v>46091</v>
      </c>
      <c r="H337" s="69"/>
    </row>
    <row r="338" spans="1:8" ht="148.5" customHeight="1">
      <c r="A338" s="69" t="s">
        <v>5881</v>
      </c>
      <c r="B338" s="69" t="s">
        <v>5882</v>
      </c>
      <c r="C338" s="69" t="s">
        <v>5883</v>
      </c>
      <c r="D338" s="69" t="s">
        <v>2625</v>
      </c>
      <c r="E338" s="69" t="s">
        <v>5884</v>
      </c>
      <c r="F338" s="69" t="s">
        <v>5885</v>
      </c>
      <c r="G338" s="91">
        <v>46091</v>
      </c>
      <c r="H338" s="69"/>
    </row>
    <row r="339" spans="1:8" ht="162" customHeight="1">
      <c r="A339" s="69" t="s">
        <v>5886</v>
      </c>
      <c r="B339" s="69" t="s">
        <v>5536</v>
      </c>
      <c r="C339" s="69" t="s">
        <v>5315</v>
      </c>
      <c r="D339" s="69" t="s">
        <v>5356</v>
      </c>
      <c r="E339" s="69" t="s">
        <v>5887</v>
      </c>
      <c r="F339" s="69" t="s">
        <v>5888</v>
      </c>
      <c r="G339" s="91">
        <v>46091</v>
      </c>
      <c r="H339" s="69"/>
    </row>
    <row r="340" spans="1:8" ht="15" customHeight="1">
      <c r="A340" s="69"/>
      <c r="B340" s="69"/>
      <c r="C340" s="69"/>
      <c r="D340" s="69"/>
      <c r="E340" s="69"/>
      <c r="F340" s="69"/>
      <c r="G340" s="69"/>
      <c r="H340" s="69"/>
    </row>
    <row r="341" spans="1:8" ht="54" customHeight="1">
      <c r="A341" s="69" t="s">
        <v>5889</v>
      </c>
      <c r="B341" s="69" t="s">
        <v>5890</v>
      </c>
      <c r="C341" s="69"/>
      <c r="D341" s="69"/>
      <c r="E341" s="69"/>
      <c r="F341" s="69" t="s">
        <v>5891</v>
      </c>
      <c r="G341" s="91">
        <v>46091</v>
      </c>
      <c r="H341" s="69"/>
    </row>
    <row r="342" spans="1:8" ht="15" customHeight="1">
      <c r="A342" s="69"/>
      <c r="B342" s="69"/>
      <c r="C342" s="69"/>
      <c r="D342" s="69"/>
      <c r="E342" s="69"/>
      <c r="F342" s="69"/>
      <c r="G342" s="69"/>
      <c r="H342" s="69"/>
    </row>
    <row r="343" spans="1:8" ht="175.5" customHeight="1">
      <c r="A343" s="69" t="s">
        <v>5892</v>
      </c>
      <c r="B343" s="69" t="s">
        <v>5893</v>
      </c>
      <c r="C343" s="69" t="s">
        <v>5894</v>
      </c>
      <c r="D343" s="69">
        <v>200</v>
      </c>
      <c r="E343" s="69" t="s">
        <v>3031</v>
      </c>
      <c r="F343" s="69" t="s">
        <v>5895</v>
      </c>
      <c r="G343" s="91">
        <v>46091</v>
      </c>
      <c r="H343" s="69"/>
    </row>
    <row r="344" spans="1:8" ht="15" customHeight="1">
      <c r="A344" s="69"/>
      <c r="B344" s="69"/>
      <c r="C344" s="69"/>
      <c r="D344" s="69"/>
      <c r="E344" s="69"/>
      <c r="F344" s="69"/>
      <c r="G344" s="69"/>
      <c r="H344" s="69"/>
    </row>
    <row r="345" spans="1:8" ht="94.5" customHeight="1">
      <c r="A345" s="69" t="s">
        <v>5896</v>
      </c>
      <c r="B345" s="69" t="s">
        <v>5897</v>
      </c>
      <c r="C345" s="69"/>
      <c r="D345" s="69"/>
      <c r="E345" s="69"/>
      <c r="F345" s="69" t="s">
        <v>5898</v>
      </c>
      <c r="G345" s="91">
        <v>46091</v>
      </c>
      <c r="H345" s="69"/>
    </row>
    <row r="346" spans="1:8" ht="15" customHeight="1">
      <c r="A346" s="69"/>
      <c r="B346" s="69"/>
      <c r="C346" s="69"/>
      <c r="D346" s="69"/>
      <c r="E346" s="69"/>
      <c r="F346" s="69"/>
      <c r="G346" s="69"/>
      <c r="H346" s="69"/>
    </row>
    <row r="347" spans="1:8" ht="148.5" customHeight="1">
      <c r="A347" s="69" t="s">
        <v>5899</v>
      </c>
      <c r="B347" s="69" t="s">
        <v>5900</v>
      </c>
      <c r="C347" s="69" t="s">
        <v>5901</v>
      </c>
      <c r="D347" s="69"/>
      <c r="E347" s="69"/>
      <c r="F347" s="69"/>
      <c r="G347" s="69"/>
      <c r="H347" s="69"/>
    </row>
    <row r="348" spans="1:8" ht="15" customHeight="1">
      <c r="A348" s="69" t="s">
        <v>5902</v>
      </c>
      <c r="B348" s="69" t="s">
        <v>4710</v>
      </c>
      <c r="C348" s="69" t="s">
        <v>5745</v>
      </c>
      <c r="D348" s="69" t="s">
        <v>4712</v>
      </c>
      <c r="E348" s="69" t="s">
        <v>5903</v>
      </c>
      <c r="F348" s="69" t="s">
        <v>4535</v>
      </c>
      <c r="G348" s="69">
        <v>46092</v>
      </c>
      <c r="H348" s="69" t="s">
        <v>3669</v>
      </c>
    </row>
    <row r="349" spans="1:8" ht="15" customHeight="1">
      <c r="A349" s="69" t="s">
        <v>5904</v>
      </c>
      <c r="B349" s="69" t="s">
        <v>5211</v>
      </c>
      <c r="C349" s="69" t="s">
        <v>5040</v>
      </c>
      <c r="D349" s="69" t="s">
        <v>4712</v>
      </c>
      <c r="E349" s="69" t="s">
        <v>5905</v>
      </c>
      <c r="F349" s="69" t="s">
        <v>4535</v>
      </c>
      <c r="G349" s="69">
        <v>46092</v>
      </c>
      <c r="H349" s="69" t="s">
        <v>3669</v>
      </c>
    </row>
    <row r="350" spans="1:8" ht="15" customHeight="1">
      <c r="A350" s="69" t="s">
        <v>5906</v>
      </c>
      <c r="B350" s="69" t="s">
        <v>5232</v>
      </c>
      <c r="C350" s="69" t="s">
        <v>5442</v>
      </c>
      <c r="D350" s="69" t="s">
        <v>4712</v>
      </c>
      <c r="E350" s="69" t="s">
        <v>5907</v>
      </c>
      <c r="F350" s="69" t="s">
        <v>4535</v>
      </c>
      <c r="G350" s="69">
        <v>46092</v>
      </c>
      <c r="H350" s="69" t="s">
        <v>3669</v>
      </c>
    </row>
    <row r="351" spans="1:8" ht="15" customHeight="1">
      <c r="A351" s="69" t="s">
        <v>5908</v>
      </c>
      <c r="B351" s="69" t="s">
        <v>5220</v>
      </c>
      <c r="C351" s="69" t="s">
        <v>5445</v>
      </c>
      <c r="D351" s="69" t="s">
        <v>4712</v>
      </c>
      <c r="E351" s="69" t="s">
        <v>5909</v>
      </c>
      <c r="F351" s="69" t="s">
        <v>4535</v>
      </c>
      <c r="G351" s="69">
        <v>46092</v>
      </c>
      <c r="H351" s="69" t="s">
        <v>3669</v>
      </c>
    </row>
    <row r="352" spans="1:8" ht="15" customHeight="1">
      <c r="A352" s="69" t="s">
        <v>5910</v>
      </c>
      <c r="B352" s="69" t="s">
        <v>5261</v>
      </c>
      <c r="C352" s="69" t="s">
        <v>5911</v>
      </c>
      <c r="D352" s="69" t="s">
        <v>4712</v>
      </c>
      <c r="E352" s="69" t="s">
        <v>5912</v>
      </c>
      <c r="F352" s="69" t="s">
        <v>4535</v>
      </c>
      <c r="G352" s="69">
        <v>46092</v>
      </c>
      <c r="H352" s="69" t="s">
        <v>3669</v>
      </c>
    </row>
    <row r="353" spans="1:8" ht="15" customHeight="1">
      <c r="A353" s="69" t="s">
        <v>5913</v>
      </c>
      <c r="B353" s="69" t="s">
        <v>5224</v>
      </c>
      <c r="C353" s="69" t="s">
        <v>5914</v>
      </c>
      <c r="D353" s="69" t="s">
        <v>4712</v>
      </c>
      <c r="E353" s="69" t="s">
        <v>5915</v>
      </c>
      <c r="F353" s="69" t="s">
        <v>4535</v>
      </c>
      <c r="G353" s="69">
        <v>46092</v>
      </c>
      <c r="H353" s="69" t="s">
        <v>3669</v>
      </c>
    </row>
    <row r="354" spans="1:8" ht="15" customHeight="1">
      <c r="A354" s="69" t="s">
        <v>5916</v>
      </c>
      <c r="B354" s="69" t="s">
        <v>5228</v>
      </c>
      <c r="C354" s="69" t="s">
        <v>5917</v>
      </c>
      <c r="D354" s="69" t="s">
        <v>4712</v>
      </c>
      <c r="E354" s="69" t="s">
        <v>5918</v>
      </c>
      <c r="F354" s="69" t="s">
        <v>4535</v>
      </c>
      <c r="G354" s="69">
        <v>46092</v>
      </c>
      <c r="H354" s="69" t="s">
        <v>3669</v>
      </c>
    </row>
    <row r="355" spans="1:8" ht="15" customHeight="1">
      <c r="A355" s="69" t="s">
        <v>5919</v>
      </c>
      <c r="B355" s="69" t="s">
        <v>5325</v>
      </c>
      <c r="C355" s="69" t="s">
        <v>5786</v>
      </c>
      <c r="D355" s="69" t="s">
        <v>4712</v>
      </c>
      <c r="E355" s="69" t="s">
        <v>5920</v>
      </c>
      <c r="F355" s="69" t="s">
        <v>4535</v>
      </c>
      <c r="G355" s="69">
        <v>46092</v>
      </c>
      <c r="H355" s="69" t="s">
        <v>3669</v>
      </c>
    </row>
    <row r="356" spans="1:8" ht="15" customHeight="1">
      <c r="A356" s="69" t="s">
        <v>5921</v>
      </c>
      <c r="B356" s="69" t="s">
        <v>5275</v>
      </c>
      <c r="C356" s="69" t="s">
        <v>5922</v>
      </c>
      <c r="D356" s="69" t="s">
        <v>4712</v>
      </c>
      <c r="E356" s="69" t="s">
        <v>5923</v>
      </c>
      <c r="F356" s="69" t="s">
        <v>4535</v>
      </c>
      <c r="G356" s="69">
        <v>46092</v>
      </c>
      <c r="H356" s="69" t="s">
        <v>3669</v>
      </c>
    </row>
    <row r="357" spans="1:8" ht="15" customHeight="1">
      <c r="A357" s="69" t="s">
        <v>5924</v>
      </c>
      <c r="B357" s="69" t="s">
        <v>5329</v>
      </c>
      <c r="C357" s="69" t="s">
        <v>5487</v>
      </c>
      <c r="D357" s="69" t="s">
        <v>4712</v>
      </c>
      <c r="E357" s="69" t="s">
        <v>5925</v>
      </c>
      <c r="F357" s="69" t="s">
        <v>4535</v>
      </c>
      <c r="G357" s="69">
        <v>46092</v>
      </c>
      <c r="H357" s="69" t="s">
        <v>3669</v>
      </c>
    </row>
    <row r="358" spans="1:8" ht="15" customHeight="1">
      <c r="A358" s="69" t="s">
        <v>5926</v>
      </c>
      <c r="B358" s="69" t="s">
        <v>5236</v>
      </c>
      <c r="C358" s="69" t="s">
        <v>5499</v>
      </c>
      <c r="D358" s="69" t="s">
        <v>4712</v>
      </c>
      <c r="E358" s="69" t="s">
        <v>5927</v>
      </c>
      <c r="F358" s="69" t="s">
        <v>4535</v>
      </c>
      <c r="G358" s="69">
        <v>46092</v>
      </c>
      <c r="H358" s="69" t="s">
        <v>3669</v>
      </c>
    </row>
    <row r="359" spans="1:8" ht="15" customHeight="1">
      <c r="A359" s="69" t="s">
        <v>5928</v>
      </c>
      <c r="B359" s="69" t="s">
        <v>3998</v>
      </c>
      <c r="C359" s="69" t="s">
        <v>5103</v>
      </c>
      <c r="D359" s="69" t="s">
        <v>4712</v>
      </c>
      <c r="E359" s="69" t="s">
        <v>5929</v>
      </c>
      <c r="F359" s="69" t="s">
        <v>4535</v>
      </c>
      <c r="G359" s="69">
        <v>46092</v>
      </c>
      <c r="H359" s="69" t="s">
        <v>3669</v>
      </c>
    </row>
    <row r="360" spans="1:8" ht="15" customHeight="1">
      <c r="A360" s="69" t="s">
        <v>5930</v>
      </c>
      <c r="B360" s="69" t="s">
        <v>5289</v>
      </c>
      <c r="C360" s="69" t="s">
        <v>5931</v>
      </c>
      <c r="D360" s="69" t="s">
        <v>4712</v>
      </c>
      <c r="E360" s="69" t="s">
        <v>5932</v>
      </c>
      <c r="F360" s="69" t="s">
        <v>4535</v>
      </c>
      <c r="G360" s="69">
        <v>46092</v>
      </c>
      <c r="H360" s="69" t="s">
        <v>3669</v>
      </c>
    </row>
    <row r="361" spans="1:8" ht="15" customHeight="1">
      <c r="A361" s="69" t="s">
        <v>5933</v>
      </c>
      <c r="B361" s="69" t="s">
        <v>5299</v>
      </c>
      <c r="C361" s="69" t="s">
        <v>5934</v>
      </c>
      <c r="D361" s="69" t="s">
        <v>4712</v>
      </c>
      <c r="E361" s="69" t="s">
        <v>5935</v>
      </c>
      <c r="F361" s="69" t="s">
        <v>4535</v>
      </c>
      <c r="G361" s="69">
        <v>46092</v>
      </c>
      <c r="H361" s="69" t="s">
        <v>3669</v>
      </c>
    </row>
    <row r="362" spans="1:8" ht="15" customHeight="1">
      <c r="A362" s="69" t="s">
        <v>5936</v>
      </c>
      <c r="B362" s="69" t="s">
        <v>5294</v>
      </c>
      <c r="C362" s="69" t="s">
        <v>5937</v>
      </c>
      <c r="D362" s="69" t="s">
        <v>4712</v>
      </c>
      <c r="E362" s="69" t="s">
        <v>5938</v>
      </c>
      <c r="F362" s="69" t="s">
        <v>4535</v>
      </c>
      <c r="G362" s="69">
        <v>46092</v>
      </c>
      <c r="H362" s="69" t="s">
        <v>3669</v>
      </c>
    </row>
    <row r="363" spans="1:8" ht="15" customHeight="1">
      <c r="A363" s="69" t="s">
        <v>5939</v>
      </c>
      <c r="B363" s="69" t="s">
        <v>5266</v>
      </c>
      <c r="C363" s="69" t="s">
        <v>5940</v>
      </c>
      <c r="D363" s="69" t="s">
        <v>4712</v>
      </c>
      <c r="E363" s="69" t="s">
        <v>5941</v>
      </c>
      <c r="F363" s="69" t="s">
        <v>4535</v>
      </c>
      <c r="G363" s="69">
        <v>46092</v>
      </c>
      <c r="H363" s="69" t="s">
        <v>3669</v>
      </c>
    </row>
    <row r="364" spans="1:8" ht="15" customHeight="1">
      <c r="A364" s="69" t="s">
        <v>5942</v>
      </c>
      <c r="B364" s="69" t="s">
        <v>5279</v>
      </c>
      <c r="C364" s="69" t="s">
        <v>5943</v>
      </c>
      <c r="D364" s="69" t="s">
        <v>4712</v>
      </c>
      <c r="E364" s="69" t="s">
        <v>5944</v>
      </c>
      <c r="F364" s="69" t="s">
        <v>4535</v>
      </c>
      <c r="G364" s="69">
        <v>46092</v>
      </c>
      <c r="H364" s="69" t="s">
        <v>3669</v>
      </c>
    </row>
    <row r="365" spans="1:8" ht="15" customHeight="1">
      <c r="A365" s="69" t="s">
        <v>5945</v>
      </c>
      <c r="B365" s="69" t="s">
        <v>5248</v>
      </c>
      <c r="C365" s="69" t="s">
        <v>5946</v>
      </c>
      <c r="D365" s="69" t="s">
        <v>4712</v>
      </c>
      <c r="E365" s="69" t="s">
        <v>5947</v>
      </c>
      <c r="F365" s="69" t="s">
        <v>4535</v>
      </c>
      <c r="G365" s="69">
        <v>46092</v>
      </c>
      <c r="H365" s="69" t="s">
        <v>5948</v>
      </c>
    </row>
    <row r="366" spans="1:8" ht="15" customHeight="1">
      <c r="A366" s="69" t="s">
        <v>5949</v>
      </c>
      <c r="B366" s="69" t="s">
        <v>5950</v>
      </c>
      <c r="C366" s="69" t="s">
        <v>5951</v>
      </c>
      <c r="D366" s="69" t="s">
        <v>4712</v>
      </c>
      <c r="E366" s="69" t="s">
        <v>5952</v>
      </c>
      <c r="F366" s="69" t="s">
        <v>4535</v>
      </c>
      <c r="G366" s="69">
        <v>46092</v>
      </c>
      <c r="H366" s="69" t="s">
        <v>5953</v>
      </c>
    </row>
    <row r="367" spans="1:8" ht="15" customHeight="1">
      <c r="A367" s="69" t="s">
        <v>5954</v>
      </c>
      <c r="B367" s="69" t="s">
        <v>5955</v>
      </c>
      <c r="C367" s="69" t="s">
        <v>5457</v>
      </c>
      <c r="D367" s="69" t="s">
        <v>4712</v>
      </c>
      <c r="E367" s="69" t="s">
        <v>5956</v>
      </c>
      <c r="F367" s="69" t="s">
        <v>4535</v>
      </c>
      <c r="G367" s="69">
        <v>46092</v>
      </c>
      <c r="H367" s="69" t="s">
        <v>3669</v>
      </c>
    </row>
    <row r="368" spans="1:8" ht="15" customHeight="1">
      <c r="A368" s="69" t="s">
        <v>5957</v>
      </c>
      <c r="B368" s="69" t="s">
        <v>5334</v>
      </c>
      <c r="C368" s="69" t="s">
        <v>5958</v>
      </c>
      <c r="D368" s="69" t="s">
        <v>4712</v>
      </c>
      <c r="E368" s="69" t="s">
        <v>5959</v>
      </c>
      <c r="F368" s="69" t="s">
        <v>4535</v>
      </c>
      <c r="G368" s="69">
        <v>46092</v>
      </c>
      <c r="H368" s="69" t="s">
        <v>5960</v>
      </c>
    </row>
    <row r="369" spans="1:8" ht="27" customHeight="1">
      <c r="A369" s="69" t="s">
        <v>5961</v>
      </c>
      <c r="B369" s="69" t="s">
        <v>5314</v>
      </c>
      <c r="C369" s="69" t="s">
        <v>5962</v>
      </c>
      <c r="D369" s="69" t="s">
        <v>4712</v>
      </c>
      <c r="E369" s="69" t="s">
        <v>5963</v>
      </c>
      <c r="F369" s="69" t="s">
        <v>4535</v>
      </c>
      <c r="G369" s="69">
        <v>46092</v>
      </c>
      <c r="H369" s="69" t="s">
        <v>5960</v>
      </c>
    </row>
    <row r="370" spans="1:8" ht="15" customHeight="1">
      <c r="A370" s="69" t="s">
        <v>5964</v>
      </c>
      <c r="B370" s="69" t="s">
        <v>5252</v>
      </c>
      <c r="C370" s="69" t="s">
        <v>5965</v>
      </c>
      <c r="D370" s="69" t="s">
        <v>4712</v>
      </c>
      <c r="E370" s="69" t="s">
        <v>5966</v>
      </c>
      <c r="F370" s="69" t="s">
        <v>4535</v>
      </c>
      <c r="G370" s="69">
        <v>46092</v>
      </c>
      <c r="H370" s="69" t="s">
        <v>3669</v>
      </c>
    </row>
    <row r="371" spans="1:8" ht="15" customHeight="1">
      <c r="A371" s="69" t="s">
        <v>5967</v>
      </c>
      <c r="B371" s="69" t="s">
        <v>5318</v>
      </c>
      <c r="C371" s="69" t="s">
        <v>5968</v>
      </c>
      <c r="D371" s="69" t="s">
        <v>4712</v>
      </c>
      <c r="E371" s="69" t="s">
        <v>5969</v>
      </c>
      <c r="F371" s="69" t="s">
        <v>4535</v>
      </c>
      <c r="G371" s="69">
        <v>46092</v>
      </c>
      <c r="H371" s="69" t="s">
        <v>5960</v>
      </c>
    </row>
    <row r="372" spans="1:8" ht="15" customHeight="1">
      <c r="A372" s="69" t="s">
        <v>5970</v>
      </c>
      <c r="B372" s="69" t="s">
        <v>5244</v>
      </c>
      <c r="C372" s="69" t="s">
        <v>5971</v>
      </c>
      <c r="D372" s="69" t="s">
        <v>4712</v>
      </c>
      <c r="E372" s="69" t="s">
        <v>5972</v>
      </c>
      <c r="F372" s="69" t="s">
        <v>4535</v>
      </c>
      <c r="G372" s="69">
        <v>46092</v>
      </c>
      <c r="H372" s="69" t="s">
        <v>3669</v>
      </c>
    </row>
    <row r="373" spans="1:8" ht="15" customHeight="1">
      <c r="A373" s="69" t="s">
        <v>5973</v>
      </c>
      <c r="B373" s="69" t="s">
        <v>5338</v>
      </c>
      <c r="C373" s="69" t="s">
        <v>5974</v>
      </c>
      <c r="D373" s="69" t="s">
        <v>4712</v>
      </c>
      <c r="E373" s="69" t="s">
        <v>5975</v>
      </c>
      <c r="F373" s="69" t="s">
        <v>4535</v>
      </c>
      <c r="G373" s="69">
        <v>46092</v>
      </c>
      <c r="H373" s="69" t="s">
        <v>5960</v>
      </c>
    </row>
    <row r="374" spans="1:8" ht="15" customHeight="1">
      <c r="A374" s="69" t="s">
        <v>5976</v>
      </c>
      <c r="B374" s="69" t="s">
        <v>5240</v>
      </c>
      <c r="C374" s="69" t="s">
        <v>5977</v>
      </c>
      <c r="D374" s="69" t="s">
        <v>4712</v>
      </c>
      <c r="E374" s="69" t="s">
        <v>5978</v>
      </c>
      <c r="F374" s="69" t="s">
        <v>4535</v>
      </c>
      <c r="G374" s="69">
        <v>46092</v>
      </c>
      <c r="H374" s="69" t="s">
        <v>3669</v>
      </c>
    </row>
    <row r="375" spans="1:8" ht="27" customHeight="1">
      <c r="A375" s="69" t="s">
        <v>5979</v>
      </c>
      <c r="B375" s="69" t="s">
        <v>5343</v>
      </c>
      <c r="C375" s="69" t="s">
        <v>5980</v>
      </c>
      <c r="D375" s="69" t="s">
        <v>5981</v>
      </c>
      <c r="E375" s="69" t="s">
        <v>5982</v>
      </c>
      <c r="F375" s="69" t="s">
        <v>4535</v>
      </c>
      <c r="G375" s="69">
        <v>46092</v>
      </c>
      <c r="H375" s="69" t="s">
        <v>5983</v>
      </c>
    </row>
    <row r="376" spans="1:8" ht="15" customHeight="1">
      <c r="A376" s="69"/>
      <c r="B376" s="69"/>
      <c r="C376" s="69"/>
      <c r="D376" s="69"/>
      <c r="E376" s="69"/>
      <c r="F376" s="69"/>
      <c r="G376" s="69"/>
      <c r="H376" s="69"/>
    </row>
    <row r="377" spans="1:8" ht="15" customHeight="1">
      <c r="A377" s="69"/>
      <c r="B377" s="69"/>
      <c r="C377" s="69"/>
      <c r="D377" s="69"/>
      <c r="E377" s="69"/>
      <c r="F377" s="69"/>
      <c r="G377" s="69"/>
      <c r="H377" s="69"/>
    </row>
    <row r="378" spans="1:8" ht="54" customHeight="1">
      <c r="A378" s="69" t="s">
        <v>5984</v>
      </c>
      <c r="B378" s="69"/>
      <c r="C378" s="69"/>
      <c r="D378" s="69"/>
      <c r="E378" s="69"/>
      <c r="F378" s="69"/>
      <c r="G378" s="69"/>
      <c r="H378" s="69"/>
    </row>
    <row r="379" spans="1:8" ht="27" customHeight="1">
      <c r="A379" s="69" t="s">
        <v>5578</v>
      </c>
      <c r="B379" s="69">
        <v>28</v>
      </c>
      <c r="C379" s="69" t="s">
        <v>4712</v>
      </c>
      <c r="D379" s="69">
        <v>27</v>
      </c>
      <c r="E379" s="69" t="s">
        <v>5985</v>
      </c>
      <c r="F379" s="69">
        <v>1</v>
      </c>
      <c r="G379" s="69"/>
      <c r="H379" s="69"/>
    </row>
    <row r="380" spans="1:8" ht="27" customHeight="1">
      <c r="A380" s="69" t="s">
        <v>5986</v>
      </c>
      <c r="B380" s="235">
        <v>0.96399999999999997</v>
      </c>
      <c r="C380" s="69" t="s">
        <v>5987</v>
      </c>
      <c r="D380" s="236">
        <v>1</v>
      </c>
      <c r="E380" s="69" t="s">
        <v>5988</v>
      </c>
      <c r="F380" s="69"/>
      <c r="G380" s="69"/>
      <c r="H380" s="69"/>
    </row>
    <row r="381" spans="1:8" ht="15" customHeight="1">
      <c r="A381" s="69"/>
      <c r="B381" s="69"/>
      <c r="C381" s="69"/>
      <c r="D381" s="69"/>
      <c r="E381" s="69"/>
      <c r="F381" s="69"/>
      <c r="G381" s="69"/>
      <c r="H381" s="69"/>
    </row>
    <row r="382" spans="1:8" ht="40.5" customHeight="1">
      <c r="A382" s="69" t="s">
        <v>5360</v>
      </c>
      <c r="B382" s="69"/>
      <c r="C382" s="69"/>
      <c r="D382" s="69"/>
      <c r="E382" s="69"/>
      <c r="F382" s="69"/>
      <c r="G382" s="69"/>
      <c r="H382" s="69"/>
    </row>
    <row r="383" spans="1:8" ht="15" customHeight="1">
      <c r="A383" s="69">
        <v>1</v>
      </c>
      <c r="B383" s="69" t="s">
        <v>5989</v>
      </c>
      <c r="C383" s="69" t="s">
        <v>5990</v>
      </c>
      <c r="D383" s="69"/>
      <c r="E383" s="69"/>
      <c r="F383" s="69"/>
      <c r="G383" s="69"/>
      <c r="H383" s="69"/>
    </row>
    <row r="384" spans="1:8" ht="40.5" customHeight="1">
      <c r="A384" s="69">
        <v>2</v>
      </c>
      <c r="B384" s="69" t="s">
        <v>5991</v>
      </c>
      <c r="C384" s="69" t="s">
        <v>5992</v>
      </c>
      <c r="D384" s="69"/>
      <c r="E384" s="69"/>
      <c r="F384" s="69"/>
      <c r="G384" s="69"/>
      <c r="H384" s="69"/>
    </row>
    <row r="385" spans="1:8" ht="40.5" customHeight="1">
      <c r="A385" s="69">
        <v>3</v>
      </c>
      <c r="B385" s="69" t="s">
        <v>5993</v>
      </c>
      <c r="C385" s="69" t="s">
        <v>5994</v>
      </c>
      <c r="D385" s="69"/>
      <c r="E385" s="69"/>
      <c r="F385" s="69"/>
      <c r="G385" s="69"/>
      <c r="H385" s="69"/>
    </row>
    <row r="386" spans="1:8" ht="40.5" customHeight="1">
      <c r="A386" s="69">
        <v>4</v>
      </c>
      <c r="B386" s="69" t="s">
        <v>5995</v>
      </c>
      <c r="C386" s="69" t="s">
        <v>5996</v>
      </c>
      <c r="D386" s="69"/>
      <c r="E386" s="69"/>
      <c r="F386" s="69"/>
      <c r="G386" s="69"/>
      <c r="H386" s="69"/>
    </row>
    <row r="387" spans="1:8" ht="27" customHeight="1">
      <c r="A387" s="69">
        <v>5</v>
      </c>
      <c r="B387" s="69" t="s">
        <v>5997</v>
      </c>
      <c r="C387" s="69" t="s">
        <v>5998</v>
      </c>
      <c r="D387" s="69"/>
      <c r="E387" s="69"/>
      <c r="F387" s="69"/>
      <c r="G387" s="69"/>
      <c r="H387" s="69"/>
    </row>
    <row r="388" spans="1:8" ht="54" customHeight="1">
      <c r="A388" s="69">
        <v>6</v>
      </c>
      <c r="B388" s="69" t="s">
        <v>5999</v>
      </c>
      <c r="C388" s="69" t="s">
        <v>6000</v>
      </c>
      <c r="D388" s="69"/>
      <c r="E388" s="69"/>
      <c r="F388" s="69"/>
      <c r="G388" s="69"/>
      <c r="H388" s="69"/>
    </row>
    <row r="389" spans="1:8" ht="27" customHeight="1">
      <c r="A389" s="69">
        <v>7</v>
      </c>
      <c r="B389" s="69" t="s">
        <v>6001</v>
      </c>
      <c r="C389" s="69" t="s">
        <v>6002</v>
      </c>
      <c r="D389" s="69"/>
      <c r="E389" s="69"/>
      <c r="F389" s="69"/>
      <c r="G389" s="69"/>
      <c r="H389" s="69"/>
    </row>
    <row r="390" spans="1:8" ht="15" customHeight="1">
      <c r="A390" s="69"/>
      <c r="B390" s="69"/>
      <c r="C390" s="69"/>
      <c r="D390" s="69"/>
      <c r="E390" s="69"/>
      <c r="F390" s="69"/>
      <c r="G390" s="69"/>
      <c r="H390" s="69"/>
    </row>
    <row r="391" spans="1:8" ht="15" customHeight="1">
      <c r="A391" s="69"/>
      <c r="B391" s="69"/>
      <c r="C391" s="69"/>
      <c r="D391" s="69"/>
      <c r="E391" s="69"/>
      <c r="F391" s="69"/>
      <c r="G391" s="69"/>
      <c r="H391" s="69"/>
    </row>
    <row r="392" spans="1:8" ht="121.5" customHeight="1">
      <c r="A392" s="69" t="s">
        <v>6003</v>
      </c>
      <c r="B392" s="69"/>
      <c r="C392" s="69"/>
      <c r="D392" s="69"/>
      <c r="E392" s="69"/>
      <c r="F392" s="69"/>
      <c r="G392" s="69"/>
      <c r="H392" s="69"/>
    </row>
    <row r="393" spans="1:8" ht="54" customHeight="1">
      <c r="A393" s="69" t="s">
        <v>6004</v>
      </c>
      <c r="B393" s="69" t="s">
        <v>6005</v>
      </c>
      <c r="C393" s="69" t="s">
        <v>6006</v>
      </c>
      <c r="D393" s="69" t="s">
        <v>6007</v>
      </c>
      <c r="E393" s="69" t="s">
        <v>6008</v>
      </c>
      <c r="F393" s="69" t="s">
        <v>4535</v>
      </c>
      <c r="G393" s="69">
        <v>46092</v>
      </c>
      <c r="H393" s="69" t="s">
        <v>6009</v>
      </c>
    </row>
    <row r="394" spans="1:8" ht="27" customHeight="1">
      <c r="A394" s="69" t="s">
        <v>6010</v>
      </c>
      <c r="B394" s="69" t="s">
        <v>6011</v>
      </c>
      <c r="C394" s="69" t="s">
        <v>6012</v>
      </c>
      <c r="D394" s="69" t="s">
        <v>6013</v>
      </c>
      <c r="E394" s="69" t="s">
        <v>6014</v>
      </c>
      <c r="F394" s="69" t="s">
        <v>4535</v>
      </c>
      <c r="G394" s="69">
        <v>46092</v>
      </c>
      <c r="H394" s="69" t="s">
        <v>3669</v>
      </c>
    </row>
    <row r="395" spans="1:8" ht="40.5" customHeight="1">
      <c r="A395" s="69" t="s">
        <v>6015</v>
      </c>
      <c r="B395" s="69" t="s">
        <v>6016</v>
      </c>
      <c r="C395" s="69" t="s">
        <v>6017</v>
      </c>
      <c r="D395" s="69" t="s">
        <v>6018</v>
      </c>
      <c r="E395" s="69" t="s">
        <v>6019</v>
      </c>
      <c r="F395" s="69" t="s">
        <v>4535</v>
      </c>
      <c r="G395" s="69">
        <v>46092</v>
      </c>
      <c r="H395" s="69" t="s">
        <v>6020</v>
      </c>
    </row>
    <row r="396" spans="1:8" ht="15" customHeight="1">
      <c r="A396" s="69"/>
      <c r="B396" s="69"/>
      <c r="C396" s="69"/>
      <c r="D396" s="69"/>
      <c r="E396" s="69"/>
      <c r="F396" s="69"/>
      <c r="G396" s="69"/>
      <c r="H396" s="69"/>
    </row>
    <row r="397" spans="1:8" ht="108" customHeight="1">
      <c r="A397" s="69" t="s">
        <v>6021</v>
      </c>
      <c r="B397" s="69"/>
      <c r="C397" s="69"/>
      <c r="D397" s="69"/>
      <c r="E397" s="69"/>
      <c r="F397" s="69"/>
      <c r="G397" s="69"/>
      <c r="H397" s="69"/>
    </row>
    <row r="398" spans="1:8" ht="40.5" customHeight="1">
      <c r="A398" s="69" t="s">
        <v>2375</v>
      </c>
      <c r="B398" s="69" t="s">
        <v>6022</v>
      </c>
      <c r="C398" s="69"/>
      <c r="D398" s="69"/>
      <c r="E398" s="69"/>
      <c r="F398" s="69"/>
      <c r="G398" s="69"/>
      <c r="H398" s="69"/>
    </row>
    <row r="399" spans="1:8" ht="27" customHeight="1">
      <c r="A399" s="69" t="s">
        <v>1257</v>
      </c>
      <c r="B399" s="69" t="s">
        <v>6023</v>
      </c>
      <c r="C399" s="69"/>
      <c r="D399" s="69"/>
      <c r="E399" s="69"/>
      <c r="F399" s="69"/>
      <c r="G399" s="69"/>
      <c r="H399" s="69"/>
    </row>
    <row r="400" spans="1:8" ht="40.5" customHeight="1">
      <c r="A400" s="69" t="s">
        <v>6024</v>
      </c>
      <c r="B400" s="69" t="s">
        <v>6025</v>
      </c>
      <c r="C400" s="69"/>
      <c r="D400" s="69"/>
      <c r="E400" s="69"/>
      <c r="F400" s="69"/>
      <c r="G400" s="69"/>
      <c r="H400" s="69"/>
    </row>
    <row r="401" spans="1:8" ht="54" customHeight="1">
      <c r="A401" s="69" t="s">
        <v>6026</v>
      </c>
      <c r="B401" s="69" t="s">
        <v>6027</v>
      </c>
      <c r="C401" s="69" t="s">
        <v>6028</v>
      </c>
      <c r="D401" s="69" t="s">
        <v>6029</v>
      </c>
      <c r="E401" s="69" t="s">
        <v>6030</v>
      </c>
      <c r="F401" s="69" t="s">
        <v>4535</v>
      </c>
      <c r="G401" s="69">
        <v>46092</v>
      </c>
      <c r="H401" s="69" t="s">
        <v>6031</v>
      </c>
    </row>
    <row r="402" spans="1:8" ht="15" customHeight="1">
      <c r="A402" s="69"/>
      <c r="B402" s="69"/>
      <c r="C402" s="69"/>
      <c r="D402" s="69"/>
      <c r="E402" s="69"/>
      <c r="F402" s="69"/>
      <c r="G402" s="69"/>
      <c r="H402" s="69"/>
    </row>
    <row r="403" spans="1:8" ht="67.5" customHeight="1">
      <c r="A403" s="69" t="s">
        <v>6032</v>
      </c>
      <c r="B403" s="69"/>
      <c r="C403" s="69"/>
      <c r="D403" s="69"/>
      <c r="E403" s="69"/>
      <c r="F403" s="69"/>
      <c r="G403" s="69"/>
      <c r="H403" s="69"/>
    </row>
    <row r="404" spans="1:8" ht="27" customHeight="1">
      <c r="A404" s="69" t="s">
        <v>6033</v>
      </c>
      <c r="B404" s="69" t="s">
        <v>6034</v>
      </c>
      <c r="C404" s="69"/>
      <c r="D404" s="69"/>
      <c r="E404" s="69"/>
      <c r="F404" s="69"/>
      <c r="G404" s="69"/>
      <c r="H404" s="69"/>
    </row>
    <row r="405" spans="1:8" ht="27" customHeight="1">
      <c r="A405" s="69" t="s">
        <v>6035</v>
      </c>
      <c r="B405" s="69" t="s">
        <v>6036</v>
      </c>
      <c r="C405" s="69"/>
      <c r="D405" s="69"/>
      <c r="E405" s="69"/>
      <c r="F405" s="69"/>
      <c r="G405" s="69"/>
      <c r="H405" s="69"/>
    </row>
    <row r="406" spans="1:8" ht="54" customHeight="1">
      <c r="A406" s="69" t="s">
        <v>2908</v>
      </c>
      <c r="B406" s="69" t="s">
        <v>6037</v>
      </c>
      <c r="C406" s="69"/>
      <c r="D406" s="69"/>
      <c r="E406" s="69"/>
      <c r="F406" s="69"/>
      <c r="G406" s="69"/>
      <c r="H406" s="69"/>
    </row>
    <row r="407" spans="1:8" ht="27" customHeight="1">
      <c r="A407" s="69" t="s">
        <v>6038</v>
      </c>
      <c r="B407" s="69" t="s">
        <v>6039</v>
      </c>
      <c r="C407" s="69" t="s">
        <v>6040</v>
      </c>
      <c r="D407" s="69" t="s">
        <v>6041</v>
      </c>
      <c r="E407" s="69" t="s">
        <v>6042</v>
      </c>
      <c r="F407" s="69" t="s">
        <v>4535</v>
      </c>
      <c r="G407" s="69">
        <v>46092</v>
      </c>
      <c r="H407" s="69" t="s">
        <v>6043</v>
      </c>
    </row>
    <row r="408" spans="1:8" ht="15" customHeight="1">
      <c r="A408" s="69"/>
      <c r="B408" s="69"/>
      <c r="C408" s="69"/>
      <c r="D408" s="69"/>
      <c r="E408" s="69"/>
      <c r="F408" s="69"/>
      <c r="G408" s="69"/>
      <c r="H408" s="69"/>
    </row>
    <row r="409" spans="1:8" ht="121.5" customHeight="1">
      <c r="A409" s="69" t="s">
        <v>6044</v>
      </c>
      <c r="B409" s="69"/>
      <c r="C409" s="69"/>
      <c r="D409" s="69"/>
      <c r="E409" s="69"/>
      <c r="F409" s="69"/>
      <c r="G409" s="69"/>
      <c r="H409" s="69"/>
    </row>
    <row r="410" spans="1:8" ht="54" customHeight="1">
      <c r="A410" s="69" t="s">
        <v>6045</v>
      </c>
      <c r="B410" s="69" t="s">
        <v>6046</v>
      </c>
      <c r="C410" s="69" t="s">
        <v>6047</v>
      </c>
      <c r="D410" s="69"/>
      <c r="E410" s="69"/>
      <c r="F410" s="69"/>
      <c r="G410" s="69"/>
      <c r="H410" s="69"/>
    </row>
    <row r="411" spans="1:8" ht="27" customHeight="1">
      <c r="A411" s="69" t="s">
        <v>6048</v>
      </c>
      <c r="B411" s="69" t="s">
        <v>6049</v>
      </c>
      <c r="C411" s="69" t="s">
        <v>6050</v>
      </c>
      <c r="D411" s="69"/>
      <c r="E411" s="69"/>
      <c r="F411" s="69"/>
      <c r="G411" s="69"/>
      <c r="H411" s="69"/>
    </row>
    <row r="412" spans="1:8" ht="40.5" customHeight="1">
      <c r="A412" s="69" t="s">
        <v>6051</v>
      </c>
      <c r="B412" s="69" t="s">
        <v>6052</v>
      </c>
      <c r="C412" s="69" t="s">
        <v>6053</v>
      </c>
      <c r="D412" s="69"/>
      <c r="E412" s="69"/>
      <c r="F412" s="69"/>
      <c r="G412" s="69"/>
      <c r="H412" s="69"/>
    </row>
    <row r="413" spans="1:8" ht="15" customHeight="1">
      <c r="A413" s="69"/>
      <c r="B413" s="69"/>
      <c r="C413" s="69"/>
      <c r="D413" s="69"/>
      <c r="E413" s="69"/>
      <c r="F413" s="69"/>
      <c r="G413" s="69"/>
      <c r="H413" s="69"/>
    </row>
    <row r="414" spans="1:8" ht="81" customHeight="1">
      <c r="A414" s="69" t="s">
        <v>6054</v>
      </c>
      <c r="B414" s="69" t="s">
        <v>6055</v>
      </c>
      <c r="C414" s="69"/>
      <c r="D414" s="69"/>
      <c r="E414" s="69"/>
      <c r="F414" s="69"/>
      <c r="G414" s="69"/>
      <c r="H414" s="69"/>
    </row>
    <row r="415" spans="1:8" ht="27" customHeight="1">
      <c r="A415" s="69" t="s">
        <v>6056</v>
      </c>
      <c r="B415" s="69" t="s">
        <v>6057</v>
      </c>
      <c r="C415" s="69" t="s">
        <v>6058</v>
      </c>
      <c r="D415" s="69" t="s">
        <v>3031</v>
      </c>
      <c r="E415" s="69" t="s">
        <v>6059</v>
      </c>
      <c r="F415" s="69" t="s">
        <v>4535</v>
      </c>
      <c r="G415" s="69">
        <v>46092</v>
      </c>
      <c r="H415" s="69" t="s">
        <v>6060</v>
      </c>
    </row>
    <row r="416" spans="1:8" ht="27" customHeight="1">
      <c r="A416" s="69" t="s">
        <v>6061</v>
      </c>
      <c r="B416" s="69" t="s">
        <v>6062</v>
      </c>
      <c r="C416" s="69" t="s">
        <v>6063</v>
      </c>
      <c r="D416" s="69" t="s">
        <v>3078</v>
      </c>
      <c r="E416" s="69" t="s">
        <v>6064</v>
      </c>
      <c r="F416" s="69" t="s">
        <v>4535</v>
      </c>
      <c r="G416" s="69">
        <v>46092</v>
      </c>
      <c r="H416" s="69" t="s">
        <v>3669</v>
      </c>
    </row>
    <row r="417" spans="1:8" ht="15" customHeight="1">
      <c r="A417" s="69"/>
      <c r="B417" s="69"/>
      <c r="C417" s="69"/>
      <c r="D417" s="69"/>
      <c r="E417" s="69"/>
      <c r="F417" s="69"/>
      <c r="G417" s="69"/>
      <c r="H417" s="69"/>
    </row>
    <row r="418" spans="1:8" ht="54" customHeight="1">
      <c r="A418" s="69" t="s">
        <v>6065</v>
      </c>
      <c r="B418" s="69"/>
      <c r="C418" s="69"/>
      <c r="D418" s="69"/>
      <c r="E418" s="69"/>
      <c r="F418" s="69"/>
      <c r="G418" s="69"/>
      <c r="H418" s="69"/>
    </row>
    <row r="419" spans="1:8" ht="27" customHeight="1">
      <c r="A419" s="69" t="s">
        <v>6066</v>
      </c>
      <c r="B419" s="69" t="s">
        <v>6067</v>
      </c>
      <c r="C419" s="69"/>
      <c r="D419" s="69"/>
      <c r="E419" s="69"/>
      <c r="F419" s="69"/>
      <c r="G419" s="69"/>
      <c r="H419" s="69"/>
    </row>
    <row r="420" spans="1:8" ht="27" customHeight="1">
      <c r="A420" s="69" t="s">
        <v>6068</v>
      </c>
      <c r="B420" s="69" t="s">
        <v>6069</v>
      </c>
      <c r="C420" s="69"/>
      <c r="D420" s="69"/>
      <c r="E420" s="69"/>
      <c r="F420" s="69"/>
      <c r="G420" s="69"/>
      <c r="H420" s="69"/>
    </row>
    <row r="421" spans="1:8" ht="40.5" customHeight="1">
      <c r="A421" s="69" t="s">
        <v>2375</v>
      </c>
      <c r="B421" s="69" t="s">
        <v>6070</v>
      </c>
      <c r="C421" s="69"/>
      <c r="D421" s="69"/>
      <c r="E421" s="69"/>
      <c r="F421" s="69"/>
      <c r="G421" s="69"/>
      <c r="H421" s="69"/>
    </row>
    <row r="422" spans="1:8" ht="15" customHeight="1">
      <c r="A422" s="69" t="s">
        <v>259</v>
      </c>
      <c r="B422" s="69" t="s">
        <v>6071</v>
      </c>
      <c r="C422" s="69"/>
      <c r="D422" s="69"/>
      <c r="E422" s="69"/>
      <c r="F422" s="69"/>
      <c r="G422" s="69"/>
      <c r="H422" s="69"/>
    </row>
    <row r="423" spans="1:8" ht="40.5" customHeight="1">
      <c r="A423" s="69" t="s">
        <v>6072</v>
      </c>
      <c r="B423" s="69" t="s">
        <v>6073</v>
      </c>
      <c r="C423" s="69" t="s">
        <v>6074</v>
      </c>
      <c r="D423" s="69" t="s">
        <v>6075</v>
      </c>
      <c r="E423" s="69" t="s">
        <v>6076</v>
      </c>
      <c r="F423" s="69" t="s">
        <v>4535</v>
      </c>
      <c r="G423" s="69">
        <v>46092</v>
      </c>
      <c r="H423" s="69" t="s">
        <v>6077</v>
      </c>
    </row>
    <row r="424" spans="1:8" ht="15" customHeight="1">
      <c r="A424" s="69"/>
      <c r="B424" s="69"/>
      <c r="C424" s="69"/>
      <c r="D424" s="69"/>
      <c r="E424" s="69"/>
      <c r="F424" s="69"/>
      <c r="G424" s="69"/>
      <c r="H424" s="69"/>
    </row>
    <row r="425" spans="1:8" ht="67.5" customHeight="1">
      <c r="A425" s="69" t="s">
        <v>6078</v>
      </c>
      <c r="B425" s="69"/>
      <c r="C425" s="69"/>
      <c r="D425" s="69"/>
      <c r="E425" s="69"/>
      <c r="F425" s="69"/>
      <c r="G425" s="69"/>
      <c r="H425" s="69"/>
    </row>
    <row r="426" spans="1:8" ht="27" customHeight="1">
      <c r="A426" s="69" t="s">
        <v>6079</v>
      </c>
      <c r="B426" s="69" t="s">
        <v>6080</v>
      </c>
      <c r="C426" s="69"/>
      <c r="D426" s="69"/>
      <c r="E426" s="69"/>
      <c r="F426" s="69"/>
      <c r="G426" s="69"/>
      <c r="H426" s="69"/>
    </row>
    <row r="427" spans="1:8" ht="27" customHeight="1">
      <c r="A427" s="69" t="s">
        <v>6081</v>
      </c>
      <c r="B427" s="69" t="s">
        <v>6082</v>
      </c>
      <c r="C427" s="69"/>
      <c r="D427" s="69"/>
      <c r="E427" s="69"/>
      <c r="F427" s="69"/>
      <c r="G427" s="69"/>
      <c r="H427" s="69"/>
    </row>
    <row r="428" spans="1:8" ht="40.5" customHeight="1">
      <c r="A428" s="69" t="s">
        <v>6083</v>
      </c>
      <c r="B428" s="69" t="s">
        <v>6084</v>
      </c>
      <c r="C428" s="69"/>
      <c r="D428" s="69"/>
      <c r="E428" s="69"/>
      <c r="F428" s="69"/>
      <c r="G428" s="69"/>
      <c r="H428" s="69"/>
    </row>
    <row r="429" spans="1:8" ht="27" customHeight="1">
      <c r="A429" s="69" t="s">
        <v>6085</v>
      </c>
      <c r="B429" s="69" t="s">
        <v>6086</v>
      </c>
      <c r="C429" s="69" t="s">
        <v>6087</v>
      </c>
      <c r="D429" s="69" t="s">
        <v>6088</v>
      </c>
      <c r="E429" s="69" t="s">
        <v>6089</v>
      </c>
      <c r="F429" s="69" t="s">
        <v>4535</v>
      </c>
      <c r="G429" s="69">
        <v>46092</v>
      </c>
      <c r="H429" s="69" t="s">
        <v>6090</v>
      </c>
    </row>
    <row r="430" spans="1:8" ht="15" customHeight="1">
      <c r="A430" s="69"/>
      <c r="B430" s="69"/>
      <c r="C430" s="69"/>
      <c r="D430" s="69"/>
      <c r="E430" s="69"/>
      <c r="F430" s="69"/>
      <c r="G430" s="69"/>
      <c r="H430" s="69"/>
    </row>
    <row r="431" spans="1:8" ht="189" customHeight="1">
      <c r="A431" s="69" t="s">
        <v>6091</v>
      </c>
      <c r="B431" s="69"/>
      <c r="C431" s="69"/>
      <c r="D431" s="69"/>
      <c r="E431" s="69"/>
      <c r="F431" s="69"/>
      <c r="G431" s="69"/>
      <c r="H431" s="69"/>
    </row>
    <row r="432" spans="1:8" ht="94.5" customHeight="1">
      <c r="A432" s="90" t="s">
        <v>6092</v>
      </c>
      <c r="B432" s="69"/>
      <c r="C432" s="69"/>
      <c r="D432" s="69"/>
      <c r="E432" s="69"/>
      <c r="F432" s="69"/>
      <c r="G432" s="69"/>
      <c r="H432" s="69"/>
    </row>
    <row r="433" spans="1:8" ht="15" customHeight="1">
      <c r="A433" s="69" t="s">
        <v>6093</v>
      </c>
      <c r="B433" s="69" t="s">
        <v>6094</v>
      </c>
      <c r="C433" s="69" t="s">
        <v>6095</v>
      </c>
      <c r="D433" s="69" t="s">
        <v>4712</v>
      </c>
      <c r="E433" s="69" t="s">
        <v>6096</v>
      </c>
      <c r="F433" s="69" t="s">
        <v>4535</v>
      </c>
      <c r="G433" s="69">
        <v>46092</v>
      </c>
      <c r="H433" s="69" t="s">
        <v>6097</v>
      </c>
    </row>
    <row r="434" spans="1:8" ht="15" customHeight="1">
      <c r="A434" s="69" t="s">
        <v>6098</v>
      </c>
      <c r="B434" s="69" t="s">
        <v>6099</v>
      </c>
      <c r="C434" s="69" t="s">
        <v>6100</v>
      </c>
      <c r="D434" s="69" t="s">
        <v>4712</v>
      </c>
      <c r="E434" s="69" t="s">
        <v>6101</v>
      </c>
      <c r="F434" s="69" t="s">
        <v>4535</v>
      </c>
      <c r="G434" s="69">
        <v>46092</v>
      </c>
      <c r="H434" s="69" t="s">
        <v>3669</v>
      </c>
    </row>
    <row r="435" spans="1:8" ht="15" customHeight="1">
      <c r="A435" s="69" t="s">
        <v>6102</v>
      </c>
      <c r="B435" s="69" t="s">
        <v>6103</v>
      </c>
      <c r="C435" s="69" t="s">
        <v>6104</v>
      </c>
      <c r="D435" s="69" t="s">
        <v>4712</v>
      </c>
      <c r="E435" s="69" t="s">
        <v>6105</v>
      </c>
      <c r="F435" s="69" t="s">
        <v>4535</v>
      </c>
      <c r="G435" s="69">
        <v>46092</v>
      </c>
      <c r="H435" s="69" t="s">
        <v>3669</v>
      </c>
    </row>
    <row r="436" spans="1:8" ht="15" customHeight="1">
      <c r="A436" s="69" t="s">
        <v>6106</v>
      </c>
      <c r="B436" s="69" t="s">
        <v>6107</v>
      </c>
      <c r="C436" s="69" t="s">
        <v>6108</v>
      </c>
      <c r="D436" s="69" t="s">
        <v>4712</v>
      </c>
      <c r="E436" s="69" t="s">
        <v>6109</v>
      </c>
      <c r="F436" s="69" t="s">
        <v>4535</v>
      </c>
      <c r="G436" s="69">
        <v>46092</v>
      </c>
      <c r="H436" s="69" t="s">
        <v>3669</v>
      </c>
    </row>
    <row r="437" spans="1:8" ht="15" customHeight="1">
      <c r="A437" s="69" t="s">
        <v>6110</v>
      </c>
      <c r="B437" s="69" t="s">
        <v>6111</v>
      </c>
      <c r="C437" s="69" t="s">
        <v>6112</v>
      </c>
      <c r="D437" s="69" t="s">
        <v>6113</v>
      </c>
      <c r="E437" s="69" t="s">
        <v>6114</v>
      </c>
      <c r="F437" s="69" t="s">
        <v>4535</v>
      </c>
      <c r="G437" s="69">
        <v>46092</v>
      </c>
      <c r="H437" s="69" t="s">
        <v>3669</v>
      </c>
    </row>
    <row r="438" spans="1:8" ht="15" customHeight="1">
      <c r="A438" s="69" t="s">
        <v>6115</v>
      </c>
      <c r="B438" s="69" t="s">
        <v>6116</v>
      </c>
      <c r="C438" s="69" t="s">
        <v>6117</v>
      </c>
      <c r="D438" s="69" t="s">
        <v>6113</v>
      </c>
      <c r="E438" s="69" t="s">
        <v>6114</v>
      </c>
      <c r="F438" s="69" t="s">
        <v>4535</v>
      </c>
      <c r="G438" s="69">
        <v>46092</v>
      </c>
      <c r="H438" s="69" t="s">
        <v>3669</v>
      </c>
    </row>
    <row r="439" spans="1:8" ht="15" customHeight="1">
      <c r="A439" s="69" t="s">
        <v>6118</v>
      </c>
      <c r="B439" s="69" t="s">
        <v>6119</v>
      </c>
      <c r="C439" s="69" t="s">
        <v>6120</v>
      </c>
      <c r="D439" s="69" t="s">
        <v>6113</v>
      </c>
      <c r="E439" s="69" t="s">
        <v>6114</v>
      </c>
      <c r="F439" s="69" t="s">
        <v>4535</v>
      </c>
      <c r="G439" s="69">
        <v>46092</v>
      </c>
      <c r="H439" s="69" t="s">
        <v>3669</v>
      </c>
    </row>
    <row r="440" spans="1:8" ht="15" customHeight="1">
      <c r="A440" s="69" t="s">
        <v>6121</v>
      </c>
      <c r="B440" s="69" t="s">
        <v>6122</v>
      </c>
      <c r="C440" s="69" t="s">
        <v>6123</v>
      </c>
      <c r="D440" s="69" t="s">
        <v>6113</v>
      </c>
      <c r="E440" s="69" t="s">
        <v>6114</v>
      </c>
      <c r="F440" s="69" t="s">
        <v>4535</v>
      </c>
      <c r="G440" s="69">
        <v>46092</v>
      </c>
      <c r="H440" s="69" t="s">
        <v>3669</v>
      </c>
    </row>
    <row r="441" spans="1:8" ht="15" customHeight="1">
      <c r="A441" s="69" t="s">
        <v>6124</v>
      </c>
      <c r="B441" s="69" t="s">
        <v>6125</v>
      </c>
      <c r="C441" s="69" t="s">
        <v>6126</v>
      </c>
      <c r="D441" s="69" t="s">
        <v>6088</v>
      </c>
      <c r="E441" s="69" t="s">
        <v>6127</v>
      </c>
      <c r="F441" s="69" t="s">
        <v>4535</v>
      </c>
      <c r="G441" s="69">
        <v>46092</v>
      </c>
      <c r="H441" s="69" t="s">
        <v>3669</v>
      </c>
    </row>
    <row r="442" spans="1:8" ht="15" customHeight="1">
      <c r="A442" s="69" t="s">
        <v>6128</v>
      </c>
      <c r="B442" s="69" t="s">
        <v>6129</v>
      </c>
      <c r="C442" s="69" t="s">
        <v>6130</v>
      </c>
      <c r="D442" s="69" t="s">
        <v>6088</v>
      </c>
      <c r="E442" s="69" t="s">
        <v>6131</v>
      </c>
      <c r="F442" s="69" t="s">
        <v>4535</v>
      </c>
      <c r="G442" s="69">
        <v>46092</v>
      </c>
      <c r="H442" s="69" t="s">
        <v>3669</v>
      </c>
    </row>
    <row r="443" spans="1:8" ht="15" customHeight="1">
      <c r="A443" s="69" t="s">
        <v>6132</v>
      </c>
      <c r="B443" s="69" t="s">
        <v>6133</v>
      </c>
      <c r="C443" s="69" t="s">
        <v>6134</v>
      </c>
      <c r="D443" s="69" t="s">
        <v>6088</v>
      </c>
      <c r="E443" s="69" t="s">
        <v>6135</v>
      </c>
      <c r="F443" s="69" t="s">
        <v>4535</v>
      </c>
      <c r="G443" s="69">
        <v>46092</v>
      </c>
      <c r="H443" s="69" t="s">
        <v>3669</v>
      </c>
    </row>
    <row r="444" spans="1:8" ht="15" customHeight="1">
      <c r="A444" s="69" t="s">
        <v>6136</v>
      </c>
      <c r="B444" s="69" t="s">
        <v>6137</v>
      </c>
      <c r="C444" s="69" t="s">
        <v>6138</v>
      </c>
      <c r="D444" s="69" t="s">
        <v>6088</v>
      </c>
      <c r="E444" s="69" t="s">
        <v>6139</v>
      </c>
      <c r="F444" s="69" t="s">
        <v>4535</v>
      </c>
      <c r="G444" s="69">
        <v>46092</v>
      </c>
      <c r="H444" s="69" t="s">
        <v>3669</v>
      </c>
    </row>
    <row r="445" spans="1:8" ht="15" customHeight="1">
      <c r="A445" s="69" t="s">
        <v>6140</v>
      </c>
      <c r="B445" s="69" t="s">
        <v>6141</v>
      </c>
      <c r="C445" s="69" t="s">
        <v>6142</v>
      </c>
      <c r="D445" s="69" t="s">
        <v>6088</v>
      </c>
      <c r="E445" s="69" t="s">
        <v>6143</v>
      </c>
      <c r="F445" s="69" t="s">
        <v>4535</v>
      </c>
      <c r="G445" s="69">
        <v>46092</v>
      </c>
      <c r="H445" s="69" t="s">
        <v>3669</v>
      </c>
    </row>
    <row r="446" spans="1:8" ht="15" customHeight="1">
      <c r="A446" s="69" t="s">
        <v>6144</v>
      </c>
      <c r="B446" s="69" t="s">
        <v>6145</v>
      </c>
      <c r="C446" s="69" t="s">
        <v>6146</v>
      </c>
      <c r="D446" s="69" t="s">
        <v>6147</v>
      </c>
      <c r="E446" s="69" t="s">
        <v>6148</v>
      </c>
      <c r="F446" s="69" t="s">
        <v>4535</v>
      </c>
      <c r="G446" s="69">
        <v>46092</v>
      </c>
      <c r="H446" s="69" t="s">
        <v>388</v>
      </c>
    </row>
    <row r="447" spans="1:8" ht="15" customHeight="1">
      <c r="A447" s="69"/>
      <c r="B447" s="69"/>
      <c r="C447" s="69"/>
      <c r="D447" s="69"/>
      <c r="E447" s="69"/>
      <c r="F447" s="69"/>
      <c r="G447" s="69"/>
      <c r="H447" s="69"/>
    </row>
    <row r="448" spans="1:8" ht="67.5" customHeight="1">
      <c r="A448" s="90" t="s">
        <v>6149</v>
      </c>
      <c r="B448" s="69"/>
      <c r="C448" s="69"/>
      <c r="D448" s="69"/>
      <c r="E448" s="69"/>
      <c r="F448" s="69"/>
      <c r="G448" s="69"/>
      <c r="H448" s="69"/>
    </row>
    <row r="449" spans="1:8" ht="15" customHeight="1">
      <c r="A449" s="69" t="s">
        <v>1528</v>
      </c>
      <c r="B449" s="69" t="s">
        <v>6150</v>
      </c>
      <c r="C449" s="69"/>
      <c r="D449" s="69"/>
      <c r="E449" s="69"/>
      <c r="F449" s="69"/>
      <c r="G449" s="69"/>
      <c r="H449" s="69"/>
    </row>
    <row r="450" spans="1:8" ht="15" customHeight="1">
      <c r="A450" s="69" t="s">
        <v>3601</v>
      </c>
      <c r="B450" s="69" t="s">
        <v>6151</v>
      </c>
      <c r="C450" s="69"/>
      <c r="D450" s="69"/>
      <c r="E450" s="69"/>
      <c r="F450" s="69"/>
      <c r="G450" s="69"/>
      <c r="H450" s="69"/>
    </row>
    <row r="451" spans="1:8" ht="15" customHeight="1">
      <c r="A451" s="69" t="s">
        <v>2388</v>
      </c>
      <c r="B451" s="69" t="s">
        <v>6152</v>
      </c>
      <c r="C451" s="69"/>
      <c r="D451" s="69"/>
      <c r="E451" s="69"/>
      <c r="F451" s="69"/>
      <c r="G451" s="69"/>
      <c r="H451" s="69"/>
    </row>
    <row r="452" spans="1:8" ht="15" customHeight="1">
      <c r="A452" s="69"/>
      <c r="B452" s="69"/>
      <c r="C452" s="69"/>
      <c r="D452" s="69"/>
      <c r="E452" s="69"/>
      <c r="F452" s="69"/>
      <c r="G452" s="69"/>
      <c r="H452" s="69"/>
    </row>
    <row r="453" spans="1:8" ht="81" customHeight="1">
      <c r="A453" s="69" t="s">
        <v>6153</v>
      </c>
      <c r="B453" s="69"/>
      <c r="C453" s="69"/>
      <c r="D453" s="69"/>
      <c r="E453" s="69"/>
      <c r="F453" s="69"/>
      <c r="G453" s="69"/>
      <c r="H453" s="69"/>
    </row>
    <row r="454" spans="1:8" ht="15" customHeight="1">
      <c r="A454" s="69"/>
      <c r="B454" s="69"/>
      <c r="C454" s="69"/>
      <c r="D454" s="69"/>
      <c r="E454" s="69"/>
      <c r="F454" s="69"/>
      <c r="G454" s="69"/>
      <c r="H454" s="69"/>
    </row>
    <row r="455" spans="1:8" ht="54" customHeight="1">
      <c r="A455" s="90" t="s">
        <v>6154</v>
      </c>
      <c r="B455" s="69"/>
      <c r="C455" s="69"/>
      <c r="D455" s="69"/>
      <c r="E455" s="69"/>
      <c r="F455" s="69"/>
      <c r="G455" s="69"/>
      <c r="H455" s="69"/>
    </row>
    <row r="456" spans="1:8" ht="15" customHeight="1">
      <c r="A456" s="69" t="s">
        <v>6155</v>
      </c>
      <c r="B456" s="69" t="s">
        <v>6156</v>
      </c>
      <c r="C456" s="69" t="s">
        <v>6157</v>
      </c>
      <c r="D456" s="69" t="s">
        <v>3750</v>
      </c>
      <c r="E456" s="69" t="s">
        <v>6158</v>
      </c>
      <c r="F456" s="69" t="s">
        <v>4535</v>
      </c>
      <c r="G456" s="69">
        <v>46092</v>
      </c>
      <c r="H456" s="69" t="s">
        <v>3669</v>
      </c>
    </row>
    <row r="457" spans="1:8" ht="15" customHeight="1">
      <c r="A457" s="69" t="s">
        <v>6159</v>
      </c>
      <c r="B457" s="69" t="s">
        <v>6160</v>
      </c>
      <c r="C457" s="69" t="s">
        <v>6161</v>
      </c>
      <c r="D457" s="69" t="s">
        <v>6162</v>
      </c>
      <c r="E457" s="69" t="s">
        <v>6163</v>
      </c>
      <c r="F457" s="69" t="s">
        <v>4535</v>
      </c>
      <c r="G457" s="69">
        <v>46092</v>
      </c>
      <c r="H457" s="69" t="s">
        <v>6164</v>
      </c>
    </row>
    <row r="458" spans="1:8" ht="15" customHeight="1">
      <c r="A458" s="69" t="s">
        <v>6165</v>
      </c>
      <c r="B458" s="69" t="s">
        <v>6166</v>
      </c>
      <c r="C458" s="69" t="s">
        <v>6167</v>
      </c>
      <c r="D458" s="69" t="s">
        <v>6168</v>
      </c>
      <c r="E458" s="69" t="s">
        <v>6169</v>
      </c>
      <c r="F458" s="69" t="s">
        <v>4535</v>
      </c>
      <c r="G458" s="69">
        <v>46092</v>
      </c>
      <c r="H458" s="69" t="s">
        <v>501</v>
      </c>
    </row>
    <row r="459" spans="1:8" ht="15" customHeight="1">
      <c r="A459" s="69" t="s">
        <v>6170</v>
      </c>
      <c r="B459" s="69" t="s">
        <v>6171</v>
      </c>
      <c r="C459" s="69" t="s">
        <v>6172</v>
      </c>
      <c r="D459" s="69" t="s">
        <v>6168</v>
      </c>
      <c r="E459" s="69" t="s">
        <v>6173</v>
      </c>
      <c r="F459" s="69" t="s">
        <v>4535</v>
      </c>
      <c r="G459" s="69">
        <v>46092</v>
      </c>
      <c r="H459" s="69" t="s">
        <v>501</v>
      </c>
    </row>
    <row r="460" spans="1:8" ht="15" customHeight="1">
      <c r="A460" s="69"/>
      <c r="B460" s="69"/>
      <c r="C460" s="69"/>
      <c r="D460" s="69"/>
      <c r="E460" s="69"/>
      <c r="F460" s="69"/>
      <c r="G460" s="69"/>
      <c r="H460" s="69"/>
    </row>
    <row r="461" spans="1:8" ht="54" customHeight="1">
      <c r="A461" s="90" t="s">
        <v>6174</v>
      </c>
      <c r="B461" s="69"/>
      <c r="C461" s="69"/>
      <c r="D461" s="69"/>
      <c r="E461" s="69"/>
      <c r="F461" s="69"/>
      <c r="G461" s="69"/>
      <c r="H461" s="69"/>
    </row>
    <row r="462" spans="1:8" ht="229.5" customHeight="1">
      <c r="A462" s="69" t="s">
        <v>6175</v>
      </c>
      <c r="B462" s="69"/>
      <c r="C462" s="69"/>
      <c r="D462" s="69"/>
      <c r="E462" s="69"/>
      <c r="F462" s="69"/>
      <c r="G462" s="69"/>
      <c r="H462" s="69"/>
    </row>
    <row r="463" spans="1:8" ht="15" customHeight="1">
      <c r="A463" s="69" t="s">
        <v>6176</v>
      </c>
      <c r="B463" s="69" t="s">
        <v>6177</v>
      </c>
      <c r="C463" s="69" t="s">
        <v>6178</v>
      </c>
      <c r="D463" s="69" t="s">
        <v>3031</v>
      </c>
      <c r="E463" s="69" t="s">
        <v>6179</v>
      </c>
      <c r="F463" s="69" t="s">
        <v>4535</v>
      </c>
      <c r="G463" s="69">
        <v>46092</v>
      </c>
      <c r="H463" s="69" t="s">
        <v>3669</v>
      </c>
    </row>
    <row r="464" spans="1:8" ht="15" customHeight="1">
      <c r="A464" s="69" t="s">
        <v>6180</v>
      </c>
      <c r="B464" s="69" t="s">
        <v>6181</v>
      </c>
      <c r="C464" s="69" t="s">
        <v>6182</v>
      </c>
      <c r="D464" s="69" t="s">
        <v>3031</v>
      </c>
      <c r="E464" s="69" t="s">
        <v>6183</v>
      </c>
      <c r="F464" s="69" t="s">
        <v>4535</v>
      </c>
      <c r="G464" s="69">
        <v>46092</v>
      </c>
      <c r="H464" s="69" t="s">
        <v>3669</v>
      </c>
    </row>
    <row r="465" spans="1:8" ht="15" customHeight="1">
      <c r="A465" s="69"/>
      <c r="B465" s="69"/>
      <c r="C465" s="69"/>
      <c r="D465" s="69"/>
      <c r="E465" s="69"/>
      <c r="F465" s="69"/>
      <c r="G465" s="69"/>
      <c r="H465" s="69"/>
    </row>
    <row r="466" spans="1:8" ht="40.5" customHeight="1">
      <c r="A466" s="90" t="s">
        <v>6184</v>
      </c>
      <c r="B466" s="69"/>
      <c r="C466" s="69"/>
      <c r="D466" s="69"/>
      <c r="E466" s="69"/>
      <c r="F466" s="69"/>
      <c r="G466" s="69"/>
      <c r="H466" s="69"/>
    </row>
    <row r="467" spans="1:8" ht="27" customHeight="1">
      <c r="A467" s="69" t="s">
        <v>6185</v>
      </c>
      <c r="B467" s="69" t="s">
        <v>6186</v>
      </c>
      <c r="C467" s="69"/>
      <c r="D467" s="69"/>
      <c r="E467" s="69"/>
      <c r="F467" s="69"/>
      <c r="G467" s="69"/>
      <c r="H467" s="69"/>
    </row>
    <row r="468" spans="1:8" ht="27" customHeight="1">
      <c r="A468" s="69" t="s">
        <v>6187</v>
      </c>
      <c r="B468" s="69" t="s">
        <v>6188</v>
      </c>
      <c r="C468" s="69"/>
      <c r="D468" s="69"/>
      <c r="E468" s="69"/>
      <c r="F468" s="69"/>
      <c r="G468" s="69"/>
      <c r="H468" s="69"/>
    </row>
    <row r="469" spans="1:8" ht="15" customHeight="1">
      <c r="A469" s="69" t="s">
        <v>6189</v>
      </c>
      <c r="B469" s="69" t="s">
        <v>6190</v>
      </c>
      <c r="C469" s="69"/>
      <c r="D469" s="69"/>
      <c r="E469" s="69"/>
      <c r="F469" s="69"/>
      <c r="G469" s="69"/>
      <c r="H469" s="69"/>
    </row>
    <row r="470" spans="1:8" ht="27" customHeight="1">
      <c r="A470" s="69" t="s">
        <v>6191</v>
      </c>
      <c r="B470" s="69" t="s">
        <v>6192</v>
      </c>
      <c r="C470" s="69"/>
      <c r="D470" s="69"/>
      <c r="E470" s="69"/>
      <c r="F470" s="69"/>
      <c r="G470" s="69"/>
      <c r="H470" s="69"/>
    </row>
    <row r="471" spans="1:8" ht="15" customHeight="1">
      <c r="A471" s="69" t="s">
        <v>5388</v>
      </c>
      <c r="B471" s="237" t="s">
        <v>6193</v>
      </c>
      <c r="C471" s="69"/>
      <c r="D471" s="69"/>
      <c r="E471" s="69"/>
      <c r="F471" s="69"/>
      <c r="G471" s="69"/>
      <c r="H471" s="69"/>
    </row>
    <row r="472" spans="1:8" ht="15" customHeight="1">
      <c r="A472" s="69" t="s">
        <v>6194</v>
      </c>
      <c r="B472" s="69" t="s">
        <v>6195</v>
      </c>
      <c r="C472" s="69" t="s">
        <v>6196</v>
      </c>
      <c r="D472" s="69" t="s">
        <v>3031</v>
      </c>
      <c r="E472" s="69" t="s">
        <v>6197</v>
      </c>
      <c r="F472" s="69" t="s">
        <v>4535</v>
      </c>
      <c r="G472" s="69">
        <v>46092</v>
      </c>
      <c r="H472" s="69" t="s">
        <v>6198</v>
      </c>
    </row>
    <row r="473" spans="1:8" ht="15" customHeight="1">
      <c r="A473" s="69"/>
      <c r="B473" s="69"/>
      <c r="C473" s="69"/>
      <c r="D473" s="69"/>
      <c r="E473" s="69"/>
      <c r="F473" s="69"/>
      <c r="G473" s="69"/>
      <c r="H473" s="69"/>
    </row>
    <row r="474" spans="1:8" ht="54" customHeight="1">
      <c r="A474" s="90" t="s">
        <v>6199</v>
      </c>
      <c r="B474" s="69"/>
      <c r="C474" s="69"/>
      <c r="D474" s="69"/>
      <c r="E474" s="69"/>
      <c r="F474" s="69"/>
      <c r="G474" s="69"/>
      <c r="H474" s="69"/>
    </row>
    <row r="475" spans="1:8" ht="15" customHeight="1">
      <c r="A475" s="69">
        <v>1</v>
      </c>
      <c r="B475" s="69" t="s">
        <v>6200</v>
      </c>
      <c r="C475" s="69"/>
      <c r="D475" s="69"/>
      <c r="E475" s="69"/>
      <c r="F475" s="69"/>
      <c r="G475" s="69"/>
      <c r="H475" s="69"/>
    </row>
    <row r="476" spans="1:8" ht="15" customHeight="1">
      <c r="A476" s="69">
        <v>2</v>
      </c>
      <c r="B476" s="237" t="s">
        <v>6201</v>
      </c>
      <c r="C476" s="69"/>
      <c r="D476" s="69"/>
      <c r="E476" s="69"/>
      <c r="F476" s="69"/>
      <c r="G476" s="69"/>
      <c r="H476" s="69"/>
    </row>
    <row r="477" spans="1:8" ht="15" customHeight="1">
      <c r="A477" s="69">
        <v>3</v>
      </c>
      <c r="B477" s="69" t="s">
        <v>6202</v>
      </c>
      <c r="C477" s="69"/>
      <c r="D477" s="69"/>
      <c r="E477" s="69"/>
      <c r="F477" s="69"/>
      <c r="G477" s="69"/>
      <c r="H477" s="69"/>
    </row>
    <row r="478" spans="1:8" ht="15" customHeight="1">
      <c r="A478" s="69">
        <v>4</v>
      </c>
      <c r="B478" s="69" t="s">
        <v>6203</v>
      </c>
      <c r="C478" s="69"/>
      <c r="D478" s="69"/>
      <c r="E478" s="69"/>
      <c r="F478" s="69"/>
      <c r="G478" s="69"/>
      <c r="H478" s="69"/>
    </row>
    <row r="479" spans="1:8" ht="15" customHeight="1">
      <c r="A479" s="69" t="s">
        <v>6204</v>
      </c>
      <c r="B479" s="69" t="s">
        <v>6205</v>
      </c>
      <c r="C479" s="69"/>
      <c r="D479" s="69"/>
      <c r="E479" s="69"/>
      <c r="F479" s="69"/>
      <c r="G479" s="69"/>
      <c r="H479" s="69"/>
    </row>
    <row r="480" spans="1:8" ht="15" customHeight="1">
      <c r="A480" s="69"/>
      <c r="B480" s="69"/>
      <c r="C480" s="69"/>
      <c r="D480" s="69"/>
      <c r="E480" s="69"/>
      <c r="F480" s="69"/>
      <c r="G480" s="69"/>
      <c r="H480" s="69"/>
    </row>
    <row r="481" spans="1:8" ht="67.5" customHeight="1">
      <c r="A481" s="90" t="s">
        <v>6206</v>
      </c>
      <c r="B481" s="69"/>
      <c r="C481" s="69"/>
      <c r="D481" s="69"/>
      <c r="E481" s="69"/>
      <c r="F481" s="69"/>
      <c r="G481" s="69"/>
      <c r="H481" s="69"/>
    </row>
    <row r="482" spans="1:8" ht="15" customHeight="1">
      <c r="A482" s="69" t="s">
        <v>6207</v>
      </c>
      <c r="B482" s="69" t="s">
        <v>6208</v>
      </c>
      <c r="C482" s="69" t="s">
        <v>6209</v>
      </c>
      <c r="D482" s="69" t="s">
        <v>6088</v>
      </c>
      <c r="E482" s="69" t="s">
        <v>6210</v>
      </c>
      <c r="F482" s="69" t="s">
        <v>4535</v>
      </c>
      <c r="G482" s="69">
        <v>46092</v>
      </c>
      <c r="H482" s="69" t="s">
        <v>6211</v>
      </c>
    </row>
    <row r="483" spans="1:8" ht="15" customHeight="1">
      <c r="A483" s="69" t="s">
        <v>6212</v>
      </c>
      <c r="B483" s="69" t="s">
        <v>6213</v>
      </c>
      <c r="C483" s="69" t="s">
        <v>6214</v>
      </c>
      <c r="D483" s="69" t="s">
        <v>6088</v>
      </c>
      <c r="E483" s="69" t="s">
        <v>6215</v>
      </c>
      <c r="F483" s="69" t="s">
        <v>4535</v>
      </c>
      <c r="G483" s="69">
        <v>46092</v>
      </c>
      <c r="H483" s="69" t="s">
        <v>3669</v>
      </c>
    </row>
    <row r="484" spans="1:8" ht="15" customHeight="1">
      <c r="A484" s="69" t="s">
        <v>6216</v>
      </c>
      <c r="B484" s="69" t="s">
        <v>6217</v>
      </c>
      <c r="C484" s="69" t="s">
        <v>6218</v>
      </c>
      <c r="D484" s="69" t="s">
        <v>6088</v>
      </c>
      <c r="E484" s="69" t="s">
        <v>6219</v>
      </c>
      <c r="F484" s="69" t="s">
        <v>4535</v>
      </c>
      <c r="G484" s="69">
        <v>46092</v>
      </c>
      <c r="H484" s="69" t="s">
        <v>3669</v>
      </c>
    </row>
    <row r="485" spans="1:8" ht="15" customHeight="1">
      <c r="A485" s="69" t="s">
        <v>6220</v>
      </c>
      <c r="B485" s="69" t="s">
        <v>6221</v>
      </c>
      <c r="C485" s="69" t="s">
        <v>6222</v>
      </c>
      <c r="D485" s="69" t="s">
        <v>3709</v>
      </c>
      <c r="E485" s="69" t="s">
        <v>6223</v>
      </c>
      <c r="F485" s="69" t="s">
        <v>4535</v>
      </c>
      <c r="G485" s="69">
        <v>46092</v>
      </c>
      <c r="H485" s="69" t="s">
        <v>3669</v>
      </c>
    </row>
    <row r="486" spans="1:8" ht="27" customHeight="1">
      <c r="A486" s="69" t="s">
        <v>6224</v>
      </c>
      <c r="B486" s="69" t="s">
        <v>6225</v>
      </c>
      <c r="C486" s="69" t="s">
        <v>6226</v>
      </c>
      <c r="D486" s="69" t="s">
        <v>4861</v>
      </c>
      <c r="E486" s="69" t="s">
        <v>6227</v>
      </c>
      <c r="F486" s="69" t="s">
        <v>4535</v>
      </c>
      <c r="G486" s="69">
        <v>46092</v>
      </c>
      <c r="H486" s="69" t="s">
        <v>6228</v>
      </c>
    </row>
    <row r="487" spans="1:8" ht="15" customHeight="1">
      <c r="A487" s="69"/>
      <c r="B487" s="69"/>
      <c r="C487" s="69"/>
      <c r="D487" s="69"/>
      <c r="E487" s="69"/>
      <c r="F487" s="69"/>
      <c r="G487" s="69"/>
      <c r="H487" s="69"/>
    </row>
    <row r="488" spans="1:8" ht="162" customHeight="1">
      <c r="A488" s="69" t="s">
        <v>6229</v>
      </c>
      <c r="B488" s="69"/>
      <c r="C488" s="69"/>
      <c r="D488" s="69"/>
      <c r="E488" s="69"/>
      <c r="F488" s="69"/>
      <c r="G488" s="69"/>
      <c r="H488" s="69"/>
    </row>
    <row r="489" spans="1:8" ht="175.5" customHeight="1">
      <c r="A489" s="69" t="s">
        <v>6230</v>
      </c>
      <c r="B489" s="69"/>
      <c r="C489" s="69"/>
      <c r="D489" s="69"/>
      <c r="E489" s="69"/>
      <c r="F489" s="69"/>
      <c r="G489" s="69"/>
      <c r="H489" s="69"/>
    </row>
    <row r="490" spans="1:8" ht="15" customHeight="1">
      <c r="A490" s="69"/>
      <c r="B490" s="69"/>
      <c r="C490" s="69"/>
      <c r="D490" s="69"/>
      <c r="E490" s="69"/>
      <c r="F490" s="69"/>
      <c r="G490" s="69"/>
      <c r="H490" s="69"/>
    </row>
    <row r="491" spans="1:8" ht="81" customHeight="1">
      <c r="A491" s="90" t="s">
        <v>6231</v>
      </c>
      <c r="B491" s="69"/>
      <c r="C491" s="69"/>
      <c r="D491" s="69"/>
      <c r="E491" s="69"/>
      <c r="F491" s="69"/>
      <c r="G491" s="69"/>
      <c r="H491" s="69"/>
    </row>
    <row r="492" spans="1:8" ht="15" customHeight="1">
      <c r="A492" s="69"/>
      <c r="B492" s="69"/>
      <c r="C492" s="69"/>
      <c r="D492" s="69"/>
      <c r="E492" s="69"/>
      <c r="F492" s="69"/>
      <c r="G492" s="69"/>
      <c r="H492" s="69"/>
    </row>
    <row r="493" spans="1:8" ht="15" customHeight="1">
      <c r="A493" s="69" t="s">
        <v>6232</v>
      </c>
      <c r="B493" s="69" t="s">
        <v>6233</v>
      </c>
      <c r="C493" s="69" t="s">
        <v>6234</v>
      </c>
      <c r="D493" s="69" t="s">
        <v>6235</v>
      </c>
      <c r="E493" s="69" t="s">
        <v>6236</v>
      </c>
      <c r="F493" s="69" t="s">
        <v>4535</v>
      </c>
      <c r="G493" s="69">
        <v>46092</v>
      </c>
      <c r="H493" s="69" t="s">
        <v>3669</v>
      </c>
    </row>
    <row r="494" spans="1:8" ht="15" customHeight="1">
      <c r="A494" s="69"/>
      <c r="B494" s="69"/>
      <c r="C494" s="69"/>
      <c r="D494" s="69"/>
      <c r="E494" s="69"/>
      <c r="F494" s="69"/>
      <c r="G494" s="69"/>
      <c r="H494" s="69"/>
    </row>
    <row r="495" spans="1:8" ht="94.5" customHeight="1">
      <c r="A495" s="90" t="s">
        <v>6237</v>
      </c>
      <c r="B495" s="69"/>
      <c r="C495" s="69"/>
      <c r="D495" s="69"/>
      <c r="E495" s="69"/>
      <c r="F495" s="69"/>
      <c r="G495" s="69"/>
      <c r="H495" s="69"/>
    </row>
    <row r="496" spans="1:8" ht="27" customHeight="1">
      <c r="A496" s="69">
        <v>1</v>
      </c>
      <c r="B496" s="69" t="s">
        <v>6238</v>
      </c>
      <c r="C496" s="69"/>
      <c r="D496" s="69"/>
      <c r="E496" s="69"/>
      <c r="F496" s="69"/>
      <c r="G496" s="69"/>
      <c r="H496" s="69"/>
    </row>
    <row r="497" spans="1:8" ht="27" customHeight="1">
      <c r="A497" s="69">
        <v>2</v>
      </c>
      <c r="B497" s="69" t="s">
        <v>6239</v>
      </c>
      <c r="C497" s="69"/>
      <c r="D497" s="69"/>
      <c r="E497" s="69"/>
      <c r="F497" s="69"/>
      <c r="G497" s="69"/>
      <c r="H497" s="69"/>
    </row>
    <row r="498" spans="1:8" ht="27" customHeight="1">
      <c r="A498" s="69">
        <v>3</v>
      </c>
      <c r="B498" s="69" t="s">
        <v>6240</v>
      </c>
      <c r="C498" s="69"/>
      <c r="D498" s="69"/>
      <c r="E498" s="69"/>
      <c r="F498" s="69"/>
      <c r="G498" s="69"/>
      <c r="H498" s="69"/>
    </row>
    <row r="499" spans="1:8" ht="27" customHeight="1">
      <c r="A499" s="69">
        <v>4</v>
      </c>
      <c r="B499" s="69" t="s">
        <v>6241</v>
      </c>
      <c r="C499" s="69"/>
      <c r="D499" s="69"/>
      <c r="E499" s="69"/>
      <c r="F499" s="69"/>
      <c r="G499" s="69"/>
      <c r="H499" s="69"/>
    </row>
    <row r="500" spans="1:8" ht="27" customHeight="1">
      <c r="A500" s="69">
        <v>5</v>
      </c>
      <c r="B500" s="69" t="s">
        <v>6242</v>
      </c>
      <c r="C500" s="69"/>
      <c r="D500" s="69"/>
      <c r="E500" s="69"/>
      <c r="F500" s="69"/>
      <c r="G500" s="69"/>
      <c r="H500" s="69"/>
    </row>
    <row r="501" spans="1:8" ht="15" customHeight="1">
      <c r="A501" s="69"/>
      <c r="B501" s="69"/>
      <c r="C501" s="69"/>
      <c r="D501" s="69"/>
      <c r="E501" s="69"/>
      <c r="F501" s="69"/>
      <c r="G501" s="69"/>
      <c r="H501" s="69"/>
    </row>
    <row r="502" spans="1:8" ht="67.5" customHeight="1">
      <c r="A502" s="90" t="s">
        <v>6243</v>
      </c>
      <c r="B502" s="69"/>
      <c r="C502" s="69"/>
      <c r="D502" s="69"/>
      <c r="E502" s="69"/>
      <c r="F502" s="69"/>
      <c r="G502" s="69"/>
      <c r="H502" s="69"/>
    </row>
    <row r="503" spans="1:8" ht="15" customHeight="1">
      <c r="A503" s="69" t="s">
        <v>184</v>
      </c>
      <c r="B503" s="69" t="s">
        <v>6244</v>
      </c>
      <c r="C503" s="69"/>
      <c r="D503" s="69"/>
      <c r="E503" s="69"/>
      <c r="F503" s="69"/>
      <c r="G503" s="69"/>
      <c r="H503" s="69"/>
    </row>
    <row r="504" spans="1:8" ht="27" customHeight="1">
      <c r="A504" s="69" t="s">
        <v>2388</v>
      </c>
      <c r="B504" s="69" t="s">
        <v>6245</v>
      </c>
      <c r="C504" s="69"/>
      <c r="D504" s="69"/>
      <c r="E504" s="69"/>
      <c r="F504" s="69"/>
      <c r="G504" s="69"/>
      <c r="H504" s="69"/>
    </row>
    <row r="505" spans="1:8" ht="15" customHeight="1">
      <c r="A505" s="69"/>
      <c r="B505" s="69"/>
      <c r="C505" s="69"/>
      <c r="D505" s="69"/>
      <c r="E505" s="69"/>
      <c r="F505" s="69"/>
      <c r="G505" s="69"/>
      <c r="H505" s="69"/>
    </row>
    <row r="506" spans="1:8" ht="94.5" customHeight="1">
      <c r="A506" s="69" t="s">
        <v>6246</v>
      </c>
      <c r="B506" s="69"/>
      <c r="C506" s="69" t="s">
        <v>6247</v>
      </c>
      <c r="D506" s="69"/>
      <c r="E506" s="69"/>
      <c r="F506" s="69"/>
      <c r="G506" s="69"/>
      <c r="H506" s="69"/>
    </row>
    <row r="507" spans="1:8" ht="40.5" customHeight="1">
      <c r="A507" s="69" t="s">
        <v>6248</v>
      </c>
      <c r="B507" s="69" t="s">
        <v>6249</v>
      </c>
      <c r="C507" s="69" t="s">
        <v>6250</v>
      </c>
      <c r="D507" s="69" t="s">
        <v>6251</v>
      </c>
      <c r="E507" s="69" t="s">
        <v>6252</v>
      </c>
      <c r="F507" s="69" t="s">
        <v>4539</v>
      </c>
      <c r="G507" s="69">
        <v>46092</v>
      </c>
      <c r="H507" s="69"/>
    </row>
    <row r="508" spans="1:8" ht="40.5" customHeight="1">
      <c r="A508" s="69" t="s">
        <v>6253</v>
      </c>
      <c r="B508" s="69" t="s">
        <v>6254</v>
      </c>
      <c r="C508" s="69" t="s">
        <v>6255</v>
      </c>
      <c r="D508" s="69" t="s">
        <v>3031</v>
      </c>
      <c r="E508" s="69" t="s">
        <v>6256</v>
      </c>
      <c r="F508" s="69" t="s">
        <v>4539</v>
      </c>
      <c r="G508" s="69">
        <v>46092</v>
      </c>
      <c r="H508" s="69"/>
    </row>
    <row r="509" spans="1:8" ht="15" customHeight="1">
      <c r="A509" s="69" t="s">
        <v>6257</v>
      </c>
      <c r="B509" s="69" t="s">
        <v>6258</v>
      </c>
      <c r="C509" s="69" t="s">
        <v>6259</v>
      </c>
      <c r="D509" s="69" t="s">
        <v>6260</v>
      </c>
      <c r="E509" s="69" t="s">
        <v>6261</v>
      </c>
      <c r="F509" s="69" t="s">
        <v>4539</v>
      </c>
      <c r="G509" s="69">
        <v>46092</v>
      </c>
      <c r="H509" s="69"/>
    </row>
    <row r="510" spans="1:8" ht="15" customHeight="1">
      <c r="A510" s="69"/>
      <c r="B510" s="69"/>
      <c r="C510" s="69"/>
      <c r="D510" s="69"/>
      <c r="E510" s="69"/>
      <c r="F510" s="69"/>
      <c r="G510" s="69"/>
      <c r="H510" s="69"/>
    </row>
    <row r="511" spans="1:8" ht="67.5" customHeight="1">
      <c r="A511" s="69" t="s">
        <v>6262</v>
      </c>
      <c r="B511" s="69"/>
      <c r="C511" s="69"/>
      <c r="D511" s="69"/>
      <c r="E511" s="69"/>
      <c r="F511" s="69"/>
      <c r="G511" s="69"/>
      <c r="H511" s="69"/>
    </row>
    <row r="512" spans="1:8" ht="27" customHeight="1">
      <c r="A512" s="69">
        <v>1</v>
      </c>
      <c r="B512" s="69" t="s">
        <v>6263</v>
      </c>
      <c r="C512" s="69"/>
      <c r="D512" s="69"/>
      <c r="E512" s="69"/>
      <c r="F512" s="69"/>
      <c r="G512" s="69"/>
      <c r="H512" s="69"/>
    </row>
    <row r="513" spans="1:8" ht="15" customHeight="1">
      <c r="A513" s="69"/>
      <c r="B513" s="69"/>
      <c r="C513" s="69"/>
      <c r="D513" s="69"/>
      <c r="E513" s="69"/>
      <c r="F513" s="69"/>
      <c r="G513" s="69"/>
      <c r="H513" s="69"/>
    </row>
    <row r="514" spans="1:8" ht="27" customHeight="1">
      <c r="A514" s="69" t="s">
        <v>6264</v>
      </c>
      <c r="B514" s="69" t="s">
        <v>6265</v>
      </c>
      <c r="C514" s="69"/>
      <c r="D514" s="69"/>
      <c r="E514" s="69"/>
      <c r="F514" s="69"/>
      <c r="G514" s="69"/>
      <c r="H514" s="69"/>
    </row>
    <row r="515" spans="1:8" ht="27" customHeight="1">
      <c r="A515" s="69" t="s">
        <v>6266</v>
      </c>
      <c r="B515" s="69" t="s">
        <v>6267</v>
      </c>
      <c r="C515" s="69" t="s">
        <v>6268</v>
      </c>
      <c r="D515" s="69" t="s">
        <v>3031</v>
      </c>
      <c r="E515" s="69" t="s">
        <v>6269</v>
      </c>
      <c r="F515" s="69" t="s">
        <v>4539</v>
      </c>
      <c r="G515" s="69">
        <v>46092</v>
      </c>
      <c r="H515" s="69"/>
    </row>
    <row r="516" spans="1:8" ht="15" customHeight="1">
      <c r="A516" s="69" t="s">
        <v>6270</v>
      </c>
      <c r="B516" s="69" t="s">
        <v>6258</v>
      </c>
      <c r="C516" s="69" t="s">
        <v>6271</v>
      </c>
      <c r="D516" s="69" t="s">
        <v>6260</v>
      </c>
      <c r="E516" s="69" t="s">
        <v>6272</v>
      </c>
      <c r="F516" s="69" t="s">
        <v>4539</v>
      </c>
      <c r="G516" s="69">
        <v>46092</v>
      </c>
      <c r="H516" s="69"/>
    </row>
    <row r="517" spans="1:8" ht="15" customHeight="1">
      <c r="A517" s="69"/>
      <c r="B517" s="69"/>
      <c r="C517" s="69"/>
      <c r="D517" s="69"/>
      <c r="E517" s="69"/>
      <c r="F517" s="69"/>
      <c r="G517" s="69"/>
      <c r="H517" s="69"/>
    </row>
    <row r="518" spans="1:8" ht="27" customHeight="1">
      <c r="A518" s="69"/>
      <c r="B518" s="69" t="s">
        <v>6273</v>
      </c>
      <c r="C518" s="69"/>
      <c r="D518" s="69"/>
      <c r="E518" s="69"/>
      <c r="F518" s="69"/>
      <c r="G518" s="69"/>
      <c r="H518" s="69"/>
    </row>
    <row r="519" spans="1:8" ht="27" customHeight="1">
      <c r="A519" s="69" t="s">
        <v>6274</v>
      </c>
      <c r="B519" s="69" t="s">
        <v>6275</v>
      </c>
      <c r="C519" s="69" t="s">
        <v>6276</v>
      </c>
      <c r="D519" s="69" t="s">
        <v>3031</v>
      </c>
      <c r="E519" s="69" t="s">
        <v>6277</v>
      </c>
      <c r="F519" s="69" t="s">
        <v>4539</v>
      </c>
      <c r="G519" s="69">
        <v>46092</v>
      </c>
      <c r="H519" s="69"/>
    </row>
    <row r="520" spans="1:8" ht="27" customHeight="1">
      <c r="A520" s="69" t="s">
        <v>6278</v>
      </c>
      <c r="B520" s="69" t="s">
        <v>6279</v>
      </c>
      <c r="C520" s="69" t="s">
        <v>6280</v>
      </c>
      <c r="D520" s="69" t="s">
        <v>3031</v>
      </c>
      <c r="E520" s="69" t="s">
        <v>6281</v>
      </c>
      <c r="F520" s="69" t="s">
        <v>4539</v>
      </c>
      <c r="G520" s="69">
        <v>46092</v>
      </c>
      <c r="H520" s="69"/>
    </row>
    <row r="521" spans="1:8" ht="27" customHeight="1">
      <c r="A521" s="69" t="s">
        <v>6282</v>
      </c>
      <c r="B521" s="69" t="s">
        <v>6283</v>
      </c>
      <c r="C521" s="69" t="s">
        <v>6284</v>
      </c>
      <c r="D521" s="69" t="s">
        <v>3031</v>
      </c>
      <c r="E521" s="69" t="s">
        <v>6285</v>
      </c>
      <c r="F521" s="69" t="s">
        <v>4539</v>
      </c>
      <c r="G521" s="69">
        <v>46092</v>
      </c>
      <c r="H521" s="69"/>
    </row>
    <row r="522" spans="1:8" ht="27" customHeight="1">
      <c r="A522" s="69" t="s">
        <v>6286</v>
      </c>
      <c r="B522" s="69" t="s">
        <v>6287</v>
      </c>
      <c r="C522" s="69" t="s">
        <v>6288</v>
      </c>
      <c r="D522" s="69" t="s">
        <v>6289</v>
      </c>
      <c r="E522" s="69" t="s">
        <v>6290</v>
      </c>
      <c r="F522" s="69" t="s">
        <v>4539</v>
      </c>
      <c r="G522" s="69">
        <v>46092</v>
      </c>
      <c r="H522" s="69"/>
    </row>
    <row r="523" spans="1:8" ht="27" customHeight="1">
      <c r="A523" s="69" t="s">
        <v>6291</v>
      </c>
      <c r="B523" s="69" t="s">
        <v>6292</v>
      </c>
      <c r="C523" s="69" t="s">
        <v>6293</v>
      </c>
      <c r="D523" s="69" t="s">
        <v>6289</v>
      </c>
      <c r="E523" s="69" t="s">
        <v>6294</v>
      </c>
      <c r="F523" s="69" t="s">
        <v>4539</v>
      </c>
      <c r="G523" s="69">
        <v>46092</v>
      </c>
      <c r="H523" s="69"/>
    </row>
    <row r="524" spans="1:8" ht="27" customHeight="1">
      <c r="A524" s="69" t="s">
        <v>6295</v>
      </c>
      <c r="B524" s="69" t="s">
        <v>6296</v>
      </c>
      <c r="C524" s="69" t="s">
        <v>6297</v>
      </c>
      <c r="D524" s="69" t="s">
        <v>3031</v>
      </c>
      <c r="E524" s="69" t="s">
        <v>6298</v>
      </c>
      <c r="F524" s="69" t="s">
        <v>4539</v>
      </c>
      <c r="G524" s="69">
        <v>46092</v>
      </c>
      <c r="H524" s="69"/>
    </row>
    <row r="525" spans="1:8" ht="40.5" customHeight="1">
      <c r="A525" s="69" t="s">
        <v>6299</v>
      </c>
      <c r="B525" s="69" t="s">
        <v>6300</v>
      </c>
      <c r="C525" s="69" t="s">
        <v>6301</v>
      </c>
      <c r="D525" s="69" t="s">
        <v>3031</v>
      </c>
      <c r="E525" s="69" t="s">
        <v>6302</v>
      </c>
      <c r="F525" s="69" t="s">
        <v>4539</v>
      </c>
      <c r="G525" s="69">
        <v>46092</v>
      </c>
      <c r="H525" s="69"/>
    </row>
    <row r="526" spans="1:8" ht="40.5" customHeight="1">
      <c r="A526" s="69" t="s">
        <v>6303</v>
      </c>
      <c r="B526" s="69" t="s">
        <v>6304</v>
      </c>
      <c r="C526" s="69" t="s">
        <v>6305</v>
      </c>
      <c r="D526" s="69" t="s">
        <v>3078</v>
      </c>
      <c r="E526" s="69" t="s">
        <v>6306</v>
      </c>
      <c r="F526" s="69" t="s">
        <v>4539</v>
      </c>
      <c r="G526" s="69">
        <v>46092</v>
      </c>
      <c r="H526" s="69"/>
    </row>
    <row r="527" spans="1:8" ht="15" customHeight="1">
      <c r="A527" s="69"/>
      <c r="B527" s="69"/>
      <c r="C527" s="69"/>
      <c r="D527" s="69"/>
      <c r="E527" s="69"/>
      <c r="F527" s="69"/>
      <c r="G527" s="69"/>
      <c r="H527" s="69"/>
    </row>
    <row r="528" spans="1:8" ht="81" customHeight="1">
      <c r="A528" s="69" t="s">
        <v>6307</v>
      </c>
      <c r="B528" s="69"/>
      <c r="C528" s="69"/>
      <c r="D528" s="69"/>
      <c r="E528" s="69"/>
      <c r="F528" s="69"/>
      <c r="G528" s="69"/>
      <c r="H528" s="69"/>
    </row>
    <row r="529" spans="1:8" ht="27" customHeight="1">
      <c r="A529" s="69" t="s">
        <v>6308</v>
      </c>
      <c r="B529" s="69" t="s">
        <v>6309</v>
      </c>
      <c r="C529" s="69"/>
      <c r="D529" s="69"/>
      <c r="E529" s="69"/>
      <c r="F529" s="69"/>
      <c r="G529" s="69"/>
      <c r="H529" s="69"/>
    </row>
    <row r="530" spans="1:8" ht="15" customHeight="1">
      <c r="A530" s="69" t="s">
        <v>6310</v>
      </c>
      <c r="B530" s="69" t="s">
        <v>6311</v>
      </c>
      <c r="C530" s="69"/>
      <c r="D530" s="69"/>
      <c r="E530" s="69"/>
      <c r="F530" s="69"/>
      <c r="G530" s="69"/>
      <c r="H530" s="69"/>
    </row>
    <row r="531" spans="1:8" ht="27" customHeight="1">
      <c r="A531" s="69" t="s">
        <v>6312</v>
      </c>
      <c r="B531" s="69" t="s">
        <v>6313</v>
      </c>
      <c r="C531" s="69"/>
      <c r="D531" s="69"/>
      <c r="E531" s="69"/>
      <c r="F531" s="69"/>
      <c r="G531" s="69"/>
      <c r="H531" s="69"/>
    </row>
    <row r="532" spans="1:8" ht="15" customHeight="1">
      <c r="A532" s="69" t="s">
        <v>6314</v>
      </c>
      <c r="B532" s="69" t="s">
        <v>6315</v>
      </c>
      <c r="C532" s="69"/>
      <c r="D532" s="69"/>
      <c r="E532" s="69"/>
      <c r="F532" s="69"/>
      <c r="G532" s="69"/>
      <c r="H532" s="69"/>
    </row>
    <row r="533" spans="1:8" ht="15" customHeight="1">
      <c r="A533" s="69" t="s">
        <v>6316</v>
      </c>
      <c r="B533" s="69" t="s">
        <v>6317</v>
      </c>
      <c r="C533" s="69"/>
      <c r="D533" s="69"/>
      <c r="E533" s="69"/>
      <c r="F533" s="69"/>
      <c r="G533" s="69"/>
      <c r="H533" s="69"/>
    </row>
    <row r="534" spans="1:8" ht="27" customHeight="1">
      <c r="A534" s="69" t="s">
        <v>6318</v>
      </c>
      <c r="B534" s="69" t="s">
        <v>6319</v>
      </c>
      <c r="C534" s="69"/>
      <c r="D534" s="69"/>
      <c r="E534" s="69"/>
      <c r="F534" s="69"/>
      <c r="G534" s="69"/>
      <c r="H534" s="69"/>
    </row>
    <row r="535" spans="1:8" ht="15" customHeight="1">
      <c r="A535" s="69" t="s">
        <v>6320</v>
      </c>
      <c r="B535" s="69" t="s">
        <v>6321</v>
      </c>
      <c r="C535" s="69"/>
      <c r="D535" s="69"/>
      <c r="E535" s="69"/>
      <c r="F535" s="69"/>
      <c r="G535" s="69"/>
      <c r="H535" s="69"/>
    </row>
    <row r="536" spans="1:8" ht="27" customHeight="1">
      <c r="A536" s="69" t="s">
        <v>6322</v>
      </c>
      <c r="B536" s="69" t="s">
        <v>6323</v>
      </c>
      <c r="C536" s="69"/>
      <c r="D536" s="69"/>
      <c r="E536" s="69"/>
      <c r="F536" s="69"/>
      <c r="G536" s="69"/>
      <c r="H536" s="69"/>
    </row>
    <row r="537" spans="1:8" ht="15" customHeight="1">
      <c r="A537" s="69"/>
      <c r="B537" s="69"/>
      <c r="C537" s="69"/>
      <c r="D537" s="69"/>
      <c r="E537" s="69"/>
      <c r="F537" s="69"/>
      <c r="G537" s="69"/>
      <c r="H537" s="69"/>
    </row>
    <row r="538" spans="1:8" ht="54" customHeight="1">
      <c r="A538" s="69" t="s">
        <v>6324</v>
      </c>
      <c r="B538" s="69" t="s">
        <v>6325</v>
      </c>
      <c r="C538" s="69" t="s">
        <v>6326</v>
      </c>
      <c r="D538" s="69" t="s">
        <v>3031</v>
      </c>
      <c r="E538" s="69" t="s">
        <v>6327</v>
      </c>
      <c r="F538" s="69" t="s">
        <v>4539</v>
      </c>
      <c r="G538" s="69">
        <v>46092</v>
      </c>
      <c r="H538" s="69"/>
    </row>
    <row r="539" spans="1:8" ht="27" customHeight="1">
      <c r="A539" s="69" t="s">
        <v>6328</v>
      </c>
      <c r="B539" s="69" t="s">
        <v>6329</v>
      </c>
      <c r="C539" s="69" t="s">
        <v>6330</v>
      </c>
      <c r="D539" s="69" t="s">
        <v>3031</v>
      </c>
      <c r="E539" s="69" t="s">
        <v>6331</v>
      </c>
      <c r="F539" s="69" t="s">
        <v>4539</v>
      </c>
      <c r="G539" s="69">
        <v>46092</v>
      </c>
      <c r="H539" s="69"/>
    </row>
    <row r="540" spans="1:8" ht="40.5" customHeight="1">
      <c r="A540" s="69" t="s">
        <v>6332</v>
      </c>
      <c r="B540" s="69" t="s">
        <v>6333</v>
      </c>
      <c r="C540" s="69" t="s">
        <v>6334</v>
      </c>
      <c r="D540" s="69" t="s">
        <v>3031</v>
      </c>
      <c r="E540" s="69" t="s">
        <v>6335</v>
      </c>
      <c r="F540" s="69" t="s">
        <v>4539</v>
      </c>
      <c r="G540" s="69">
        <v>46092</v>
      </c>
      <c r="H540" s="69"/>
    </row>
    <row r="541" spans="1:8" ht="27" customHeight="1">
      <c r="A541" s="69" t="s">
        <v>6336</v>
      </c>
      <c r="B541" s="69" t="s">
        <v>6337</v>
      </c>
      <c r="C541" s="69" t="s">
        <v>6338</v>
      </c>
      <c r="D541" s="69" t="s">
        <v>6260</v>
      </c>
      <c r="E541" s="69" t="s">
        <v>6339</v>
      </c>
      <c r="F541" s="69" t="s">
        <v>4539</v>
      </c>
      <c r="G541" s="69">
        <v>46092</v>
      </c>
      <c r="H541" s="69"/>
    </row>
  </sheetData>
  <pageMargins left="0.7" right="0.7" top="0.75" bottom="0.75" header="0.511811023622047" footer="0.511811023622047"/>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K181"/>
  <sheetViews>
    <sheetView zoomScaleNormal="100" workbookViewId="0">
      <pane ySplit="7" topLeftCell="A51" activePane="bottomLeft" state="frozen"/>
      <selection pane="bottomLeft"/>
    </sheetView>
  </sheetViews>
  <sheetFormatPr defaultColWidth="9.140625" defaultRowHeight="15" outlineLevelRow="1"/>
  <cols>
    <col min="1" max="1" width="33" style="238" customWidth="1"/>
    <col min="2" max="3" width="65" style="239" customWidth="1"/>
    <col min="4" max="5" width="65" style="47" customWidth="1"/>
    <col min="6" max="11" width="17" style="47" customWidth="1"/>
    <col min="12" max="29" width="9.140625" style="47" customWidth="1"/>
    <col min="30" max="16384" width="9.140625" style="47"/>
  </cols>
  <sheetData>
    <row r="1" spans="1:11" s="96" customFormat="1" ht="30" customHeight="1">
      <c r="A1" s="136" t="s">
        <v>6340</v>
      </c>
      <c r="B1" s="240"/>
      <c r="C1" s="240"/>
      <c r="D1" s="240"/>
      <c r="E1" s="240"/>
      <c r="F1" s="240"/>
      <c r="G1" s="240"/>
      <c r="H1" s="240"/>
      <c r="I1" s="240"/>
      <c r="J1" s="240"/>
      <c r="K1" s="240"/>
    </row>
    <row r="2" spans="1:11" ht="21.75" customHeight="1">
      <c r="A2" s="241">
        <v>1</v>
      </c>
      <c r="B2" s="50" t="s">
        <v>6341</v>
      </c>
      <c r="C2" s="225" t="s">
        <v>6342</v>
      </c>
      <c r="D2" s="50"/>
      <c r="E2" s="50"/>
      <c r="F2" s="50"/>
      <c r="G2" s="50"/>
      <c r="H2" s="50"/>
      <c r="I2" s="50"/>
      <c r="J2" s="50"/>
      <c r="K2" s="50"/>
    </row>
    <row r="3" spans="1:11" ht="21.75" customHeight="1">
      <c r="A3" s="242">
        <v>2</v>
      </c>
      <c r="B3" s="55" t="s">
        <v>6343</v>
      </c>
      <c r="C3" s="228" t="s">
        <v>6344</v>
      </c>
      <c r="D3" s="55"/>
      <c r="E3" s="55"/>
      <c r="F3" s="55"/>
      <c r="G3" s="55"/>
      <c r="H3" s="55"/>
      <c r="I3" s="55"/>
      <c r="J3" s="55"/>
      <c r="K3" s="55"/>
    </row>
    <row r="4" spans="1:11" ht="21.75" customHeight="1">
      <c r="A4" s="241">
        <v>3</v>
      </c>
      <c r="B4" s="50" t="s">
        <v>6345</v>
      </c>
      <c r="C4" s="225" t="s">
        <v>6346</v>
      </c>
      <c r="D4" s="50"/>
      <c r="E4" s="50"/>
      <c r="F4" s="50"/>
      <c r="G4" s="50"/>
      <c r="H4" s="50"/>
      <c r="I4" s="50"/>
      <c r="J4" s="50"/>
      <c r="K4" s="50"/>
    </row>
    <row r="5" spans="1:11" ht="21.75" customHeight="1">
      <c r="A5" s="243"/>
      <c r="B5" s="243" t="s">
        <v>6347</v>
      </c>
      <c r="C5" s="243"/>
      <c r="D5" s="243"/>
      <c r="E5" s="243"/>
      <c r="F5" s="243"/>
      <c r="G5" s="243"/>
      <c r="H5" s="243"/>
      <c r="I5" s="243"/>
      <c r="J5" s="243"/>
      <c r="K5" s="243"/>
    </row>
    <row r="6" spans="1:11" ht="15" customHeight="1">
      <c r="A6" s="48" t="s">
        <v>6348</v>
      </c>
      <c r="B6" s="48" t="s">
        <v>6349</v>
      </c>
      <c r="C6" s="48" t="s">
        <v>6350</v>
      </c>
      <c r="D6" s="48"/>
      <c r="E6" s="48"/>
      <c r="F6" s="48"/>
      <c r="G6" s="48"/>
      <c r="H6" s="48"/>
      <c r="I6" s="48"/>
      <c r="J6" s="48"/>
      <c r="K6" s="48"/>
    </row>
    <row r="7" spans="1:11" ht="27.75" customHeight="1">
      <c r="A7" s="244" t="s">
        <v>11</v>
      </c>
      <c r="B7" s="244" t="s">
        <v>6351</v>
      </c>
      <c r="C7" s="244" t="s">
        <v>463</v>
      </c>
      <c r="D7" s="245" t="s">
        <v>6352</v>
      </c>
      <c r="E7" s="245" t="s">
        <v>6353</v>
      </c>
      <c r="F7" s="245" t="s">
        <v>6354</v>
      </c>
      <c r="G7" s="245" t="s">
        <v>6355</v>
      </c>
      <c r="H7" s="245" t="s">
        <v>6355</v>
      </c>
      <c r="I7" s="245" t="s">
        <v>6355</v>
      </c>
      <c r="J7" s="245" t="s">
        <v>6355</v>
      </c>
      <c r="K7" s="245" t="s">
        <v>6355</v>
      </c>
    </row>
    <row r="8" spans="1:11" ht="19.5" customHeight="1">
      <c r="A8" s="246" t="s">
        <v>6356</v>
      </c>
      <c r="B8" s="247" t="s">
        <v>6357</v>
      </c>
      <c r="C8" s="247" t="s">
        <v>6358</v>
      </c>
      <c r="D8" s="50" t="s">
        <v>6359</v>
      </c>
      <c r="E8" s="50"/>
      <c r="F8" s="50"/>
      <c r="G8" s="50"/>
      <c r="H8" s="50"/>
      <c r="I8" s="50"/>
      <c r="J8" s="50"/>
      <c r="K8" s="50"/>
    </row>
    <row r="9" spans="1:11" ht="19.5" customHeight="1">
      <c r="A9" s="248" t="s">
        <v>6360</v>
      </c>
      <c r="B9" s="249" t="s">
        <v>6361</v>
      </c>
      <c r="C9" s="249" t="s">
        <v>6362</v>
      </c>
      <c r="D9" s="250" t="s">
        <v>6363</v>
      </c>
      <c r="E9" s="250" t="s">
        <v>6364</v>
      </c>
      <c r="F9" s="55"/>
      <c r="G9" s="55"/>
      <c r="H9" s="55"/>
      <c r="I9" s="55"/>
      <c r="J9" s="55"/>
      <c r="K9" s="55"/>
    </row>
    <row r="10" spans="1:11" ht="19.5" customHeight="1">
      <c r="A10" s="251" t="s">
        <v>172</v>
      </c>
      <c r="B10" s="252" t="s">
        <v>6365</v>
      </c>
      <c r="C10" s="252"/>
      <c r="D10" s="50"/>
      <c r="E10" s="50"/>
      <c r="F10" s="50"/>
      <c r="G10" s="50"/>
      <c r="H10" s="50"/>
      <c r="I10" s="50"/>
      <c r="J10" s="50"/>
      <c r="K10" s="50"/>
    </row>
    <row r="11" spans="1:11" ht="19.5" customHeight="1">
      <c r="A11" s="248">
        <v>4</v>
      </c>
      <c r="B11" s="249" t="s">
        <v>6366</v>
      </c>
      <c r="C11" s="249" t="s">
        <v>6367</v>
      </c>
      <c r="D11" s="55"/>
      <c r="E11" s="55"/>
      <c r="F11" s="55"/>
      <c r="G11" s="55"/>
      <c r="H11" s="55"/>
      <c r="I11" s="55"/>
      <c r="J11" s="55"/>
      <c r="K11" s="55"/>
    </row>
    <row r="12" spans="1:11" ht="19.5" customHeight="1">
      <c r="A12" s="251">
        <v>5</v>
      </c>
      <c r="B12" s="252" t="s">
        <v>6368</v>
      </c>
      <c r="C12" s="252" t="s">
        <v>6369</v>
      </c>
      <c r="D12" s="50"/>
      <c r="E12" s="50"/>
      <c r="F12" s="50"/>
      <c r="G12" s="50"/>
      <c r="H12" s="50"/>
      <c r="I12" s="50"/>
      <c r="J12" s="50"/>
      <c r="K12" s="50"/>
    </row>
    <row r="13" spans="1:11" ht="19.5" customHeight="1">
      <c r="A13" s="248">
        <v>6</v>
      </c>
      <c r="B13" s="249" t="s">
        <v>6370</v>
      </c>
      <c r="C13" s="249" t="s">
        <v>6371</v>
      </c>
      <c r="D13" s="55"/>
      <c r="E13" s="55"/>
      <c r="F13" s="55"/>
      <c r="G13" s="55"/>
      <c r="H13" s="55"/>
      <c r="I13" s="55"/>
      <c r="J13" s="55"/>
      <c r="K13" s="55"/>
    </row>
    <row r="14" spans="1:11" ht="19.5" customHeight="1">
      <c r="A14" s="251">
        <v>7</v>
      </c>
      <c r="B14" s="252" t="s">
        <v>6372</v>
      </c>
      <c r="C14" s="252" t="s">
        <v>6373</v>
      </c>
      <c r="D14" s="50"/>
      <c r="E14" s="50"/>
      <c r="F14" s="50"/>
      <c r="G14" s="50"/>
      <c r="H14" s="50"/>
      <c r="I14" s="50"/>
      <c r="J14" s="50"/>
      <c r="K14" s="50"/>
    </row>
    <row r="15" spans="1:11" ht="19.5" customHeight="1">
      <c r="A15" s="248"/>
      <c r="B15" s="249"/>
      <c r="C15" s="249"/>
      <c r="D15" s="55"/>
      <c r="E15" s="55"/>
      <c r="F15" s="55"/>
      <c r="G15" s="55"/>
      <c r="H15" s="55"/>
      <c r="I15" s="55"/>
      <c r="J15" s="55"/>
      <c r="K15" s="55"/>
    </row>
    <row r="16" spans="1:11" ht="19.5" customHeight="1">
      <c r="A16" s="214"/>
      <c r="B16" s="253" t="s">
        <v>6374</v>
      </c>
      <c r="C16" s="50"/>
      <c r="D16" s="50"/>
      <c r="E16" s="50"/>
      <c r="F16" s="50"/>
      <c r="G16" s="50"/>
      <c r="H16" s="50"/>
      <c r="I16" s="50"/>
      <c r="J16" s="50"/>
      <c r="K16" s="50"/>
    </row>
    <row r="17" spans="1:11" ht="19.5" customHeight="1" outlineLevel="1">
      <c r="A17" s="218"/>
      <c r="B17" s="55"/>
      <c r="C17" s="55"/>
      <c r="D17" s="55"/>
      <c r="E17" s="55"/>
      <c r="F17" s="55"/>
      <c r="G17" s="55"/>
      <c r="H17" s="55"/>
      <c r="I17" s="55"/>
      <c r="J17" s="55"/>
      <c r="K17" s="55"/>
    </row>
    <row r="18" spans="1:11" ht="19.5" customHeight="1" outlineLevel="1">
      <c r="A18" s="214"/>
      <c r="B18" s="50"/>
      <c r="C18" s="50"/>
      <c r="D18" s="50"/>
      <c r="E18" s="50"/>
      <c r="F18" s="50"/>
      <c r="G18" s="50"/>
      <c r="H18" s="50"/>
      <c r="I18" s="50"/>
      <c r="J18" s="50"/>
      <c r="K18" s="50"/>
    </row>
    <row r="19" spans="1:11" ht="19.5" customHeight="1" outlineLevel="1">
      <c r="A19" s="218"/>
      <c r="B19" s="55"/>
      <c r="C19" s="55"/>
      <c r="D19" s="55"/>
      <c r="E19" s="55"/>
      <c r="F19" s="55"/>
      <c r="G19" s="55"/>
      <c r="H19" s="55"/>
      <c r="I19" s="55"/>
      <c r="J19" s="55"/>
      <c r="K19" s="55"/>
    </row>
    <row r="20" spans="1:11" ht="19.5" customHeight="1" outlineLevel="1">
      <c r="A20" s="214"/>
      <c r="B20" s="50"/>
      <c r="C20" s="50"/>
      <c r="D20" s="50"/>
      <c r="E20" s="50"/>
      <c r="F20" s="50"/>
      <c r="G20" s="50"/>
      <c r="H20" s="50"/>
      <c r="I20" s="50"/>
      <c r="J20" s="50"/>
      <c r="K20" s="50"/>
    </row>
    <row r="21" spans="1:11" ht="19.5" customHeight="1" outlineLevel="1">
      <c r="A21" s="218"/>
      <c r="B21" s="55"/>
      <c r="C21" s="55"/>
      <c r="D21" s="55"/>
      <c r="E21" s="55"/>
      <c r="F21" s="55"/>
      <c r="G21" s="55"/>
      <c r="H21" s="55"/>
      <c r="I21" s="55"/>
      <c r="J21" s="55"/>
      <c r="K21" s="55"/>
    </row>
    <row r="22" spans="1:11" ht="19.5" customHeight="1" outlineLevel="1">
      <c r="A22" s="214"/>
      <c r="B22" s="50"/>
      <c r="C22" s="50"/>
      <c r="D22" s="50"/>
      <c r="E22" s="50"/>
      <c r="F22" s="50"/>
      <c r="G22" s="50"/>
      <c r="H22" s="50"/>
      <c r="I22" s="50"/>
      <c r="J22" s="50"/>
      <c r="K22" s="50"/>
    </row>
    <row r="23" spans="1:11" ht="19.5" customHeight="1" outlineLevel="1">
      <c r="A23" s="218"/>
      <c r="B23" s="55"/>
      <c r="C23" s="55"/>
      <c r="D23" s="55"/>
      <c r="E23" s="55"/>
      <c r="F23" s="55"/>
      <c r="G23" s="55"/>
      <c r="H23" s="55"/>
      <c r="I23" s="55"/>
      <c r="J23" s="55"/>
      <c r="K23" s="55"/>
    </row>
    <row r="24" spans="1:11" ht="19.5" customHeight="1" outlineLevel="1">
      <c r="A24" s="214"/>
      <c r="B24" s="50"/>
      <c r="C24" s="50"/>
      <c r="D24" s="50"/>
      <c r="E24" s="50"/>
      <c r="F24" s="50"/>
      <c r="G24" s="50"/>
      <c r="H24" s="50"/>
      <c r="I24" s="50"/>
      <c r="J24" s="50"/>
      <c r="K24" s="50"/>
    </row>
    <row r="25" spans="1:11" ht="19.5" customHeight="1" outlineLevel="1">
      <c r="A25" s="218"/>
      <c r="B25" s="55"/>
      <c r="C25" s="55"/>
      <c r="D25" s="55"/>
      <c r="E25" s="55"/>
      <c r="F25" s="55"/>
      <c r="G25" s="55"/>
      <c r="H25" s="55"/>
      <c r="I25" s="55"/>
      <c r="J25" s="55"/>
      <c r="K25" s="55"/>
    </row>
    <row r="26" spans="1:11" ht="19.5" customHeight="1" outlineLevel="1">
      <c r="A26" s="214"/>
      <c r="B26" s="50"/>
      <c r="C26" s="50"/>
      <c r="D26" s="50"/>
      <c r="E26" s="50"/>
      <c r="F26" s="50"/>
      <c r="G26" s="50"/>
      <c r="H26" s="50"/>
      <c r="I26" s="50"/>
      <c r="J26" s="50"/>
      <c r="K26" s="50"/>
    </row>
    <row r="27" spans="1:11" ht="19.5" customHeight="1" outlineLevel="1">
      <c r="A27" s="218"/>
      <c r="B27" s="55"/>
      <c r="C27" s="55"/>
      <c r="D27" s="55"/>
      <c r="E27" s="55"/>
      <c r="F27" s="55"/>
      <c r="G27" s="55"/>
      <c r="H27" s="55"/>
      <c r="I27" s="55"/>
      <c r="J27" s="55"/>
      <c r="K27" s="55"/>
    </row>
    <row r="28" spans="1:11" ht="19.5" customHeight="1" outlineLevel="1">
      <c r="A28" s="214"/>
      <c r="B28" s="50"/>
      <c r="C28" s="50"/>
      <c r="D28" s="50"/>
      <c r="E28" s="50"/>
      <c r="F28" s="50"/>
      <c r="G28" s="50"/>
      <c r="H28" s="50"/>
      <c r="I28" s="50"/>
      <c r="J28" s="50"/>
      <c r="K28" s="50"/>
    </row>
    <row r="29" spans="1:11" ht="19.5" customHeight="1" outlineLevel="1">
      <c r="A29" s="218"/>
      <c r="B29" s="55"/>
      <c r="C29" s="55"/>
      <c r="D29" s="55"/>
      <c r="E29" s="55"/>
      <c r="F29" s="55"/>
      <c r="G29" s="55"/>
      <c r="H29" s="55"/>
      <c r="I29" s="55"/>
      <c r="J29" s="55"/>
      <c r="K29" s="55"/>
    </row>
    <row r="30" spans="1:11" ht="19.5" customHeight="1" outlineLevel="1">
      <c r="A30" s="214"/>
      <c r="B30" s="50"/>
      <c r="C30" s="50"/>
      <c r="D30" s="50"/>
      <c r="E30" s="50"/>
      <c r="F30" s="50"/>
      <c r="G30" s="50"/>
      <c r="H30" s="50"/>
      <c r="I30" s="50"/>
      <c r="J30" s="50"/>
      <c r="K30" s="50"/>
    </row>
    <row r="31" spans="1:11" ht="19.5" customHeight="1" outlineLevel="1">
      <c r="A31" s="218"/>
      <c r="B31" s="55"/>
      <c r="C31" s="55"/>
      <c r="D31" s="55"/>
      <c r="E31" s="55"/>
      <c r="F31" s="55"/>
      <c r="G31" s="55"/>
      <c r="H31" s="55"/>
      <c r="I31" s="55"/>
      <c r="J31" s="55"/>
      <c r="K31" s="55"/>
    </row>
    <row r="32" spans="1:11" ht="19.5" customHeight="1" outlineLevel="1">
      <c r="A32" s="214"/>
      <c r="B32" s="50"/>
      <c r="C32" s="50"/>
      <c r="D32" s="50"/>
      <c r="E32" s="50"/>
      <c r="F32" s="50"/>
      <c r="G32" s="50"/>
      <c r="H32" s="50"/>
      <c r="I32" s="50"/>
      <c r="J32" s="50"/>
      <c r="K32" s="50"/>
    </row>
    <row r="33" spans="1:11" ht="19.5" customHeight="1" outlineLevel="1">
      <c r="A33" s="248"/>
      <c r="B33" s="249"/>
      <c r="C33" s="249"/>
      <c r="D33" s="55"/>
      <c r="E33" s="55"/>
      <c r="F33" s="55"/>
      <c r="G33" s="55"/>
      <c r="H33" s="55"/>
      <c r="I33" s="55"/>
      <c r="J33" s="55"/>
      <c r="K33" s="55"/>
    </row>
    <row r="34" spans="1:11" ht="19.5" customHeight="1">
      <c r="A34" s="251"/>
      <c r="B34" s="254" t="s">
        <v>6375</v>
      </c>
      <c r="C34" s="252"/>
      <c r="D34" s="225"/>
      <c r="E34" s="50"/>
      <c r="F34" s="50"/>
      <c r="G34" s="50"/>
      <c r="H34" s="50"/>
      <c r="I34" s="50"/>
      <c r="J34" s="50"/>
      <c r="K34" s="50"/>
    </row>
    <row r="35" spans="1:11" ht="19.5" customHeight="1">
      <c r="A35" s="248" t="s">
        <v>2322</v>
      </c>
      <c r="B35" s="255" t="s">
        <v>6376</v>
      </c>
      <c r="C35" s="255" t="s">
        <v>6377</v>
      </c>
      <c r="D35" s="232" t="s">
        <v>6378</v>
      </c>
      <c r="E35" s="232" t="s">
        <v>188</v>
      </c>
      <c r="F35" s="55"/>
      <c r="G35" s="55"/>
      <c r="H35" s="55"/>
      <c r="I35" s="55"/>
      <c r="J35" s="55"/>
      <c r="K35" s="55"/>
    </row>
    <row r="36" spans="1:11" ht="19.5" customHeight="1">
      <c r="A36" s="251" t="s">
        <v>6379</v>
      </c>
      <c r="B36" s="252" t="s">
        <v>6380</v>
      </c>
      <c r="C36" s="252" t="s">
        <v>6381</v>
      </c>
      <c r="D36" s="50" t="s">
        <v>6382</v>
      </c>
      <c r="E36" s="50" t="s">
        <v>6383</v>
      </c>
      <c r="F36" s="50"/>
      <c r="G36" s="50"/>
      <c r="H36" s="50"/>
      <c r="I36" s="50"/>
      <c r="J36" s="50"/>
      <c r="K36" s="50"/>
    </row>
    <row r="37" spans="1:11" ht="19.5" customHeight="1">
      <c r="A37" s="248" t="s">
        <v>6384</v>
      </c>
      <c r="B37" s="249" t="s">
        <v>6385</v>
      </c>
      <c r="C37" s="249" t="s">
        <v>6386</v>
      </c>
      <c r="D37" s="55" t="s">
        <v>6382</v>
      </c>
      <c r="E37" s="55" t="s">
        <v>6383</v>
      </c>
      <c r="F37" s="55"/>
      <c r="G37" s="55"/>
      <c r="H37" s="55"/>
      <c r="I37" s="55"/>
      <c r="J37" s="55"/>
      <c r="K37" s="55"/>
    </row>
    <row r="38" spans="1:11" ht="19.5" customHeight="1">
      <c r="A38" s="251" t="s">
        <v>6387</v>
      </c>
      <c r="B38" s="252" t="s">
        <v>6388</v>
      </c>
      <c r="C38" s="252" t="s">
        <v>6389</v>
      </c>
      <c r="D38" s="50" t="s">
        <v>6382</v>
      </c>
      <c r="E38" s="50" t="s">
        <v>6383</v>
      </c>
      <c r="F38" s="50"/>
      <c r="G38" s="50"/>
      <c r="H38" s="50"/>
      <c r="I38" s="50"/>
      <c r="J38" s="50"/>
      <c r="K38" s="50"/>
    </row>
    <row r="39" spans="1:11" ht="19.5" customHeight="1">
      <c r="A39" s="248" t="s">
        <v>6390</v>
      </c>
      <c r="B39" s="249" t="s">
        <v>6391</v>
      </c>
      <c r="C39" s="249" t="s">
        <v>6392</v>
      </c>
      <c r="D39" s="55" t="s">
        <v>6382</v>
      </c>
      <c r="E39" s="55" t="s">
        <v>3207</v>
      </c>
      <c r="F39" s="55"/>
      <c r="G39" s="55"/>
      <c r="H39" s="55"/>
      <c r="I39" s="55"/>
      <c r="J39" s="55"/>
      <c r="K39" s="55"/>
    </row>
    <row r="40" spans="1:11" ht="19.5" customHeight="1">
      <c r="A40" s="251" t="s">
        <v>6393</v>
      </c>
      <c r="B40" s="252" t="s">
        <v>6394</v>
      </c>
      <c r="C40" s="252" t="s">
        <v>6395</v>
      </c>
      <c r="D40" s="50" t="s">
        <v>6382</v>
      </c>
      <c r="E40" s="50" t="s">
        <v>6383</v>
      </c>
      <c r="F40" s="50"/>
      <c r="G40" s="50"/>
      <c r="H40" s="50"/>
      <c r="I40" s="50"/>
      <c r="J40" s="50"/>
      <c r="K40" s="50"/>
    </row>
    <row r="41" spans="1:11" ht="19.5" customHeight="1">
      <c r="A41" s="248" t="s">
        <v>6396</v>
      </c>
      <c r="B41" s="249" t="s">
        <v>6397</v>
      </c>
      <c r="C41" s="249" t="s">
        <v>6398</v>
      </c>
      <c r="D41" s="55" t="s">
        <v>6382</v>
      </c>
      <c r="E41" s="55" t="s">
        <v>6399</v>
      </c>
      <c r="F41" s="55"/>
      <c r="G41" s="55"/>
      <c r="H41" s="55"/>
      <c r="I41" s="55"/>
      <c r="J41" s="55"/>
      <c r="K41" s="55"/>
    </row>
    <row r="42" spans="1:11" ht="19.5" customHeight="1">
      <c r="A42" s="251" t="s">
        <v>6400</v>
      </c>
      <c r="B42" s="252" t="s">
        <v>6401</v>
      </c>
      <c r="C42" s="252" t="s">
        <v>6402</v>
      </c>
      <c r="D42" s="50" t="s">
        <v>6382</v>
      </c>
      <c r="E42" s="50" t="s">
        <v>6403</v>
      </c>
      <c r="F42" s="50"/>
      <c r="G42" s="50"/>
      <c r="H42" s="50"/>
      <c r="I42" s="50"/>
      <c r="J42" s="50"/>
      <c r="K42" s="50"/>
    </row>
    <row r="43" spans="1:11" ht="19.5" customHeight="1">
      <c r="A43" s="248" t="s">
        <v>6404</v>
      </c>
      <c r="B43" s="249" t="s">
        <v>6405</v>
      </c>
      <c r="C43" s="249" t="s">
        <v>6406</v>
      </c>
      <c r="D43" s="55" t="s">
        <v>6382</v>
      </c>
      <c r="E43" s="55" t="s">
        <v>6407</v>
      </c>
      <c r="F43" s="55"/>
      <c r="G43" s="55"/>
      <c r="H43" s="55"/>
      <c r="I43" s="55"/>
      <c r="J43" s="55"/>
      <c r="K43" s="55"/>
    </row>
    <row r="44" spans="1:11" ht="19.5" customHeight="1">
      <c r="A44" s="251" t="s">
        <v>6408</v>
      </c>
      <c r="B44" s="252" t="s">
        <v>6409</v>
      </c>
      <c r="C44" s="252" t="s">
        <v>6410</v>
      </c>
      <c r="D44" s="50" t="s">
        <v>6411</v>
      </c>
      <c r="E44" s="50" t="s">
        <v>3207</v>
      </c>
      <c r="F44" s="50"/>
      <c r="G44" s="50"/>
      <c r="H44" s="50"/>
      <c r="I44" s="50"/>
      <c r="J44" s="50"/>
      <c r="K44" s="50"/>
    </row>
    <row r="45" spans="1:11" ht="19.5" customHeight="1">
      <c r="A45" s="248" t="s">
        <v>6412</v>
      </c>
      <c r="B45" s="249" t="s">
        <v>6413</v>
      </c>
      <c r="C45" s="249" t="s">
        <v>6414</v>
      </c>
      <c r="D45" s="55" t="s">
        <v>6411</v>
      </c>
      <c r="E45" s="55" t="s">
        <v>6415</v>
      </c>
      <c r="F45" s="55"/>
      <c r="G45" s="55"/>
      <c r="H45" s="55"/>
      <c r="I45" s="55"/>
      <c r="J45" s="55"/>
      <c r="K45" s="55"/>
    </row>
    <row r="46" spans="1:11" ht="19.5" customHeight="1">
      <c r="A46" s="251" t="s">
        <v>6416</v>
      </c>
      <c r="B46" s="252" t="s">
        <v>6417</v>
      </c>
      <c r="C46" s="252" t="s">
        <v>6418</v>
      </c>
      <c r="D46" s="50" t="s">
        <v>6411</v>
      </c>
      <c r="E46" s="50" t="s">
        <v>6419</v>
      </c>
      <c r="F46" s="50"/>
      <c r="G46" s="50"/>
      <c r="H46" s="50"/>
      <c r="I46" s="50"/>
      <c r="J46" s="50"/>
      <c r="K46" s="50"/>
    </row>
    <row r="47" spans="1:11" ht="19.5" customHeight="1">
      <c r="A47" s="248" t="s">
        <v>6420</v>
      </c>
      <c r="B47" s="249" t="s">
        <v>6421</v>
      </c>
      <c r="C47" s="249" t="s">
        <v>6422</v>
      </c>
      <c r="D47" s="55" t="s">
        <v>6423</v>
      </c>
      <c r="E47" s="55" t="s">
        <v>6424</v>
      </c>
      <c r="F47" s="55"/>
      <c r="G47" s="55"/>
      <c r="H47" s="55"/>
      <c r="I47" s="55"/>
      <c r="J47" s="55"/>
      <c r="K47" s="55"/>
    </row>
    <row r="48" spans="1:11" ht="19.5" customHeight="1">
      <c r="A48" s="251" t="s">
        <v>6425</v>
      </c>
      <c r="B48" s="252" t="s">
        <v>6426</v>
      </c>
      <c r="C48" s="252" t="s">
        <v>6427</v>
      </c>
      <c r="D48" s="50" t="s">
        <v>6423</v>
      </c>
      <c r="E48" s="50" t="s">
        <v>6428</v>
      </c>
      <c r="F48" s="50"/>
      <c r="G48" s="50"/>
      <c r="H48" s="50"/>
      <c r="I48" s="50"/>
      <c r="J48" s="50"/>
      <c r="K48" s="50"/>
    </row>
    <row r="49" spans="1:11" ht="19.5" customHeight="1">
      <c r="A49" s="248" t="s">
        <v>6429</v>
      </c>
      <c r="B49" s="249" t="s">
        <v>6430</v>
      </c>
      <c r="C49" s="249" t="s">
        <v>6431</v>
      </c>
      <c r="D49" s="55" t="s">
        <v>6432</v>
      </c>
      <c r="E49" s="55" t="s">
        <v>6433</v>
      </c>
      <c r="F49" s="55"/>
      <c r="G49" s="55"/>
      <c r="H49" s="55"/>
      <c r="I49" s="55"/>
      <c r="J49" s="55"/>
      <c r="K49" s="55"/>
    </row>
    <row r="50" spans="1:11" ht="19.5" customHeight="1">
      <c r="A50" s="251" t="s">
        <v>6434</v>
      </c>
      <c r="B50" s="252" t="s">
        <v>6435</v>
      </c>
      <c r="C50" s="252" t="s">
        <v>6436</v>
      </c>
      <c r="D50" s="50" t="s">
        <v>6437</v>
      </c>
      <c r="E50" s="50" t="s">
        <v>6438</v>
      </c>
      <c r="F50" s="50"/>
      <c r="G50" s="50"/>
      <c r="H50" s="50"/>
      <c r="I50" s="50"/>
      <c r="J50" s="50"/>
      <c r="K50" s="50"/>
    </row>
    <row r="51" spans="1:11" ht="19.5" customHeight="1">
      <c r="A51" s="248" t="s">
        <v>6439</v>
      </c>
      <c r="B51" s="249" t="s">
        <v>6440</v>
      </c>
      <c r="C51" s="249" t="s">
        <v>6441</v>
      </c>
      <c r="D51" s="55" t="s">
        <v>6437</v>
      </c>
      <c r="E51" s="55" t="s">
        <v>6442</v>
      </c>
      <c r="F51" s="55"/>
      <c r="G51" s="55"/>
      <c r="H51" s="55"/>
      <c r="I51" s="55"/>
      <c r="J51" s="55"/>
      <c r="K51" s="55"/>
    </row>
    <row r="52" spans="1:11" ht="19.5" customHeight="1">
      <c r="A52" s="251" t="s">
        <v>6443</v>
      </c>
      <c r="B52" s="252" t="s">
        <v>6444</v>
      </c>
      <c r="C52" s="252" t="s">
        <v>6445</v>
      </c>
      <c r="D52" s="50" t="s">
        <v>763</v>
      </c>
      <c r="E52" s="50" t="s">
        <v>6399</v>
      </c>
      <c r="F52" s="50"/>
      <c r="G52" s="50"/>
      <c r="H52" s="50"/>
      <c r="I52" s="50"/>
      <c r="J52" s="50"/>
      <c r="K52" s="50"/>
    </row>
    <row r="53" spans="1:11" ht="19.5" customHeight="1">
      <c r="A53" s="248" t="s">
        <v>6446</v>
      </c>
      <c r="B53" s="249" t="s">
        <v>6447</v>
      </c>
      <c r="C53" s="249" t="s">
        <v>6448</v>
      </c>
      <c r="D53" s="55" t="s">
        <v>763</v>
      </c>
      <c r="E53" s="55" t="s">
        <v>6428</v>
      </c>
      <c r="F53" s="55"/>
      <c r="G53" s="55"/>
      <c r="H53" s="55"/>
      <c r="I53" s="55"/>
      <c r="J53" s="55"/>
      <c r="K53" s="55"/>
    </row>
    <row r="54" spans="1:11" ht="19.5" customHeight="1">
      <c r="A54" s="251" t="s">
        <v>6449</v>
      </c>
      <c r="B54" s="252" t="s">
        <v>6450</v>
      </c>
      <c r="C54" s="252" t="s">
        <v>6451</v>
      </c>
      <c r="D54" s="50" t="s">
        <v>763</v>
      </c>
      <c r="E54" s="50" t="s">
        <v>6452</v>
      </c>
      <c r="F54" s="50"/>
      <c r="G54" s="50"/>
      <c r="H54" s="50"/>
      <c r="I54" s="50"/>
      <c r="J54" s="50"/>
      <c r="K54" s="50"/>
    </row>
    <row r="55" spans="1:11" ht="39" customHeight="1">
      <c r="A55" s="248" t="s">
        <v>6453</v>
      </c>
      <c r="B55" s="249" t="s">
        <v>6454</v>
      </c>
      <c r="C55" s="249" t="s">
        <v>6455</v>
      </c>
      <c r="D55" s="55" t="s">
        <v>763</v>
      </c>
      <c r="E55" s="55" t="s">
        <v>6456</v>
      </c>
      <c r="F55" s="55"/>
      <c r="G55" s="55"/>
      <c r="H55" s="55"/>
      <c r="I55" s="55"/>
      <c r="J55" s="55"/>
      <c r="K55" s="55"/>
    </row>
    <row r="56" spans="1:11" ht="26.25" customHeight="1">
      <c r="A56" s="251" t="s">
        <v>6457</v>
      </c>
      <c r="B56" s="252" t="s">
        <v>6458</v>
      </c>
      <c r="C56" s="252" t="s">
        <v>6459</v>
      </c>
      <c r="D56" s="50" t="s">
        <v>6460</v>
      </c>
      <c r="E56" s="50" t="s">
        <v>6461</v>
      </c>
      <c r="F56" s="50"/>
      <c r="G56" s="50"/>
      <c r="H56" s="50"/>
      <c r="I56" s="50"/>
      <c r="J56" s="50"/>
      <c r="K56" s="50"/>
    </row>
    <row r="57" spans="1:11" ht="15" customHeight="1">
      <c r="A57" s="251"/>
      <c r="B57" s="256">
        <v>46094</v>
      </c>
      <c r="C57" s="252" t="s">
        <v>6462</v>
      </c>
      <c r="D57" s="50"/>
      <c r="E57" s="50"/>
      <c r="F57" s="50"/>
      <c r="G57" s="50"/>
      <c r="H57" s="50"/>
      <c r="I57" s="50"/>
      <c r="J57" s="50"/>
      <c r="K57" s="50"/>
    </row>
    <row r="58" spans="1:11" ht="15" customHeight="1">
      <c r="A58" s="251" t="s">
        <v>6463</v>
      </c>
      <c r="B58" s="249" t="s">
        <v>6464</v>
      </c>
      <c r="C58" s="249" t="s">
        <v>6465</v>
      </c>
      <c r="D58" s="55"/>
      <c r="E58" s="55"/>
      <c r="F58" s="55"/>
      <c r="G58" s="55"/>
      <c r="H58" s="55"/>
      <c r="I58" s="55"/>
      <c r="J58" s="55"/>
      <c r="K58" s="55"/>
    </row>
    <row r="59" spans="1:11" ht="26.25" customHeight="1">
      <c r="A59" s="251" t="s">
        <v>6466</v>
      </c>
      <c r="B59" s="252" t="s">
        <v>6467</v>
      </c>
      <c r="C59" s="252" t="s">
        <v>6468</v>
      </c>
      <c r="D59" s="50"/>
      <c r="E59" s="50"/>
      <c r="F59" s="50"/>
      <c r="G59" s="50"/>
      <c r="H59" s="50"/>
      <c r="I59" s="50"/>
      <c r="J59" s="50"/>
      <c r="K59" s="50"/>
    </row>
    <row r="60" spans="1:11" ht="15" customHeight="1">
      <c r="A60" s="251" t="s">
        <v>6469</v>
      </c>
      <c r="B60" s="249" t="s">
        <v>6470</v>
      </c>
      <c r="C60" s="249" t="s">
        <v>6471</v>
      </c>
      <c r="D60" s="55"/>
      <c r="E60" s="55"/>
      <c r="F60" s="55"/>
      <c r="G60" s="55"/>
      <c r="H60" s="55"/>
      <c r="I60" s="55"/>
      <c r="J60" s="55"/>
      <c r="K60" s="55"/>
    </row>
    <row r="61" spans="1:11" ht="26.25" customHeight="1">
      <c r="A61" s="251" t="s">
        <v>6472</v>
      </c>
      <c r="B61" s="252" t="s">
        <v>6473</v>
      </c>
      <c r="C61" s="252" t="s">
        <v>6474</v>
      </c>
      <c r="D61" s="50"/>
      <c r="E61" s="50"/>
      <c r="F61" s="50"/>
      <c r="G61" s="50"/>
      <c r="H61" s="50"/>
      <c r="I61" s="50"/>
      <c r="J61" s="50"/>
      <c r="K61" s="50"/>
    </row>
    <row r="62" spans="1:11" ht="26.25" customHeight="1">
      <c r="A62" s="251" t="s">
        <v>6475</v>
      </c>
      <c r="B62" s="249" t="s">
        <v>6476</v>
      </c>
      <c r="C62" s="249" t="s">
        <v>6477</v>
      </c>
      <c r="D62" s="55"/>
      <c r="E62" s="55"/>
      <c r="F62" s="55"/>
      <c r="G62" s="55"/>
      <c r="H62" s="55"/>
      <c r="I62" s="55"/>
      <c r="J62" s="55"/>
      <c r="K62" s="55"/>
    </row>
    <row r="63" spans="1:11" ht="26.25" customHeight="1">
      <c r="A63" s="251" t="s">
        <v>6478</v>
      </c>
      <c r="B63" s="252" t="s">
        <v>6479</v>
      </c>
      <c r="C63" s="252" t="s">
        <v>6480</v>
      </c>
      <c r="D63" s="50"/>
      <c r="E63" s="50"/>
      <c r="F63" s="50"/>
      <c r="G63" s="50"/>
      <c r="H63" s="50"/>
      <c r="I63" s="50"/>
      <c r="J63" s="50"/>
      <c r="K63" s="50"/>
    </row>
    <row r="64" spans="1:11" ht="26.25" customHeight="1" outlineLevel="1">
      <c r="A64" s="251" t="s">
        <v>6481</v>
      </c>
      <c r="B64" s="50" t="s">
        <v>6482</v>
      </c>
      <c r="C64" s="50" t="s">
        <v>6483</v>
      </c>
      <c r="D64" s="50"/>
      <c r="E64" s="50"/>
      <c r="F64" s="50"/>
      <c r="G64" s="50"/>
      <c r="H64" s="50"/>
      <c r="I64" s="50"/>
      <c r="J64" s="50"/>
      <c r="K64" s="50"/>
    </row>
    <row r="65" spans="1:11" ht="26.25" customHeight="1" outlineLevel="1">
      <c r="A65" s="251" t="s">
        <v>6484</v>
      </c>
      <c r="B65" s="55" t="s">
        <v>6485</v>
      </c>
      <c r="C65" s="55" t="s">
        <v>6486</v>
      </c>
      <c r="D65" s="55"/>
      <c r="E65" s="55"/>
      <c r="F65" s="55"/>
      <c r="G65" s="55"/>
      <c r="H65" s="55"/>
      <c r="I65" s="55"/>
      <c r="J65" s="55"/>
      <c r="K65" s="55"/>
    </row>
    <row r="66" spans="1:11" ht="19.5" customHeight="1" outlineLevel="1">
      <c r="A66" s="214"/>
      <c r="B66" s="50"/>
      <c r="C66" s="50"/>
      <c r="D66" s="50"/>
      <c r="E66" s="50"/>
      <c r="F66" s="50"/>
      <c r="G66" s="50"/>
      <c r="H66" s="50"/>
      <c r="I66" s="50"/>
      <c r="J66" s="50"/>
      <c r="K66" s="50"/>
    </row>
    <row r="67" spans="1:11" ht="19.5" customHeight="1" outlineLevel="1">
      <c r="A67" s="218"/>
      <c r="B67" s="55"/>
      <c r="C67" s="55"/>
      <c r="D67" s="55"/>
      <c r="E67" s="55"/>
      <c r="F67" s="55"/>
      <c r="G67" s="55"/>
      <c r="H67" s="55"/>
      <c r="I67" s="55"/>
      <c r="J67" s="55"/>
      <c r="K67" s="55"/>
    </row>
    <row r="68" spans="1:11" ht="19.5" customHeight="1" outlineLevel="1">
      <c r="A68" s="214"/>
      <c r="B68" s="50"/>
      <c r="C68" s="50"/>
      <c r="D68" s="50"/>
      <c r="E68" s="50"/>
      <c r="F68" s="50"/>
      <c r="G68" s="50"/>
      <c r="H68" s="50"/>
      <c r="I68" s="50"/>
      <c r="J68" s="50"/>
      <c r="K68" s="50"/>
    </row>
    <row r="69" spans="1:11" ht="19.5" customHeight="1" outlineLevel="1">
      <c r="A69" s="218"/>
      <c r="B69" s="55"/>
      <c r="C69" s="55"/>
      <c r="D69" s="55"/>
      <c r="E69" s="55"/>
      <c r="F69" s="55"/>
      <c r="G69" s="55"/>
      <c r="H69" s="55"/>
      <c r="I69" s="55"/>
      <c r="J69" s="55"/>
      <c r="K69" s="55"/>
    </row>
    <row r="70" spans="1:11" ht="19.5" customHeight="1" outlineLevel="1">
      <c r="A70" s="214"/>
      <c r="B70" s="50"/>
      <c r="C70" s="50"/>
      <c r="D70" s="50"/>
      <c r="E70" s="50"/>
      <c r="F70" s="50"/>
      <c r="G70" s="50"/>
      <c r="H70" s="50"/>
      <c r="I70" s="50"/>
      <c r="J70" s="50"/>
      <c r="K70" s="50"/>
    </row>
    <row r="71" spans="1:11" ht="19.5" customHeight="1" outlineLevel="1">
      <c r="A71" s="218"/>
      <c r="B71" s="55"/>
      <c r="C71" s="55"/>
      <c r="D71" s="55"/>
      <c r="E71" s="55"/>
      <c r="F71" s="55"/>
      <c r="G71" s="55"/>
      <c r="H71" s="55"/>
      <c r="I71" s="55"/>
      <c r="J71" s="55"/>
      <c r="K71" s="55"/>
    </row>
    <row r="72" spans="1:11" ht="19.5" customHeight="1">
      <c r="A72" s="251">
        <v>10</v>
      </c>
      <c r="B72" s="252" t="s">
        <v>6487</v>
      </c>
      <c r="C72" s="252" t="s">
        <v>6488</v>
      </c>
      <c r="D72" s="50"/>
      <c r="E72" s="50"/>
      <c r="F72" s="50"/>
      <c r="G72" s="50"/>
      <c r="H72" s="50"/>
      <c r="I72" s="50"/>
      <c r="J72" s="50"/>
      <c r="K72" s="50"/>
    </row>
    <row r="73" spans="1:11" ht="19.5" customHeight="1">
      <c r="A73" s="248">
        <v>11</v>
      </c>
      <c r="B73" s="249" t="s">
        <v>6489</v>
      </c>
      <c r="C73" s="249" t="s">
        <v>6490</v>
      </c>
      <c r="D73" s="55"/>
      <c r="E73" s="55"/>
      <c r="F73" s="55"/>
      <c r="G73" s="55"/>
      <c r="H73" s="55"/>
      <c r="I73" s="55"/>
      <c r="J73" s="55"/>
      <c r="K73" s="55"/>
    </row>
    <row r="74" spans="1:11" ht="19.5" customHeight="1">
      <c r="A74" s="251"/>
      <c r="B74" s="254" t="s">
        <v>6491</v>
      </c>
      <c r="C74" s="252"/>
      <c r="D74" s="50"/>
      <c r="E74" s="50"/>
      <c r="F74" s="50"/>
      <c r="G74" s="50"/>
      <c r="H74" s="50"/>
      <c r="I74" s="50"/>
      <c r="J74" s="50"/>
      <c r="K74" s="50"/>
    </row>
    <row r="75" spans="1:11" ht="19.5" customHeight="1">
      <c r="A75" s="248">
        <v>12</v>
      </c>
      <c r="B75" s="257" t="s">
        <v>6492</v>
      </c>
      <c r="C75" s="249" t="s">
        <v>6493</v>
      </c>
      <c r="D75" s="55"/>
      <c r="E75" s="55"/>
      <c r="F75" s="55"/>
      <c r="G75" s="55"/>
      <c r="H75" s="55"/>
      <c r="I75" s="55"/>
      <c r="J75" s="55"/>
      <c r="K75" s="55"/>
    </row>
    <row r="76" spans="1:11" ht="19.5" customHeight="1">
      <c r="A76" s="251">
        <v>13</v>
      </c>
      <c r="B76" s="252" t="s">
        <v>6494</v>
      </c>
      <c r="C76" s="252" t="s">
        <v>6495</v>
      </c>
      <c r="D76" s="50"/>
      <c r="E76" s="50"/>
      <c r="F76" s="50"/>
      <c r="G76" s="50"/>
      <c r="H76" s="50"/>
      <c r="I76" s="50"/>
      <c r="J76" s="50"/>
      <c r="K76" s="50"/>
    </row>
    <row r="77" spans="1:11" ht="19.5" customHeight="1">
      <c r="A77" s="248">
        <v>14</v>
      </c>
      <c r="B77" s="249" t="s">
        <v>6496</v>
      </c>
      <c r="C77" s="249" t="s">
        <v>6497</v>
      </c>
      <c r="D77" s="55"/>
      <c r="E77" s="55"/>
      <c r="F77" s="55"/>
      <c r="G77" s="55"/>
      <c r="H77" s="55"/>
      <c r="I77" s="55"/>
      <c r="J77" s="55"/>
      <c r="K77" s="55"/>
    </row>
    <row r="78" spans="1:11" ht="19.5" customHeight="1">
      <c r="A78" s="251">
        <v>15</v>
      </c>
      <c r="B78" s="252" t="s">
        <v>6498</v>
      </c>
      <c r="C78" s="252" t="s">
        <v>6499</v>
      </c>
      <c r="D78" s="50"/>
      <c r="E78" s="50"/>
      <c r="F78" s="50"/>
      <c r="G78" s="50"/>
      <c r="H78" s="50"/>
      <c r="I78" s="50"/>
      <c r="J78" s="50"/>
      <c r="K78" s="50"/>
    </row>
    <row r="79" spans="1:11" ht="19.5" customHeight="1">
      <c r="A79" s="248">
        <v>16</v>
      </c>
      <c r="B79" s="249" t="s">
        <v>6500</v>
      </c>
      <c r="C79" s="249" t="s">
        <v>6501</v>
      </c>
      <c r="D79" s="55"/>
      <c r="E79" s="55"/>
      <c r="F79" s="55"/>
      <c r="G79" s="55"/>
      <c r="H79" s="55"/>
      <c r="I79" s="55"/>
      <c r="J79" s="55"/>
      <c r="K79" s="55"/>
    </row>
    <row r="80" spans="1:11" ht="19.5" customHeight="1">
      <c r="A80" s="251">
        <v>17</v>
      </c>
      <c r="B80" s="252" t="s">
        <v>6502</v>
      </c>
      <c r="C80" s="252" t="s">
        <v>6503</v>
      </c>
      <c r="D80" s="50"/>
      <c r="E80" s="50"/>
      <c r="F80" s="50"/>
      <c r="G80" s="50"/>
      <c r="H80" s="50"/>
      <c r="I80" s="50"/>
      <c r="J80" s="50"/>
      <c r="K80" s="50"/>
    </row>
    <row r="81" spans="1:11" ht="19.5" customHeight="1">
      <c r="A81" s="248">
        <v>18</v>
      </c>
      <c r="B81" s="249" t="s">
        <v>6504</v>
      </c>
      <c r="C81" s="249" t="s">
        <v>6505</v>
      </c>
      <c r="D81" s="55"/>
      <c r="E81" s="55"/>
      <c r="F81" s="55"/>
      <c r="G81" s="55"/>
      <c r="H81" s="55"/>
      <c r="I81" s="55"/>
      <c r="J81" s="55"/>
      <c r="K81" s="55"/>
    </row>
    <row r="82" spans="1:11" ht="19.5" customHeight="1">
      <c r="A82" s="251">
        <v>19</v>
      </c>
      <c r="B82" s="252" t="s">
        <v>6506</v>
      </c>
      <c r="C82" s="252" t="s">
        <v>6507</v>
      </c>
      <c r="D82" s="50"/>
      <c r="E82" s="50"/>
      <c r="F82" s="50"/>
      <c r="G82" s="50"/>
      <c r="H82" s="50"/>
      <c r="I82" s="50"/>
      <c r="J82" s="50"/>
      <c r="K82" s="50"/>
    </row>
    <row r="83" spans="1:11" ht="19.5" customHeight="1">
      <c r="A83" s="248">
        <v>20</v>
      </c>
      <c r="B83" s="249" t="s">
        <v>6508</v>
      </c>
      <c r="C83" s="249" t="s">
        <v>6509</v>
      </c>
      <c r="D83" s="55"/>
      <c r="E83" s="55"/>
      <c r="F83" s="55"/>
      <c r="G83" s="55"/>
      <c r="H83" s="55"/>
      <c r="I83" s="55"/>
      <c r="J83" s="55"/>
      <c r="K83" s="55"/>
    </row>
    <row r="84" spans="1:11" ht="19.5" customHeight="1">
      <c r="A84" s="251">
        <v>21</v>
      </c>
      <c r="B84" s="252" t="s">
        <v>6510</v>
      </c>
      <c r="C84" s="252" t="s">
        <v>6511</v>
      </c>
      <c r="D84" s="50"/>
      <c r="E84" s="50"/>
      <c r="F84" s="50"/>
      <c r="G84" s="50"/>
      <c r="H84" s="50"/>
      <c r="I84" s="50"/>
      <c r="J84" s="50"/>
      <c r="K84" s="50"/>
    </row>
    <row r="85" spans="1:11" ht="19.5" customHeight="1">
      <c r="A85" s="248">
        <v>22</v>
      </c>
      <c r="B85" s="249" t="s">
        <v>6512</v>
      </c>
      <c r="C85" s="249" t="s">
        <v>6513</v>
      </c>
      <c r="D85" s="55"/>
      <c r="E85" s="55"/>
      <c r="F85" s="55"/>
      <c r="G85" s="55"/>
      <c r="H85" s="55"/>
      <c r="I85" s="55"/>
      <c r="J85" s="55"/>
      <c r="K85" s="55"/>
    </row>
    <row r="86" spans="1:11" ht="19.5" customHeight="1">
      <c r="A86" s="251"/>
      <c r="B86" s="254" t="s">
        <v>6514</v>
      </c>
      <c r="C86" s="252"/>
      <c r="D86" s="50"/>
      <c r="E86" s="50"/>
      <c r="F86" s="50"/>
      <c r="G86" s="50"/>
      <c r="H86" s="50"/>
      <c r="I86" s="50"/>
      <c r="J86" s="50"/>
      <c r="K86" s="50"/>
    </row>
    <row r="87" spans="1:11" ht="19.5" customHeight="1" outlineLevel="1">
      <c r="A87" s="218"/>
      <c r="B87" s="55"/>
      <c r="C87" s="55"/>
      <c r="D87" s="55"/>
      <c r="E87" s="55"/>
      <c r="F87" s="55"/>
      <c r="G87" s="55"/>
      <c r="H87" s="55"/>
      <c r="I87" s="55"/>
      <c r="J87" s="55"/>
      <c r="K87" s="55"/>
    </row>
    <row r="88" spans="1:11" ht="19.5" customHeight="1" outlineLevel="1">
      <c r="A88" s="214"/>
      <c r="B88" s="50"/>
      <c r="C88" s="50"/>
      <c r="D88" s="50"/>
      <c r="E88" s="50"/>
      <c r="F88" s="50"/>
      <c r="G88" s="50"/>
      <c r="H88" s="50"/>
      <c r="I88" s="50"/>
      <c r="J88" s="50"/>
      <c r="K88" s="50"/>
    </row>
    <row r="89" spans="1:11" ht="19.5" customHeight="1" outlineLevel="1">
      <c r="A89" s="218"/>
      <c r="B89" s="55"/>
      <c r="C89" s="55"/>
      <c r="D89" s="55"/>
      <c r="E89" s="55"/>
      <c r="F89" s="55"/>
      <c r="G89" s="55"/>
      <c r="H89" s="55"/>
      <c r="I89" s="55"/>
      <c r="J89" s="55"/>
      <c r="K89" s="55"/>
    </row>
    <row r="90" spans="1:11" ht="19.5" customHeight="1" outlineLevel="1">
      <c r="A90" s="214"/>
      <c r="B90" s="50"/>
      <c r="C90" s="50"/>
      <c r="D90" s="50"/>
      <c r="E90" s="50"/>
      <c r="F90" s="50"/>
      <c r="G90" s="50"/>
      <c r="H90" s="50"/>
      <c r="I90" s="50"/>
      <c r="J90" s="50"/>
      <c r="K90" s="50"/>
    </row>
    <row r="91" spans="1:11" ht="19.5" customHeight="1" outlineLevel="1">
      <c r="A91" s="218"/>
      <c r="B91" s="55"/>
      <c r="C91" s="55"/>
      <c r="D91" s="55"/>
      <c r="E91" s="55"/>
      <c r="F91" s="55"/>
      <c r="G91" s="55"/>
      <c r="H91" s="55"/>
      <c r="I91" s="55"/>
      <c r="J91" s="55"/>
      <c r="K91" s="55"/>
    </row>
    <row r="92" spans="1:11" ht="19.5" customHeight="1" outlineLevel="1">
      <c r="A92" s="214"/>
      <c r="B92" s="50"/>
      <c r="C92" s="50"/>
      <c r="D92" s="50"/>
      <c r="E92" s="50"/>
      <c r="F92" s="50"/>
      <c r="G92" s="50"/>
      <c r="H92" s="50"/>
      <c r="I92" s="50"/>
      <c r="J92" s="50"/>
      <c r="K92" s="50"/>
    </row>
    <row r="93" spans="1:11" ht="19.5" customHeight="1" outlineLevel="1">
      <c r="A93" s="218"/>
      <c r="B93" s="55"/>
      <c r="C93" s="55"/>
      <c r="D93" s="55"/>
      <c r="E93" s="55"/>
      <c r="F93" s="55"/>
      <c r="G93" s="55"/>
      <c r="H93" s="55"/>
      <c r="I93" s="55"/>
      <c r="J93" s="55"/>
      <c r="K93" s="55"/>
    </row>
    <row r="94" spans="1:11" ht="19.5" customHeight="1" outlineLevel="1">
      <c r="A94" s="214"/>
      <c r="B94" s="50"/>
      <c r="C94" s="50"/>
      <c r="D94" s="50"/>
      <c r="E94" s="50"/>
      <c r="F94" s="50"/>
      <c r="G94" s="50"/>
      <c r="H94" s="50"/>
      <c r="I94" s="50"/>
      <c r="J94" s="50"/>
      <c r="K94" s="50"/>
    </row>
    <row r="95" spans="1:11" ht="19.5" customHeight="1" outlineLevel="1">
      <c r="A95" s="218"/>
      <c r="B95" s="55"/>
      <c r="C95" s="55"/>
      <c r="D95" s="55"/>
      <c r="E95" s="55"/>
      <c r="F95" s="55"/>
      <c r="G95" s="55"/>
      <c r="H95" s="55"/>
      <c r="I95" s="55"/>
      <c r="J95" s="55"/>
      <c r="K95" s="55"/>
    </row>
    <row r="96" spans="1:11" ht="19.5" customHeight="1" outlineLevel="1">
      <c r="A96" s="214"/>
      <c r="B96" s="50"/>
      <c r="C96" s="50"/>
      <c r="D96" s="50"/>
      <c r="E96" s="50"/>
      <c r="F96" s="50"/>
      <c r="G96" s="50"/>
      <c r="H96" s="50"/>
      <c r="I96" s="50"/>
      <c r="J96" s="50"/>
      <c r="K96" s="50"/>
    </row>
    <row r="97" spans="1:11" ht="19.5" customHeight="1" outlineLevel="1">
      <c r="A97" s="218"/>
      <c r="B97" s="55"/>
      <c r="C97" s="55"/>
      <c r="D97" s="55"/>
      <c r="E97" s="55"/>
      <c r="F97" s="55"/>
      <c r="G97" s="55"/>
      <c r="H97" s="55"/>
      <c r="I97" s="55"/>
      <c r="J97" s="55"/>
      <c r="K97" s="55"/>
    </row>
    <row r="98" spans="1:11" ht="19.5" customHeight="1" outlineLevel="1">
      <c r="A98" s="214"/>
      <c r="B98" s="50"/>
      <c r="C98" s="50"/>
      <c r="D98" s="50"/>
      <c r="E98" s="50"/>
      <c r="F98" s="50"/>
      <c r="G98" s="50"/>
      <c r="H98" s="50"/>
      <c r="I98" s="50"/>
      <c r="J98" s="50"/>
      <c r="K98" s="50"/>
    </row>
    <row r="99" spans="1:11" ht="19.5" customHeight="1" outlineLevel="1">
      <c r="A99" s="218"/>
      <c r="B99" s="55"/>
      <c r="C99" s="55"/>
      <c r="D99" s="55"/>
      <c r="E99" s="55"/>
      <c r="F99" s="55"/>
      <c r="G99" s="55"/>
      <c r="H99" s="55"/>
      <c r="I99" s="55"/>
      <c r="J99" s="55"/>
      <c r="K99" s="55"/>
    </row>
    <row r="100" spans="1:11" ht="19.5" customHeight="1" outlineLevel="1">
      <c r="A100" s="214"/>
      <c r="B100" s="50"/>
      <c r="C100" s="50"/>
      <c r="D100" s="50"/>
      <c r="E100" s="50"/>
      <c r="F100" s="50"/>
      <c r="G100" s="50"/>
      <c r="H100" s="50"/>
      <c r="I100" s="50"/>
      <c r="J100" s="50"/>
      <c r="K100" s="50"/>
    </row>
    <row r="101" spans="1:11" ht="19.5" customHeight="1" outlineLevel="1">
      <c r="A101" s="218"/>
      <c r="B101" s="55"/>
      <c r="C101" s="55"/>
      <c r="D101" s="55"/>
      <c r="E101" s="55"/>
      <c r="F101" s="55"/>
      <c r="G101" s="55"/>
      <c r="H101" s="55"/>
      <c r="I101" s="55"/>
      <c r="J101" s="55"/>
      <c r="K101" s="55"/>
    </row>
    <row r="102" spans="1:11" ht="19.5" customHeight="1" outlineLevel="1">
      <c r="A102" s="214"/>
      <c r="B102" s="50"/>
      <c r="C102" s="50"/>
      <c r="D102" s="50"/>
      <c r="E102" s="50"/>
      <c r="F102" s="50"/>
      <c r="G102" s="50"/>
      <c r="H102" s="50"/>
      <c r="I102" s="50"/>
      <c r="J102" s="50"/>
      <c r="K102" s="50"/>
    </row>
    <row r="103" spans="1:11" ht="19.5" customHeight="1" outlineLevel="1">
      <c r="A103" s="218"/>
      <c r="B103" s="55"/>
      <c r="C103" s="55"/>
      <c r="D103" s="55"/>
      <c r="E103" s="55"/>
      <c r="F103" s="55"/>
      <c r="G103" s="55"/>
      <c r="H103" s="55"/>
      <c r="I103" s="55"/>
      <c r="J103" s="55"/>
      <c r="K103" s="55"/>
    </row>
    <row r="104" spans="1:11" ht="19.5" customHeight="1" outlineLevel="1">
      <c r="A104" s="214"/>
      <c r="B104" s="50"/>
      <c r="C104" s="50"/>
      <c r="D104" s="50"/>
      <c r="E104" s="50"/>
      <c r="F104" s="50"/>
      <c r="G104" s="50"/>
      <c r="H104" s="50"/>
      <c r="I104" s="50"/>
      <c r="J104" s="50"/>
      <c r="K104" s="50"/>
    </row>
    <row r="105" spans="1:11" ht="19.5" customHeight="1" outlineLevel="1">
      <c r="A105" s="218"/>
      <c r="B105" s="55"/>
      <c r="C105" s="55"/>
      <c r="D105" s="55"/>
      <c r="E105" s="55"/>
      <c r="F105" s="55"/>
      <c r="G105" s="55"/>
      <c r="H105" s="55"/>
      <c r="I105" s="55"/>
      <c r="J105" s="55"/>
      <c r="K105" s="55"/>
    </row>
    <row r="106" spans="1:11" ht="19.5" customHeight="1" outlineLevel="1">
      <c r="A106" s="214"/>
      <c r="B106" s="50"/>
      <c r="C106" s="50"/>
      <c r="D106" s="50"/>
      <c r="E106" s="50"/>
      <c r="F106" s="50"/>
      <c r="G106" s="50"/>
      <c r="H106" s="50"/>
      <c r="I106" s="50"/>
      <c r="J106" s="50"/>
      <c r="K106" s="50"/>
    </row>
    <row r="107" spans="1:11" ht="19.5" customHeight="1" outlineLevel="1">
      <c r="A107" s="218"/>
      <c r="B107" s="55"/>
      <c r="C107" s="55"/>
      <c r="D107" s="55"/>
      <c r="E107" s="55"/>
      <c r="F107" s="55"/>
      <c r="G107" s="55"/>
      <c r="H107" s="55"/>
      <c r="I107" s="55"/>
      <c r="J107" s="55"/>
      <c r="K107" s="55"/>
    </row>
    <row r="108" spans="1:11" ht="19.5" customHeight="1" outlineLevel="1">
      <c r="A108" s="214"/>
      <c r="B108" s="50"/>
      <c r="C108" s="50"/>
      <c r="D108" s="50"/>
      <c r="E108" s="50"/>
      <c r="F108" s="50"/>
      <c r="G108" s="50"/>
      <c r="H108" s="50"/>
      <c r="I108" s="50"/>
      <c r="J108" s="50"/>
      <c r="K108" s="50"/>
    </row>
    <row r="109" spans="1:11" ht="19.5" customHeight="1" outlineLevel="1">
      <c r="A109" s="218"/>
      <c r="B109" s="55"/>
      <c r="C109" s="55"/>
      <c r="D109" s="55"/>
      <c r="E109" s="55"/>
      <c r="F109" s="55"/>
      <c r="G109" s="55"/>
      <c r="H109" s="55"/>
      <c r="I109" s="55"/>
      <c r="J109" s="55"/>
      <c r="K109" s="55"/>
    </row>
    <row r="110" spans="1:11" ht="19.5" customHeight="1" outlineLevel="1">
      <c r="A110" s="214"/>
      <c r="B110" s="50"/>
      <c r="C110" s="50"/>
      <c r="D110" s="50"/>
      <c r="E110" s="50"/>
      <c r="F110" s="50"/>
      <c r="G110" s="50"/>
      <c r="H110" s="50"/>
      <c r="I110" s="50"/>
      <c r="J110" s="50"/>
      <c r="K110" s="50"/>
    </row>
    <row r="111" spans="1:11" ht="19.5" customHeight="1" outlineLevel="1">
      <c r="A111" s="218"/>
      <c r="B111" s="55"/>
      <c r="C111" s="55"/>
      <c r="D111" s="55"/>
      <c r="E111" s="55"/>
      <c r="F111" s="55"/>
      <c r="G111" s="55"/>
      <c r="H111" s="55"/>
      <c r="I111" s="55"/>
      <c r="J111" s="55"/>
      <c r="K111" s="55"/>
    </row>
    <row r="112" spans="1:11" ht="19.5" customHeight="1" outlineLevel="1">
      <c r="A112" s="214"/>
      <c r="B112" s="50"/>
      <c r="C112" s="50"/>
      <c r="D112" s="50"/>
      <c r="E112" s="50"/>
      <c r="F112" s="50"/>
      <c r="G112" s="50"/>
      <c r="H112" s="50"/>
      <c r="I112" s="50"/>
      <c r="J112" s="50"/>
      <c r="K112" s="50"/>
    </row>
    <row r="113" spans="1:11" ht="19.5" customHeight="1" outlineLevel="1">
      <c r="A113" s="218"/>
      <c r="B113" s="55"/>
      <c r="C113" s="55"/>
      <c r="D113" s="55"/>
      <c r="E113" s="55"/>
      <c r="F113" s="55"/>
      <c r="G113" s="55"/>
      <c r="H113" s="55"/>
      <c r="I113" s="55"/>
      <c r="J113" s="55"/>
      <c r="K113" s="55"/>
    </row>
    <row r="114" spans="1:11" ht="19.5" customHeight="1" outlineLevel="1">
      <c r="A114" s="214"/>
      <c r="B114" s="50"/>
      <c r="C114" s="50"/>
      <c r="D114" s="50"/>
      <c r="E114" s="50"/>
      <c r="F114" s="50"/>
      <c r="G114" s="50"/>
      <c r="H114" s="50"/>
      <c r="I114" s="50"/>
      <c r="J114" s="50"/>
      <c r="K114" s="50"/>
    </row>
    <row r="115" spans="1:11" ht="19.5" customHeight="1" outlineLevel="1">
      <c r="A115" s="218"/>
      <c r="B115" s="55"/>
      <c r="C115" s="55"/>
      <c r="D115" s="55"/>
      <c r="E115" s="55"/>
      <c r="F115" s="55"/>
      <c r="G115" s="55"/>
      <c r="H115" s="55"/>
      <c r="I115" s="55"/>
      <c r="J115" s="55"/>
      <c r="K115" s="55"/>
    </row>
    <row r="116" spans="1:11" ht="19.5" customHeight="1" outlineLevel="1">
      <c r="A116" s="214"/>
      <c r="B116" s="50"/>
      <c r="C116" s="50"/>
      <c r="D116" s="50"/>
      <c r="E116" s="50"/>
      <c r="F116" s="50"/>
      <c r="G116" s="50"/>
      <c r="H116" s="50"/>
      <c r="I116" s="50"/>
      <c r="J116" s="50"/>
      <c r="K116" s="50"/>
    </row>
    <row r="117" spans="1:11" ht="19.5" customHeight="1" outlineLevel="1">
      <c r="A117" s="218"/>
      <c r="B117" s="55"/>
      <c r="C117" s="55"/>
      <c r="D117" s="55"/>
      <c r="E117" s="55"/>
      <c r="F117" s="55"/>
      <c r="G117" s="55"/>
      <c r="H117" s="55"/>
      <c r="I117" s="55"/>
      <c r="J117" s="55"/>
      <c r="K117" s="55"/>
    </row>
    <row r="118" spans="1:11" ht="19.5" customHeight="1" outlineLevel="1">
      <c r="A118" s="214"/>
      <c r="B118" s="50"/>
      <c r="C118" s="50"/>
      <c r="D118" s="50"/>
      <c r="E118" s="50"/>
      <c r="F118" s="50"/>
      <c r="G118" s="50"/>
      <c r="H118" s="50"/>
      <c r="I118" s="50"/>
      <c r="J118" s="50"/>
      <c r="K118" s="50"/>
    </row>
    <row r="119" spans="1:11" ht="19.5" customHeight="1" outlineLevel="1">
      <c r="A119" s="218"/>
      <c r="B119" s="55"/>
      <c r="C119" s="55"/>
      <c r="D119" s="55"/>
      <c r="E119" s="55"/>
      <c r="F119" s="55"/>
      <c r="G119" s="55"/>
      <c r="H119" s="55"/>
      <c r="I119" s="55"/>
      <c r="J119" s="55"/>
      <c r="K119" s="55"/>
    </row>
    <row r="120" spans="1:11" ht="19.5" customHeight="1" outlineLevel="1">
      <c r="A120" s="214"/>
      <c r="B120" s="50"/>
      <c r="C120" s="50"/>
      <c r="D120" s="50"/>
      <c r="E120" s="50"/>
      <c r="F120" s="50"/>
      <c r="G120" s="50"/>
      <c r="H120" s="50"/>
      <c r="I120" s="50"/>
      <c r="J120" s="50"/>
      <c r="K120" s="50"/>
    </row>
    <row r="121" spans="1:11" ht="19.5" customHeight="1" outlineLevel="1">
      <c r="A121" s="218"/>
      <c r="B121" s="55"/>
      <c r="C121" s="55"/>
      <c r="D121" s="55"/>
      <c r="E121" s="55"/>
      <c r="F121" s="55"/>
      <c r="G121" s="55"/>
      <c r="H121" s="55"/>
      <c r="I121" s="55"/>
      <c r="J121" s="55"/>
      <c r="K121" s="55"/>
    </row>
    <row r="122" spans="1:11" ht="19.5" customHeight="1" outlineLevel="1">
      <c r="A122" s="214"/>
      <c r="B122" s="50"/>
      <c r="C122" s="50"/>
      <c r="D122" s="50"/>
      <c r="E122" s="50"/>
      <c r="F122" s="50"/>
      <c r="G122" s="50"/>
      <c r="H122" s="50"/>
      <c r="I122" s="50"/>
      <c r="J122" s="50"/>
      <c r="K122" s="50"/>
    </row>
    <row r="123" spans="1:11" ht="19.5" customHeight="1" outlineLevel="1">
      <c r="A123" s="218"/>
      <c r="B123" s="55"/>
      <c r="C123" s="55"/>
      <c r="D123" s="55"/>
      <c r="E123" s="55"/>
      <c r="F123" s="55"/>
      <c r="G123" s="55"/>
      <c r="H123" s="55"/>
      <c r="I123" s="55"/>
      <c r="J123" s="55"/>
      <c r="K123" s="55"/>
    </row>
    <row r="124" spans="1:11" ht="19.5" customHeight="1" outlineLevel="1">
      <c r="A124" s="214"/>
      <c r="B124" s="50"/>
      <c r="C124" s="50"/>
      <c r="D124" s="50"/>
      <c r="E124" s="50"/>
      <c r="F124" s="50"/>
      <c r="G124" s="50"/>
      <c r="H124" s="50"/>
      <c r="I124" s="50"/>
      <c r="J124" s="50"/>
      <c r="K124" s="50"/>
    </row>
    <row r="125" spans="1:11" ht="19.5" customHeight="1" outlineLevel="1">
      <c r="A125" s="218"/>
      <c r="B125" s="55"/>
      <c r="C125" s="55"/>
      <c r="D125" s="55"/>
      <c r="E125" s="55"/>
      <c r="F125" s="55"/>
      <c r="G125" s="55"/>
      <c r="H125" s="55"/>
      <c r="I125" s="55"/>
      <c r="J125" s="55"/>
      <c r="K125" s="55"/>
    </row>
    <row r="126" spans="1:11" ht="19.5" customHeight="1" outlineLevel="1">
      <c r="A126" s="214"/>
      <c r="B126" s="50"/>
      <c r="C126" s="50"/>
      <c r="D126" s="50"/>
      <c r="E126" s="50"/>
      <c r="F126" s="50"/>
      <c r="G126" s="50"/>
      <c r="H126" s="50"/>
      <c r="I126" s="50"/>
      <c r="J126" s="50"/>
      <c r="K126" s="50"/>
    </row>
    <row r="127" spans="1:11" ht="19.5" customHeight="1" outlineLevel="1">
      <c r="A127" s="248"/>
      <c r="B127" s="249"/>
      <c r="C127" s="249"/>
      <c r="D127" s="55"/>
      <c r="E127" s="55"/>
      <c r="F127" s="55"/>
      <c r="G127" s="55"/>
      <c r="H127" s="55"/>
      <c r="I127" s="55"/>
      <c r="J127" s="55"/>
      <c r="K127" s="55"/>
    </row>
    <row r="128" spans="1:11" ht="19.5" customHeight="1">
      <c r="A128" s="251" t="s">
        <v>6515</v>
      </c>
      <c r="B128" s="254" t="s">
        <v>6516</v>
      </c>
      <c r="C128" s="254" t="s">
        <v>6517</v>
      </c>
      <c r="D128" s="50"/>
      <c r="E128" s="50"/>
      <c r="F128" s="50"/>
      <c r="G128" s="50"/>
      <c r="H128" s="50"/>
      <c r="I128" s="50"/>
      <c r="J128" s="50"/>
      <c r="K128" s="50"/>
    </row>
    <row r="129" spans="1:11" ht="19.5" customHeight="1">
      <c r="A129" s="248" t="s">
        <v>12</v>
      </c>
      <c r="B129" s="255" t="s">
        <v>1198</v>
      </c>
      <c r="C129" s="255" t="s">
        <v>14</v>
      </c>
      <c r="D129" s="55"/>
      <c r="E129" s="55"/>
      <c r="F129" s="55"/>
      <c r="G129" s="55"/>
      <c r="H129" s="55"/>
      <c r="I129" s="55"/>
      <c r="J129" s="55"/>
      <c r="K129" s="55"/>
    </row>
    <row r="130" spans="1:11" ht="19.5" customHeight="1">
      <c r="A130" s="251">
        <v>1</v>
      </c>
      <c r="B130" s="252" t="s">
        <v>6518</v>
      </c>
      <c r="C130" s="252" t="s">
        <v>3031</v>
      </c>
      <c r="D130" s="50"/>
      <c r="E130" s="50"/>
      <c r="F130" s="50"/>
      <c r="G130" s="50"/>
      <c r="H130" s="50"/>
      <c r="I130" s="50"/>
      <c r="J130" s="50"/>
      <c r="K130" s="50"/>
    </row>
    <row r="131" spans="1:11" ht="19.5" customHeight="1">
      <c r="A131" s="248">
        <v>2</v>
      </c>
      <c r="B131" s="249" t="s">
        <v>6519</v>
      </c>
      <c r="C131" s="249" t="s">
        <v>3031</v>
      </c>
      <c r="D131" s="55"/>
      <c r="E131" s="55"/>
      <c r="F131" s="55"/>
      <c r="G131" s="55"/>
      <c r="H131" s="55"/>
      <c r="I131" s="55"/>
      <c r="J131" s="55"/>
      <c r="K131" s="55"/>
    </row>
    <row r="132" spans="1:11" ht="19.5" customHeight="1">
      <c r="A132" s="251">
        <v>3</v>
      </c>
      <c r="B132" s="252" t="s">
        <v>6520</v>
      </c>
      <c r="C132" s="252" t="s">
        <v>3031</v>
      </c>
      <c r="D132" s="50"/>
      <c r="E132" s="50"/>
      <c r="F132" s="50"/>
      <c r="G132" s="50"/>
      <c r="H132" s="50"/>
      <c r="I132" s="50"/>
      <c r="J132" s="50"/>
      <c r="K132" s="50"/>
    </row>
    <row r="133" spans="1:11" ht="19.5" customHeight="1">
      <c r="A133" s="248">
        <v>4</v>
      </c>
      <c r="B133" s="249" t="s">
        <v>6521</v>
      </c>
      <c r="C133" s="249" t="s">
        <v>3031</v>
      </c>
      <c r="D133" s="55"/>
      <c r="E133" s="55"/>
      <c r="F133" s="55"/>
      <c r="G133" s="55"/>
      <c r="H133" s="55"/>
      <c r="I133" s="55"/>
      <c r="J133" s="55"/>
      <c r="K133" s="55"/>
    </row>
    <row r="134" spans="1:11" ht="19.5" customHeight="1">
      <c r="A134" s="251">
        <v>5</v>
      </c>
      <c r="B134" s="252" t="s">
        <v>6522</v>
      </c>
      <c r="C134" s="252" t="s">
        <v>3031</v>
      </c>
      <c r="D134" s="50"/>
      <c r="E134" s="50"/>
      <c r="F134" s="50"/>
      <c r="G134" s="50"/>
      <c r="H134" s="50"/>
      <c r="I134" s="50"/>
      <c r="J134" s="50"/>
      <c r="K134" s="50"/>
    </row>
    <row r="135" spans="1:11" ht="19.5" customHeight="1">
      <c r="A135" s="248">
        <v>6</v>
      </c>
      <c r="B135" s="249" t="s">
        <v>6523</v>
      </c>
      <c r="C135" s="249" t="s">
        <v>3031</v>
      </c>
      <c r="D135" s="55"/>
      <c r="E135" s="55"/>
      <c r="F135" s="55"/>
      <c r="G135" s="55"/>
      <c r="H135" s="55"/>
      <c r="I135" s="55"/>
      <c r="J135" s="55"/>
      <c r="K135" s="55"/>
    </row>
    <row r="136" spans="1:11" ht="19.5" customHeight="1">
      <c r="A136" s="251">
        <v>7</v>
      </c>
      <c r="B136" s="252" t="s">
        <v>6524</v>
      </c>
      <c r="C136" s="252" t="s">
        <v>3031</v>
      </c>
      <c r="D136" s="50"/>
      <c r="E136" s="50"/>
      <c r="F136" s="50"/>
      <c r="G136" s="50"/>
      <c r="H136" s="50"/>
      <c r="I136" s="50"/>
      <c r="J136" s="50"/>
      <c r="K136" s="50"/>
    </row>
    <row r="137" spans="1:11" ht="19.5" customHeight="1">
      <c r="A137" s="248">
        <v>8</v>
      </c>
      <c r="B137" s="249" t="s">
        <v>6525</v>
      </c>
      <c r="C137" s="249" t="s">
        <v>3031</v>
      </c>
      <c r="D137" s="55"/>
      <c r="E137" s="55"/>
      <c r="F137" s="55"/>
      <c r="G137" s="55"/>
      <c r="H137" s="55"/>
      <c r="I137" s="55"/>
      <c r="J137" s="55"/>
      <c r="K137" s="55"/>
    </row>
    <row r="138" spans="1:11" ht="19.5" customHeight="1">
      <c r="A138" s="251">
        <v>9</v>
      </c>
      <c r="B138" s="252" t="s">
        <v>6526</v>
      </c>
      <c r="C138" s="252" t="s">
        <v>3031</v>
      </c>
      <c r="D138" s="50"/>
      <c r="E138" s="50"/>
      <c r="F138" s="50"/>
      <c r="G138" s="50"/>
      <c r="H138" s="50"/>
      <c r="I138" s="50"/>
      <c r="J138" s="50"/>
      <c r="K138" s="50"/>
    </row>
    <row r="139" spans="1:11" ht="19.5" customHeight="1">
      <c r="A139" s="248">
        <v>10</v>
      </c>
      <c r="B139" s="249" t="s">
        <v>6527</v>
      </c>
      <c r="C139" s="249" t="s">
        <v>3031</v>
      </c>
      <c r="D139" s="55"/>
      <c r="E139" s="55"/>
      <c r="F139" s="55"/>
      <c r="G139" s="55"/>
      <c r="H139" s="55"/>
      <c r="I139" s="55"/>
      <c r="J139" s="55"/>
      <c r="K139" s="55"/>
    </row>
    <row r="140" spans="1:11" ht="19.5" customHeight="1">
      <c r="A140" s="251">
        <v>11</v>
      </c>
      <c r="B140" s="252" t="s">
        <v>6528</v>
      </c>
      <c r="C140" s="252" t="s">
        <v>3031</v>
      </c>
      <c r="D140" s="50"/>
      <c r="E140" s="50"/>
      <c r="F140" s="50"/>
      <c r="G140" s="50"/>
      <c r="H140" s="50"/>
      <c r="I140" s="50"/>
      <c r="J140" s="50"/>
      <c r="K140" s="50"/>
    </row>
    <row r="141" spans="1:11" ht="19.5" customHeight="1">
      <c r="A141" s="248">
        <v>12</v>
      </c>
      <c r="B141" s="249" t="s">
        <v>6529</v>
      </c>
      <c r="C141" s="249" t="s">
        <v>3031</v>
      </c>
      <c r="D141" s="55"/>
      <c r="E141" s="55"/>
      <c r="F141" s="55"/>
      <c r="G141" s="55"/>
      <c r="H141" s="55"/>
      <c r="I141" s="55"/>
      <c r="J141" s="55"/>
      <c r="K141" s="55"/>
    </row>
    <row r="142" spans="1:11" ht="19.5" customHeight="1">
      <c r="A142" s="251"/>
      <c r="B142" s="252" t="s">
        <v>6530</v>
      </c>
      <c r="C142" s="252" t="s">
        <v>6531</v>
      </c>
      <c r="D142" s="50"/>
      <c r="E142" s="50"/>
      <c r="F142" s="50"/>
      <c r="G142" s="50"/>
      <c r="H142" s="50"/>
      <c r="I142" s="50"/>
      <c r="J142" s="50"/>
      <c r="K142" s="50"/>
    </row>
    <row r="143" spans="1:11" ht="19.5" customHeight="1">
      <c r="A143" s="248"/>
      <c r="B143" s="249" t="s">
        <v>6532</v>
      </c>
      <c r="C143" s="249"/>
      <c r="D143" s="55"/>
      <c r="E143" s="55"/>
      <c r="F143" s="55"/>
      <c r="G143" s="55"/>
      <c r="H143" s="55"/>
      <c r="I143" s="55"/>
      <c r="J143" s="55"/>
      <c r="K143" s="55"/>
    </row>
    <row r="144" spans="1:11" ht="19.5" customHeight="1" outlineLevel="1">
      <c r="A144" s="251"/>
      <c r="B144" s="252"/>
      <c r="C144" s="252"/>
      <c r="D144" s="50"/>
      <c r="E144" s="50"/>
      <c r="F144" s="50"/>
      <c r="G144" s="50"/>
      <c r="H144" s="50"/>
      <c r="I144" s="50"/>
      <c r="J144" s="50"/>
      <c r="K144" s="50"/>
    </row>
    <row r="145" spans="1:11" ht="19.5" customHeight="1" outlineLevel="1">
      <c r="A145" s="248" t="s">
        <v>6533</v>
      </c>
      <c r="B145" s="249" t="s">
        <v>6534</v>
      </c>
      <c r="C145" s="249"/>
      <c r="D145" s="55"/>
      <c r="E145" s="55"/>
      <c r="F145" s="55"/>
      <c r="G145" s="55"/>
      <c r="H145" s="55"/>
      <c r="I145" s="55"/>
      <c r="J145" s="55"/>
      <c r="K145" s="55"/>
    </row>
    <row r="146" spans="1:11" ht="19.5" customHeight="1" outlineLevel="1">
      <c r="A146" s="251"/>
      <c r="B146" s="252"/>
      <c r="C146" s="252"/>
      <c r="D146" s="50"/>
      <c r="E146" s="50"/>
      <c r="F146" s="50"/>
      <c r="G146" s="50"/>
      <c r="H146" s="50"/>
      <c r="I146" s="50"/>
      <c r="J146" s="50"/>
      <c r="K146" s="50"/>
    </row>
    <row r="147" spans="1:11" ht="19.5" customHeight="1">
      <c r="A147" s="248" t="s">
        <v>6535</v>
      </c>
      <c r="B147" s="255" t="s">
        <v>260</v>
      </c>
      <c r="C147" s="255" t="s">
        <v>14</v>
      </c>
      <c r="D147" s="55"/>
      <c r="E147" s="55"/>
      <c r="F147" s="55"/>
      <c r="G147" s="55"/>
      <c r="H147" s="55"/>
      <c r="I147" s="55"/>
      <c r="J147" s="55"/>
      <c r="K147" s="55"/>
    </row>
    <row r="148" spans="1:11" ht="19.5" customHeight="1">
      <c r="A148" s="251" t="s">
        <v>6536</v>
      </c>
      <c r="B148" s="252" t="s">
        <v>6537</v>
      </c>
      <c r="C148" s="252" t="s">
        <v>6538</v>
      </c>
      <c r="D148" s="50"/>
      <c r="E148" s="50"/>
      <c r="F148" s="50"/>
      <c r="G148" s="50"/>
      <c r="H148" s="50"/>
      <c r="I148" s="50"/>
      <c r="J148" s="50"/>
      <c r="K148" s="50"/>
    </row>
    <row r="149" spans="1:11" ht="19.5" customHeight="1">
      <c r="A149" s="248" t="s">
        <v>6539</v>
      </c>
      <c r="B149" s="249" t="s">
        <v>6540</v>
      </c>
      <c r="C149" s="249" t="s">
        <v>6541</v>
      </c>
      <c r="D149" s="55"/>
      <c r="E149" s="55"/>
      <c r="F149" s="55"/>
      <c r="G149" s="55"/>
      <c r="H149" s="55"/>
      <c r="I149" s="55"/>
      <c r="J149" s="55"/>
      <c r="K149" s="55"/>
    </row>
    <row r="150" spans="1:11" ht="19.5" customHeight="1">
      <c r="A150" s="251" t="s">
        <v>6542</v>
      </c>
      <c r="B150" s="252" t="s">
        <v>6543</v>
      </c>
      <c r="C150" s="252" t="s">
        <v>6544</v>
      </c>
      <c r="D150" s="50"/>
      <c r="E150" s="50"/>
      <c r="F150" s="50"/>
      <c r="G150" s="50"/>
      <c r="H150" s="50"/>
      <c r="I150" s="50"/>
      <c r="J150" s="50"/>
      <c r="K150" s="50"/>
    </row>
    <row r="151" spans="1:11" ht="19.5" customHeight="1">
      <c r="A151" s="248" t="s">
        <v>6545</v>
      </c>
      <c r="B151" s="249" t="s">
        <v>6546</v>
      </c>
      <c r="C151" s="249" t="s">
        <v>6547</v>
      </c>
      <c r="D151" s="55"/>
      <c r="E151" s="55"/>
      <c r="F151" s="55"/>
      <c r="G151" s="55"/>
      <c r="H151" s="55"/>
      <c r="I151" s="55"/>
      <c r="J151" s="55"/>
      <c r="K151" s="55"/>
    </row>
    <row r="152" spans="1:11" ht="19.5" customHeight="1" outlineLevel="1">
      <c r="A152" s="251"/>
      <c r="B152" s="252"/>
      <c r="C152" s="252"/>
      <c r="D152" s="50"/>
      <c r="E152" s="50"/>
      <c r="F152" s="50"/>
      <c r="G152" s="50"/>
      <c r="H152" s="50"/>
      <c r="I152" s="50"/>
      <c r="J152" s="50"/>
      <c r="K152" s="50"/>
    </row>
    <row r="153" spans="1:11" ht="19.5" customHeight="1">
      <c r="A153" s="248" t="s">
        <v>6548</v>
      </c>
      <c r="B153" s="249"/>
      <c r="C153" s="258" t="s">
        <v>6549</v>
      </c>
      <c r="D153" s="55"/>
      <c r="E153" s="55"/>
      <c r="F153" s="55"/>
      <c r="G153" s="55"/>
      <c r="H153" s="55"/>
      <c r="I153" s="55"/>
      <c r="J153" s="55"/>
      <c r="K153" s="55"/>
    </row>
    <row r="154" spans="1:11" ht="19.5" customHeight="1">
      <c r="A154" s="251" t="s">
        <v>6550</v>
      </c>
      <c r="B154" s="259" t="s">
        <v>2253</v>
      </c>
      <c r="C154" s="259" t="s">
        <v>14</v>
      </c>
      <c r="D154" s="50"/>
      <c r="E154" s="50"/>
      <c r="F154" s="50"/>
      <c r="G154" s="50"/>
      <c r="H154" s="50"/>
      <c r="I154" s="50"/>
      <c r="J154" s="50"/>
      <c r="K154" s="50"/>
    </row>
    <row r="155" spans="1:11" ht="19.5" customHeight="1">
      <c r="A155" s="248" t="s">
        <v>6551</v>
      </c>
      <c r="B155" s="249" t="s">
        <v>6552</v>
      </c>
      <c r="C155" s="249" t="s">
        <v>3031</v>
      </c>
      <c r="D155" s="55"/>
      <c r="E155" s="55"/>
      <c r="F155" s="55"/>
      <c r="G155" s="55"/>
      <c r="H155" s="55"/>
      <c r="I155" s="55"/>
      <c r="J155" s="55"/>
      <c r="K155" s="55"/>
    </row>
    <row r="156" spans="1:11" ht="19.5" customHeight="1">
      <c r="A156" s="251" t="s">
        <v>6553</v>
      </c>
      <c r="B156" s="252" t="s">
        <v>6554</v>
      </c>
      <c r="C156" s="252" t="s">
        <v>3031</v>
      </c>
      <c r="D156" s="50"/>
      <c r="E156" s="50"/>
      <c r="F156" s="50"/>
      <c r="G156" s="50"/>
      <c r="H156" s="50"/>
      <c r="I156" s="50"/>
      <c r="J156" s="50"/>
      <c r="K156" s="50"/>
    </row>
    <row r="157" spans="1:11" ht="19.5" customHeight="1">
      <c r="A157" s="248" t="s">
        <v>6555</v>
      </c>
      <c r="B157" s="249" t="s">
        <v>6556</v>
      </c>
      <c r="C157" s="249" t="s">
        <v>3031</v>
      </c>
      <c r="D157" s="55"/>
      <c r="E157" s="55"/>
      <c r="F157" s="55"/>
      <c r="G157" s="55"/>
      <c r="H157" s="55"/>
      <c r="I157" s="55"/>
      <c r="J157" s="55"/>
      <c r="K157" s="55"/>
    </row>
    <row r="158" spans="1:11" ht="19.5" customHeight="1">
      <c r="A158" s="251" t="s">
        <v>6557</v>
      </c>
      <c r="B158" s="252" t="s">
        <v>6558</v>
      </c>
      <c r="C158" s="252" t="s">
        <v>3031</v>
      </c>
      <c r="D158" s="50"/>
      <c r="E158" s="50"/>
      <c r="F158" s="50"/>
      <c r="G158" s="50"/>
      <c r="H158" s="50"/>
      <c r="I158" s="50"/>
      <c r="J158" s="50"/>
      <c r="K158" s="50"/>
    </row>
    <row r="159" spans="1:11" ht="19.5" customHeight="1">
      <c r="A159" s="248" t="s">
        <v>6559</v>
      </c>
      <c r="B159" s="249" t="s">
        <v>6560</v>
      </c>
      <c r="C159" s="249" t="s">
        <v>3031</v>
      </c>
      <c r="D159" s="55"/>
      <c r="E159" s="55"/>
      <c r="F159" s="55"/>
      <c r="G159" s="55"/>
      <c r="H159" s="55"/>
      <c r="I159" s="55"/>
      <c r="J159" s="55"/>
      <c r="K159" s="55"/>
    </row>
    <row r="160" spans="1:11" ht="19.5" customHeight="1">
      <c r="A160" s="251" t="s">
        <v>6561</v>
      </c>
      <c r="B160" s="252" t="s">
        <v>6562</v>
      </c>
      <c r="C160" s="252" t="s">
        <v>3031</v>
      </c>
      <c r="D160" s="50"/>
      <c r="E160" s="50"/>
      <c r="F160" s="50"/>
      <c r="G160" s="50"/>
      <c r="H160" s="50"/>
      <c r="I160" s="50"/>
      <c r="J160" s="50"/>
      <c r="K160" s="50"/>
    </row>
    <row r="161" spans="1:11" ht="19.5" customHeight="1">
      <c r="A161" s="248" t="s">
        <v>6563</v>
      </c>
      <c r="B161" s="249" t="s">
        <v>6564</v>
      </c>
      <c r="C161" s="249" t="s">
        <v>3031</v>
      </c>
      <c r="D161" s="55"/>
      <c r="E161" s="55"/>
      <c r="F161" s="55"/>
      <c r="G161" s="55"/>
      <c r="H161" s="55"/>
      <c r="I161" s="55"/>
      <c r="J161" s="55"/>
      <c r="K161" s="55"/>
    </row>
    <row r="162" spans="1:11" ht="19.5" customHeight="1">
      <c r="A162" s="251" t="s">
        <v>6565</v>
      </c>
      <c r="B162" s="252" t="s">
        <v>6566</v>
      </c>
      <c r="C162" s="252" t="s">
        <v>3031</v>
      </c>
      <c r="D162" s="50"/>
      <c r="E162" s="50"/>
      <c r="F162" s="50"/>
      <c r="G162" s="50"/>
      <c r="H162" s="50"/>
      <c r="I162" s="50"/>
      <c r="J162" s="50"/>
      <c r="K162" s="50"/>
    </row>
    <row r="163" spans="1:11" ht="19.5" customHeight="1">
      <c r="A163" s="248" t="s">
        <v>6567</v>
      </c>
      <c r="B163" s="249" t="s">
        <v>6568</v>
      </c>
      <c r="C163" s="249" t="s">
        <v>3031</v>
      </c>
      <c r="D163" s="55"/>
      <c r="E163" s="55"/>
      <c r="F163" s="55"/>
      <c r="G163" s="55"/>
      <c r="H163" s="55"/>
      <c r="I163" s="55"/>
      <c r="J163" s="55"/>
      <c r="K163" s="55"/>
    </row>
    <row r="164" spans="1:11" ht="19.5" customHeight="1">
      <c r="A164" s="251" t="s">
        <v>6569</v>
      </c>
      <c r="B164" s="252" t="s">
        <v>6570</v>
      </c>
      <c r="C164" s="252" t="s">
        <v>3031</v>
      </c>
      <c r="D164" s="50"/>
      <c r="E164" s="50"/>
      <c r="F164" s="50"/>
      <c r="G164" s="50"/>
      <c r="H164" s="50"/>
      <c r="I164" s="50"/>
      <c r="J164" s="50"/>
      <c r="K164" s="50"/>
    </row>
    <row r="165" spans="1:11" ht="19.5" customHeight="1">
      <c r="A165" s="248" t="s">
        <v>6571</v>
      </c>
      <c r="B165" s="249" t="s">
        <v>6572</v>
      </c>
      <c r="C165" s="249" t="s">
        <v>3031</v>
      </c>
      <c r="D165" s="55"/>
      <c r="E165" s="55"/>
      <c r="F165" s="55"/>
      <c r="G165" s="55"/>
      <c r="H165" s="55"/>
      <c r="I165" s="55"/>
      <c r="J165" s="55"/>
      <c r="K165" s="55"/>
    </row>
    <row r="166" spans="1:11" ht="19.5" customHeight="1">
      <c r="A166" s="251" t="s">
        <v>6573</v>
      </c>
      <c r="B166" s="252" t="s">
        <v>6574</v>
      </c>
      <c r="C166" s="252" t="s">
        <v>3031</v>
      </c>
      <c r="D166" s="50"/>
      <c r="E166" s="50"/>
      <c r="F166" s="50"/>
      <c r="G166" s="50"/>
      <c r="H166" s="50"/>
      <c r="I166" s="50"/>
      <c r="J166" s="50"/>
      <c r="K166" s="50"/>
    </row>
    <row r="167" spans="1:11" ht="19.5" customHeight="1" outlineLevel="1">
      <c r="A167" s="248"/>
      <c r="B167" s="249"/>
      <c r="C167" s="249"/>
      <c r="D167" s="55"/>
      <c r="E167" s="55"/>
      <c r="F167" s="55"/>
      <c r="G167" s="55"/>
      <c r="H167" s="55"/>
      <c r="I167" s="55"/>
      <c r="J167" s="55"/>
      <c r="K167" s="55"/>
    </row>
    <row r="168" spans="1:11" ht="19.5" customHeight="1">
      <c r="A168" s="251" t="s">
        <v>6575</v>
      </c>
      <c r="B168" s="252"/>
      <c r="C168" s="252"/>
      <c r="D168" s="50"/>
      <c r="E168" s="50"/>
      <c r="F168" s="50"/>
      <c r="G168" s="50"/>
      <c r="H168" s="50"/>
      <c r="I168" s="50"/>
      <c r="J168" s="50"/>
      <c r="K168" s="50"/>
    </row>
    <row r="169" spans="1:11" ht="19.5" customHeight="1">
      <c r="A169" s="248" t="s">
        <v>824</v>
      </c>
      <c r="B169" s="249" t="s">
        <v>6576</v>
      </c>
      <c r="C169" s="249" t="s">
        <v>3825</v>
      </c>
      <c r="D169" s="55"/>
      <c r="E169" s="55"/>
      <c r="F169" s="55"/>
      <c r="G169" s="55"/>
      <c r="H169" s="55"/>
      <c r="I169" s="55"/>
      <c r="J169" s="55"/>
      <c r="K169" s="55"/>
    </row>
    <row r="170" spans="1:11" ht="19.5" customHeight="1">
      <c r="A170" s="251" t="s">
        <v>6577</v>
      </c>
      <c r="B170" s="252" t="s">
        <v>6578</v>
      </c>
      <c r="C170" s="252" t="s">
        <v>3825</v>
      </c>
      <c r="D170" s="50"/>
      <c r="E170" s="50"/>
      <c r="F170" s="50"/>
      <c r="G170" s="50"/>
      <c r="H170" s="50"/>
      <c r="I170" s="50"/>
      <c r="J170" s="50"/>
      <c r="K170" s="50"/>
    </row>
    <row r="171" spans="1:11" ht="19.5" customHeight="1">
      <c r="A171" s="248" t="s">
        <v>3653</v>
      </c>
      <c r="B171" s="258" t="s">
        <v>6579</v>
      </c>
      <c r="C171" s="249" t="s">
        <v>6580</v>
      </c>
      <c r="D171" s="55"/>
      <c r="E171" s="55"/>
      <c r="F171" s="55"/>
      <c r="G171" s="55"/>
      <c r="H171" s="55"/>
      <c r="I171" s="55"/>
      <c r="J171" s="55"/>
      <c r="K171" s="55"/>
    </row>
    <row r="172" spans="1:11" ht="19.5" customHeight="1" outlineLevel="1">
      <c r="A172" s="251"/>
      <c r="B172" s="252"/>
      <c r="C172" s="252"/>
      <c r="D172" s="50"/>
      <c r="E172" s="50"/>
      <c r="F172" s="50"/>
      <c r="G172" s="50"/>
      <c r="H172" s="50"/>
      <c r="I172" s="50"/>
      <c r="J172" s="50"/>
      <c r="K172" s="50"/>
    </row>
    <row r="173" spans="1:11" ht="19.5" customHeight="1">
      <c r="A173" s="248" t="s">
        <v>6581</v>
      </c>
      <c r="B173" s="258" t="s">
        <v>260</v>
      </c>
      <c r="C173" s="249"/>
      <c r="D173" s="55"/>
      <c r="E173" s="55"/>
      <c r="F173" s="55"/>
      <c r="G173" s="55"/>
      <c r="H173" s="55"/>
      <c r="I173" s="55"/>
      <c r="J173" s="55"/>
      <c r="K173" s="55"/>
    </row>
    <row r="174" spans="1:11" ht="19.5" customHeight="1">
      <c r="A174" s="251">
        <v>1</v>
      </c>
      <c r="B174" s="252" t="s">
        <v>6582</v>
      </c>
      <c r="C174" s="252"/>
      <c r="D174" s="50"/>
      <c r="E174" s="50"/>
      <c r="F174" s="50"/>
      <c r="G174" s="50"/>
      <c r="H174" s="50"/>
      <c r="I174" s="50"/>
      <c r="J174" s="50"/>
      <c r="K174" s="50"/>
    </row>
    <row r="175" spans="1:11" ht="19.5" customHeight="1">
      <c r="A175" s="248">
        <v>2</v>
      </c>
      <c r="B175" s="249" t="s">
        <v>6583</v>
      </c>
      <c r="C175" s="249"/>
      <c r="D175" s="55"/>
      <c r="E175" s="55"/>
      <c r="F175" s="55"/>
      <c r="G175" s="55"/>
      <c r="H175" s="55"/>
      <c r="I175" s="55"/>
      <c r="J175" s="55"/>
      <c r="K175" s="55"/>
    </row>
    <row r="176" spans="1:11" ht="19.5" customHeight="1">
      <c r="A176" s="251">
        <v>3</v>
      </c>
      <c r="B176" s="252" t="s">
        <v>6584</v>
      </c>
      <c r="C176" s="252"/>
      <c r="D176" s="50"/>
      <c r="E176" s="50"/>
      <c r="F176" s="50"/>
      <c r="G176" s="50"/>
      <c r="H176" s="50"/>
      <c r="I176" s="50"/>
      <c r="J176" s="50"/>
      <c r="K176" s="50"/>
    </row>
    <row r="177" spans="1:11" ht="19.5" customHeight="1">
      <c r="A177" s="248">
        <v>4</v>
      </c>
      <c r="B177" s="249" t="s">
        <v>6585</v>
      </c>
      <c r="C177" s="249"/>
      <c r="D177" s="55"/>
      <c r="E177" s="55"/>
      <c r="F177" s="55"/>
      <c r="G177" s="55"/>
      <c r="H177" s="55"/>
      <c r="I177" s="55"/>
      <c r="J177" s="55"/>
      <c r="K177" s="55"/>
    </row>
    <row r="178" spans="1:11" ht="19.5" customHeight="1">
      <c r="A178" s="251">
        <v>5</v>
      </c>
      <c r="B178" s="252" t="s">
        <v>6586</v>
      </c>
      <c r="C178" s="252"/>
      <c r="D178" s="50"/>
      <c r="E178" s="50"/>
      <c r="F178" s="50"/>
      <c r="G178" s="50"/>
      <c r="H178" s="50"/>
      <c r="I178" s="50"/>
      <c r="J178" s="50"/>
      <c r="K178" s="50"/>
    </row>
    <row r="179" spans="1:11" ht="19.5" customHeight="1">
      <c r="A179" s="248">
        <v>6</v>
      </c>
      <c r="B179" s="249" t="s">
        <v>6587</v>
      </c>
      <c r="C179" s="249"/>
      <c r="D179" s="55"/>
      <c r="E179" s="55"/>
      <c r="F179" s="55"/>
      <c r="G179" s="55"/>
      <c r="H179" s="55"/>
      <c r="I179" s="55"/>
      <c r="J179" s="55"/>
      <c r="K179" s="55"/>
    </row>
    <row r="180" spans="1:11" ht="19.5" customHeight="1">
      <c r="A180" s="251">
        <v>7</v>
      </c>
      <c r="B180" s="252" t="s">
        <v>6588</v>
      </c>
      <c r="C180" s="252"/>
      <c r="D180" s="50"/>
      <c r="E180" s="50"/>
      <c r="F180" s="50"/>
      <c r="G180" s="50"/>
      <c r="H180" s="50"/>
      <c r="I180" s="50"/>
      <c r="J180" s="50"/>
      <c r="K180" s="50"/>
    </row>
    <row r="181" spans="1:11" ht="19.5" customHeight="1">
      <c r="A181" s="248">
        <v>8</v>
      </c>
      <c r="B181" s="249" t="s">
        <v>6589</v>
      </c>
      <c r="C181" s="249"/>
      <c r="D181" s="55"/>
      <c r="E181" s="55"/>
      <c r="F181" s="55"/>
      <c r="G181" s="55"/>
      <c r="H181" s="55"/>
      <c r="I181" s="55"/>
      <c r="J181" s="55"/>
      <c r="K181" s="55"/>
    </row>
  </sheetData>
  <pageMargins left="0.7" right="0.7" top="0.75" bottom="0.75" header="0.511811023622047" footer="0.511811023622047"/>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F279"/>
  <sheetViews>
    <sheetView zoomScaleNormal="100" workbookViewId="0">
      <pane ySplit="2" topLeftCell="A127" activePane="bottomLeft" state="frozen"/>
      <selection pane="bottomLeft" activeCell="B258" sqref="B258"/>
    </sheetView>
  </sheetViews>
  <sheetFormatPr defaultColWidth="8.5703125" defaultRowHeight="15"/>
  <cols>
    <col min="1" max="6" width="65" style="47" customWidth="1"/>
  </cols>
  <sheetData>
    <row r="1" spans="1:6" s="137" customFormat="1" ht="30" customHeight="1">
      <c r="A1" s="260" t="s">
        <v>6590</v>
      </c>
      <c r="B1" s="261"/>
      <c r="C1" s="261"/>
      <c r="D1" s="261"/>
      <c r="E1" s="261"/>
      <c r="F1" s="261"/>
    </row>
    <row r="2" spans="1:6" ht="21.75" customHeight="1">
      <c r="A2" s="262" t="s">
        <v>6591</v>
      </c>
      <c r="B2" s="263"/>
      <c r="C2" s="263"/>
      <c r="D2" s="263"/>
      <c r="E2" s="263"/>
      <c r="F2" s="263"/>
    </row>
    <row r="3" spans="1:6" ht="27.75" customHeight="1">
      <c r="A3" s="264" t="s">
        <v>6592</v>
      </c>
      <c r="B3" s="69"/>
      <c r="C3" s="69"/>
      <c r="D3" s="69"/>
      <c r="E3" s="69"/>
      <c r="F3" s="69"/>
    </row>
    <row r="4" spans="1:6" ht="19.5" customHeight="1">
      <c r="A4" s="265" t="s">
        <v>6593</v>
      </c>
      <c r="B4" s="266"/>
      <c r="C4" s="266"/>
      <c r="D4" s="266"/>
      <c r="E4" s="266"/>
      <c r="F4" s="266"/>
    </row>
    <row r="5" spans="1:6" ht="19.5" customHeight="1">
      <c r="A5" s="267" t="s">
        <v>1739</v>
      </c>
      <c r="B5" s="267" t="s">
        <v>6594</v>
      </c>
      <c r="C5" s="268" t="s">
        <v>14</v>
      </c>
      <c r="D5" s="69"/>
      <c r="E5" s="69"/>
      <c r="F5" s="69"/>
    </row>
    <row r="6" spans="1:6" ht="19.5" customHeight="1">
      <c r="A6" s="269" t="s">
        <v>749</v>
      </c>
      <c r="B6" s="269" t="s">
        <v>6595</v>
      </c>
      <c r="C6" s="270" t="s">
        <v>6596</v>
      </c>
      <c r="D6" s="69"/>
      <c r="E6" s="69"/>
      <c r="F6" s="69"/>
    </row>
    <row r="7" spans="1:6" ht="19.5" customHeight="1">
      <c r="A7" s="271" t="s">
        <v>6597</v>
      </c>
      <c r="B7" s="271" t="s">
        <v>6598</v>
      </c>
      <c r="C7" s="271" t="s">
        <v>1149</v>
      </c>
      <c r="D7" s="271"/>
      <c r="E7" s="271"/>
      <c r="F7" s="271"/>
    </row>
    <row r="8" spans="1:6" ht="19.5" customHeight="1">
      <c r="A8" s="269" t="s">
        <v>3684</v>
      </c>
      <c r="B8" s="269" t="s">
        <v>6599</v>
      </c>
      <c r="C8" s="270" t="s">
        <v>2086</v>
      </c>
      <c r="D8" s="69"/>
      <c r="E8" s="69"/>
      <c r="F8" s="69"/>
    </row>
    <row r="9" spans="1:6" ht="19.5" customHeight="1">
      <c r="A9" s="269" t="s">
        <v>3688</v>
      </c>
      <c r="B9" s="269" t="s">
        <v>6600</v>
      </c>
      <c r="C9" s="270" t="s">
        <v>2086</v>
      </c>
      <c r="D9" s="69"/>
      <c r="E9" s="69"/>
      <c r="F9" s="69"/>
    </row>
    <row r="10" spans="1:6" ht="19.5" customHeight="1">
      <c r="A10" s="269" t="s">
        <v>6601</v>
      </c>
      <c r="B10" s="269" t="s">
        <v>6602</v>
      </c>
      <c r="C10" s="270" t="s">
        <v>472</v>
      </c>
      <c r="D10" s="69"/>
      <c r="E10" s="69"/>
      <c r="F10" s="69"/>
    </row>
    <row r="11" spans="1:6" ht="19.5" customHeight="1">
      <c r="A11" s="269" t="s">
        <v>6603</v>
      </c>
      <c r="B11" s="269" t="s">
        <v>6604</v>
      </c>
      <c r="C11" s="270" t="s">
        <v>472</v>
      </c>
      <c r="D11" s="69"/>
      <c r="E11" s="69"/>
      <c r="F11" s="69"/>
    </row>
    <row r="12" spans="1:6" ht="19.5" customHeight="1">
      <c r="A12" s="269" t="s">
        <v>6605</v>
      </c>
      <c r="B12" s="269" t="s">
        <v>6606</v>
      </c>
      <c r="C12" s="270" t="s">
        <v>472</v>
      </c>
      <c r="D12" s="69"/>
      <c r="E12" s="69"/>
      <c r="F12" s="69"/>
    </row>
    <row r="13" spans="1:6" ht="19.5" customHeight="1">
      <c r="A13" s="269" t="s">
        <v>6607</v>
      </c>
      <c r="B13" s="269" t="s">
        <v>6608</v>
      </c>
      <c r="C13" s="270" t="s">
        <v>472</v>
      </c>
      <c r="D13" s="69"/>
      <c r="E13" s="69"/>
      <c r="F13" s="69"/>
    </row>
    <row r="14" spans="1:6" ht="19.5" customHeight="1">
      <c r="A14" s="269" t="s">
        <v>3607</v>
      </c>
      <c r="B14" s="269" t="s">
        <v>6609</v>
      </c>
      <c r="C14" s="272" t="s">
        <v>6610</v>
      </c>
      <c r="D14" s="69"/>
      <c r="E14" s="69"/>
      <c r="F14" s="69"/>
    </row>
    <row r="15" spans="1:6" ht="19.5" customHeight="1">
      <c r="A15" s="269" t="s">
        <v>6611</v>
      </c>
      <c r="B15" s="269" t="s">
        <v>6612</v>
      </c>
      <c r="C15" s="270" t="s">
        <v>472</v>
      </c>
      <c r="D15" s="69"/>
      <c r="E15" s="69"/>
      <c r="F15" s="69"/>
    </row>
    <row r="16" spans="1:6" ht="19.5" customHeight="1">
      <c r="A16" s="269" t="s">
        <v>6613</v>
      </c>
      <c r="B16" s="269" t="s">
        <v>6614</v>
      </c>
      <c r="C16" s="273" t="s">
        <v>6615</v>
      </c>
      <c r="D16" s="69"/>
      <c r="E16" s="69"/>
      <c r="F16" s="69"/>
    </row>
    <row r="17" spans="1:6" ht="19.5" customHeight="1">
      <c r="A17" s="274" t="s">
        <v>6616</v>
      </c>
      <c r="B17" s="274" t="s">
        <v>6617</v>
      </c>
      <c r="C17" s="275" t="s">
        <v>6618</v>
      </c>
      <c r="D17" s="69"/>
      <c r="E17" s="69"/>
      <c r="F17" s="69"/>
    </row>
    <row r="18" spans="1:6" ht="19.5" customHeight="1">
      <c r="A18" s="69"/>
      <c r="B18" s="69"/>
      <c r="C18" s="69"/>
      <c r="D18" s="69"/>
      <c r="E18" s="69"/>
      <c r="F18" s="69"/>
    </row>
    <row r="19" spans="1:6" ht="19.5" customHeight="1">
      <c r="A19" s="265" t="s">
        <v>6619</v>
      </c>
      <c r="B19" s="266"/>
      <c r="C19" s="266"/>
      <c r="D19" s="266"/>
      <c r="E19" s="266"/>
      <c r="F19" s="266"/>
    </row>
    <row r="20" spans="1:6" ht="19.5" customHeight="1">
      <c r="A20" s="267" t="s">
        <v>6620</v>
      </c>
      <c r="B20" s="267" t="s">
        <v>2322</v>
      </c>
      <c r="C20" s="268" t="s">
        <v>14</v>
      </c>
      <c r="D20" s="267" t="s">
        <v>188</v>
      </c>
      <c r="E20" s="268" t="s">
        <v>6621</v>
      </c>
      <c r="F20" s="267" t="s">
        <v>598</v>
      </c>
    </row>
    <row r="21" spans="1:6" ht="19.5" customHeight="1">
      <c r="A21" s="269" t="s">
        <v>1217</v>
      </c>
      <c r="B21" s="269" t="s">
        <v>6622</v>
      </c>
      <c r="C21" s="270" t="s">
        <v>4493</v>
      </c>
      <c r="D21" s="269" t="s">
        <v>6623</v>
      </c>
      <c r="E21" s="276">
        <v>20</v>
      </c>
      <c r="F21" s="269" t="s">
        <v>6624</v>
      </c>
    </row>
    <row r="22" spans="1:6" ht="19.5" customHeight="1">
      <c r="A22" s="269" t="s">
        <v>6625</v>
      </c>
      <c r="B22" s="269" t="s">
        <v>6626</v>
      </c>
      <c r="C22" s="270" t="s">
        <v>4493</v>
      </c>
      <c r="D22" s="269" t="s">
        <v>6623</v>
      </c>
      <c r="E22" s="276">
        <v>12</v>
      </c>
      <c r="F22" s="269" t="s">
        <v>6627</v>
      </c>
    </row>
    <row r="23" spans="1:6" ht="19.5" customHeight="1">
      <c r="A23" s="269" t="s">
        <v>1734</v>
      </c>
      <c r="B23" s="269" t="s">
        <v>2072</v>
      </c>
      <c r="C23" s="270" t="s">
        <v>4493</v>
      </c>
      <c r="D23" s="269" t="s">
        <v>314</v>
      </c>
      <c r="E23" s="276">
        <v>4</v>
      </c>
      <c r="F23" s="269" t="s">
        <v>6628</v>
      </c>
    </row>
    <row r="24" spans="1:6" ht="19.5" customHeight="1">
      <c r="A24" s="269" t="s">
        <v>6629</v>
      </c>
      <c r="B24" s="269" t="s">
        <v>6630</v>
      </c>
      <c r="C24" s="270" t="s">
        <v>4493</v>
      </c>
      <c r="D24" s="269" t="s">
        <v>314</v>
      </c>
      <c r="E24" s="276">
        <v>4</v>
      </c>
      <c r="F24" s="269" t="s">
        <v>6631</v>
      </c>
    </row>
    <row r="25" spans="1:6" ht="19.5" customHeight="1">
      <c r="A25" s="269" t="s">
        <v>6632</v>
      </c>
      <c r="B25" s="269" t="s">
        <v>6633</v>
      </c>
      <c r="C25" s="270" t="s">
        <v>4493</v>
      </c>
      <c r="D25" s="269" t="s">
        <v>314</v>
      </c>
      <c r="E25" s="276">
        <v>6</v>
      </c>
      <c r="F25" s="269" t="s">
        <v>6634</v>
      </c>
    </row>
    <row r="26" spans="1:6" ht="19.5" customHeight="1">
      <c r="A26" s="269" t="s">
        <v>6635</v>
      </c>
      <c r="B26" s="269" t="s">
        <v>6636</v>
      </c>
      <c r="C26" s="270" t="s">
        <v>4493</v>
      </c>
      <c r="D26" s="269" t="s">
        <v>314</v>
      </c>
      <c r="E26" s="276">
        <v>4</v>
      </c>
      <c r="F26" s="269" t="s">
        <v>6637</v>
      </c>
    </row>
    <row r="27" spans="1:6" ht="19.5" customHeight="1">
      <c r="A27" s="269" t="s">
        <v>6638</v>
      </c>
      <c r="B27" s="269" t="s">
        <v>6639</v>
      </c>
      <c r="C27" s="270" t="s">
        <v>4493</v>
      </c>
      <c r="D27" s="269" t="s">
        <v>314</v>
      </c>
      <c r="E27" s="276">
        <v>3</v>
      </c>
      <c r="F27" s="269" t="s">
        <v>6640</v>
      </c>
    </row>
    <row r="28" spans="1:6" ht="19.5" customHeight="1">
      <c r="A28" s="269" t="s">
        <v>6641</v>
      </c>
      <c r="B28" s="269" t="s">
        <v>6642</v>
      </c>
      <c r="C28" s="270" t="s">
        <v>4493</v>
      </c>
      <c r="D28" s="269" t="s">
        <v>314</v>
      </c>
      <c r="E28" s="276">
        <v>3</v>
      </c>
      <c r="F28" s="269" t="s">
        <v>6643</v>
      </c>
    </row>
    <row r="29" spans="1:6" ht="19.5" customHeight="1">
      <c r="A29" s="269" t="s">
        <v>6644</v>
      </c>
      <c r="B29" s="269" t="s">
        <v>6645</v>
      </c>
      <c r="C29" s="270" t="s">
        <v>4493</v>
      </c>
      <c r="D29" s="269" t="s">
        <v>314</v>
      </c>
      <c r="E29" s="276">
        <v>5</v>
      </c>
      <c r="F29" s="269" t="s">
        <v>6646</v>
      </c>
    </row>
    <row r="30" spans="1:6" ht="19.5" customHeight="1">
      <c r="A30" s="269" t="s">
        <v>6647</v>
      </c>
      <c r="B30" s="269" t="s">
        <v>6648</v>
      </c>
      <c r="C30" s="270" t="s">
        <v>4493</v>
      </c>
      <c r="D30" s="269" t="s">
        <v>314</v>
      </c>
      <c r="E30" s="276">
        <v>3</v>
      </c>
      <c r="F30" s="269" t="s">
        <v>6649</v>
      </c>
    </row>
    <row r="31" spans="1:6" ht="19.5" customHeight="1">
      <c r="A31" s="269" t="s">
        <v>6650</v>
      </c>
      <c r="B31" s="269" t="s">
        <v>6651</v>
      </c>
      <c r="C31" s="270" t="s">
        <v>4493</v>
      </c>
      <c r="D31" s="269" t="s">
        <v>314</v>
      </c>
      <c r="E31" s="276">
        <v>3</v>
      </c>
      <c r="F31" s="269" t="s">
        <v>6652</v>
      </c>
    </row>
    <row r="32" spans="1:6" ht="19.5" customHeight="1">
      <c r="A32" s="269" t="s">
        <v>6653</v>
      </c>
      <c r="B32" s="269" t="s">
        <v>6654</v>
      </c>
      <c r="C32" s="270" t="s">
        <v>4493</v>
      </c>
      <c r="D32" s="269" t="s">
        <v>314</v>
      </c>
      <c r="E32" s="276">
        <v>3</v>
      </c>
      <c r="F32" s="269" t="s">
        <v>6655</v>
      </c>
    </row>
    <row r="33" spans="1:6" ht="19.5" customHeight="1">
      <c r="A33" s="269" t="s">
        <v>6656</v>
      </c>
      <c r="B33" s="269" t="s">
        <v>6657</v>
      </c>
      <c r="C33" s="270" t="s">
        <v>4493</v>
      </c>
      <c r="D33" s="269" t="s">
        <v>314</v>
      </c>
      <c r="E33" s="276">
        <v>3</v>
      </c>
      <c r="F33" s="269" t="s">
        <v>6658</v>
      </c>
    </row>
    <row r="34" spans="1:6" ht="19.5" customHeight="1">
      <c r="A34" s="269" t="s">
        <v>6659</v>
      </c>
      <c r="B34" s="269" t="s">
        <v>6660</v>
      </c>
      <c r="C34" s="270" t="s">
        <v>4493</v>
      </c>
      <c r="D34" s="269" t="s">
        <v>6661</v>
      </c>
      <c r="E34" s="276">
        <v>3</v>
      </c>
      <c r="F34" s="269" t="s">
        <v>6662</v>
      </c>
    </row>
    <row r="35" spans="1:6" ht="19.5" customHeight="1">
      <c r="A35" s="269" t="s">
        <v>6663</v>
      </c>
      <c r="B35" s="269" t="s">
        <v>6664</v>
      </c>
      <c r="C35" s="270" t="s">
        <v>4493</v>
      </c>
      <c r="D35" s="269" t="s">
        <v>6661</v>
      </c>
      <c r="E35" s="276">
        <v>3</v>
      </c>
      <c r="F35" s="269" t="s">
        <v>6665</v>
      </c>
    </row>
    <row r="36" spans="1:6" ht="19.5" customHeight="1">
      <c r="A36" s="269" t="s">
        <v>6666</v>
      </c>
      <c r="B36" s="269" t="s">
        <v>6667</v>
      </c>
      <c r="C36" s="270" t="s">
        <v>4493</v>
      </c>
      <c r="D36" s="269" t="s">
        <v>6661</v>
      </c>
      <c r="E36" s="276">
        <v>3</v>
      </c>
      <c r="F36" s="269" t="s">
        <v>6668</v>
      </c>
    </row>
    <row r="37" spans="1:6" ht="19.5" customHeight="1">
      <c r="A37" s="269" t="s">
        <v>812</v>
      </c>
      <c r="B37" s="269" t="s">
        <v>6669</v>
      </c>
      <c r="C37" s="270" t="s">
        <v>4493</v>
      </c>
      <c r="D37" s="269" t="s">
        <v>6670</v>
      </c>
      <c r="E37" s="276">
        <v>25</v>
      </c>
      <c r="F37" s="269" t="s">
        <v>6671</v>
      </c>
    </row>
    <row r="38" spans="1:6" ht="19.5" customHeight="1">
      <c r="A38" s="269" t="s">
        <v>6672</v>
      </c>
      <c r="B38" s="269" t="s">
        <v>6673</v>
      </c>
      <c r="C38" s="270" t="s">
        <v>4493</v>
      </c>
      <c r="D38" s="269" t="s">
        <v>6674</v>
      </c>
      <c r="E38" s="276">
        <v>25</v>
      </c>
      <c r="F38" s="269" t="s">
        <v>6675</v>
      </c>
    </row>
    <row r="39" spans="1:6" ht="19.5" customHeight="1">
      <c r="A39" s="269" t="s">
        <v>6676</v>
      </c>
      <c r="B39" s="269" t="s">
        <v>6677</v>
      </c>
      <c r="C39" s="270" t="s">
        <v>4493</v>
      </c>
      <c r="D39" s="269" t="s">
        <v>6678</v>
      </c>
      <c r="E39" s="276">
        <v>18</v>
      </c>
      <c r="F39" s="269" t="s">
        <v>6679</v>
      </c>
    </row>
    <row r="40" spans="1:6" ht="19.5" customHeight="1">
      <c r="A40" s="269" t="s">
        <v>6680</v>
      </c>
      <c r="B40" s="269" t="s">
        <v>6681</v>
      </c>
      <c r="C40" s="270" t="s">
        <v>4493</v>
      </c>
      <c r="D40" s="269" t="s">
        <v>6674</v>
      </c>
      <c r="E40" s="276">
        <v>13</v>
      </c>
      <c r="F40" s="269" t="s">
        <v>6682</v>
      </c>
    </row>
    <row r="41" spans="1:6" ht="19.5" customHeight="1">
      <c r="A41" s="269" t="s">
        <v>6683</v>
      </c>
      <c r="B41" s="269" t="s">
        <v>6684</v>
      </c>
      <c r="C41" s="270" t="s">
        <v>4493</v>
      </c>
      <c r="D41" s="269" t="s">
        <v>6685</v>
      </c>
      <c r="E41" s="276">
        <v>5</v>
      </c>
      <c r="F41" s="269" t="s">
        <v>6686</v>
      </c>
    </row>
    <row r="42" spans="1:6" ht="19.5" customHeight="1">
      <c r="A42" s="269" t="s">
        <v>6687</v>
      </c>
      <c r="B42" s="269" t="s">
        <v>6688</v>
      </c>
      <c r="C42" s="270" t="s">
        <v>4493</v>
      </c>
      <c r="D42" s="269" t="s">
        <v>6685</v>
      </c>
      <c r="E42" s="276">
        <v>6</v>
      </c>
      <c r="F42" s="269" t="s">
        <v>6689</v>
      </c>
    </row>
    <row r="43" spans="1:6" ht="19.5" customHeight="1">
      <c r="A43" s="269" t="s">
        <v>6690</v>
      </c>
      <c r="B43" s="269" t="s">
        <v>6691</v>
      </c>
      <c r="C43" s="270" t="s">
        <v>4493</v>
      </c>
      <c r="D43" s="269" t="s">
        <v>6685</v>
      </c>
      <c r="E43" s="276">
        <v>10</v>
      </c>
      <c r="F43" s="269" t="s">
        <v>6692</v>
      </c>
    </row>
    <row r="44" spans="1:6" ht="19.5" customHeight="1">
      <c r="A44" s="269" t="s">
        <v>6693</v>
      </c>
      <c r="B44" s="269" t="s">
        <v>6694</v>
      </c>
      <c r="C44" s="270" t="s">
        <v>4493</v>
      </c>
      <c r="D44" s="269" t="s">
        <v>6685</v>
      </c>
      <c r="E44" s="276">
        <v>4</v>
      </c>
      <c r="F44" s="269" t="s">
        <v>6695</v>
      </c>
    </row>
    <row r="45" spans="1:6" ht="19.5" customHeight="1">
      <c r="A45" s="269" t="s">
        <v>6696</v>
      </c>
      <c r="B45" s="269" t="s">
        <v>6697</v>
      </c>
      <c r="C45" s="270" t="s">
        <v>4493</v>
      </c>
      <c r="D45" s="269" t="s">
        <v>6685</v>
      </c>
      <c r="E45" s="276">
        <v>6</v>
      </c>
      <c r="F45" s="269" t="s">
        <v>6698</v>
      </c>
    </row>
    <row r="46" spans="1:6" ht="19.5" customHeight="1">
      <c r="A46" s="269" t="s">
        <v>6699</v>
      </c>
      <c r="B46" s="269" t="s">
        <v>6700</v>
      </c>
      <c r="C46" s="270" t="s">
        <v>4493</v>
      </c>
      <c r="D46" s="269" t="s">
        <v>6424</v>
      </c>
      <c r="E46" s="276">
        <v>14</v>
      </c>
      <c r="F46" s="269" t="s">
        <v>6701</v>
      </c>
    </row>
    <row r="47" spans="1:6" ht="19.5" customHeight="1">
      <c r="A47" s="269" t="s">
        <v>6702</v>
      </c>
      <c r="B47" s="269" t="s">
        <v>6703</v>
      </c>
      <c r="C47" s="270" t="s">
        <v>4493</v>
      </c>
      <c r="D47" s="269" t="s">
        <v>6424</v>
      </c>
      <c r="E47" s="276">
        <v>10</v>
      </c>
      <c r="F47" s="269" t="s">
        <v>6704</v>
      </c>
    </row>
    <row r="48" spans="1:6" ht="19.5" customHeight="1">
      <c r="A48" s="269" t="s">
        <v>6705</v>
      </c>
      <c r="B48" s="269" t="s">
        <v>6706</v>
      </c>
      <c r="C48" s="270" t="s">
        <v>4493</v>
      </c>
      <c r="D48" s="269" t="s">
        <v>6424</v>
      </c>
      <c r="E48" s="276">
        <v>3</v>
      </c>
      <c r="F48" s="269" t="s">
        <v>6707</v>
      </c>
    </row>
    <row r="49" spans="1:6" ht="19.5" customHeight="1">
      <c r="A49" s="269" t="s">
        <v>6708</v>
      </c>
      <c r="B49" s="269" t="s">
        <v>6709</v>
      </c>
      <c r="C49" s="270" t="s">
        <v>4493</v>
      </c>
      <c r="D49" s="269" t="s">
        <v>6710</v>
      </c>
      <c r="E49" s="276">
        <v>14</v>
      </c>
      <c r="F49" s="269" t="s">
        <v>6711</v>
      </c>
    </row>
    <row r="50" spans="1:6" ht="19.5" customHeight="1">
      <c r="A50" s="269" t="s">
        <v>6712</v>
      </c>
      <c r="B50" s="269" t="s">
        <v>6713</v>
      </c>
      <c r="C50" s="270" t="s">
        <v>4493</v>
      </c>
      <c r="D50" s="269" t="s">
        <v>6714</v>
      </c>
      <c r="E50" s="276">
        <v>5</v>
      </c>
      <c r="F50" s="269" t="s">
        <v>6715</v>
      </c>
    </row>
    <row r="51" spans="1:6" ht="19.5" customHeight="1">
      <c r="A51" s="269" t="s">
        <v>6716</v>
      </c>
      <c r="B51" s="269" t="s">
        <v>6717</v>
      </c>
      <c r="C51" s="270" t="s">
        <v>4493</v>
      </c>
      <c r="D51" s="269" t="s">
        <v>6678</v>
      </c>
      <c r="E51" s="276">
        <v>9</v>
      </c>
      <c r="F51" s="269" t="s">
        <v>6718</v>
      </c>
    </row>
    <row r="52" spans="1:6" ht="19.5" customHeight="1">
      <c r="A52" s="269" t="s">
        <v>6719</v>
      </c>
      <c r="B52" s="269" t="s">
        <v>6720</v>
      </c>
      <c r="C52" s="270" t="s">
        <v>4493</v>
      </c>
      <c r="D52" s="269" t="s">
        <v>6721</v>
      </c>
      <c r="E52" s="276">
        <v>8</v>
      </c>
      <c r="F52" s="269" t="s">
        <v>6722</v>
      </c>
    </row>
    <row r="53" spans="1:6" ht="19.5" customHeight="1">
      <c r="A53" s="269" t="s">
        <v>6723</v>
      </c>
      <c r="B53" s="269" t="s">
        <v>6724</v>
      </c>
      <c r="C53" s="270" t="s">
        <v>4493</v>
      </c>
      <c r="D53" s="269" t="s">
        <v>6721</v>
      </c>
      <c r="E53" s="276">
        <v>6</v>
      </c>
      <c r="F53" s="269" t="s">
        <v>6725</v>
      </c>
    </row>
    <row r="54" spans="1:6" ht="19.5" customHeight="1">
      <c r="A54" s="269" t="s">
        <v>6726</v>
      </c>
      <c r="B54" s="269" t="s">
        <v>6727</v>
      </c>
      <c r="C54" s="270" t="s">
        <v>4493</v>
      </c>
      <c r="D54" s="269" t="s">
        <v>6728</v>
      </c>
      <c r="E54" s="276">
        <v>6</v>
      </c>
      <c r="F54" s="269" t="s">
        <v>6729</v>
      </c>
    </row>
    <row r="55" spans="1:6" ht="19.5" customHeight="1">
      <c r="A55" s="269" t="s">
        <v>6730</v>
      </c>
      <c r="B55" s="269" t="s">
        <v>6731</v>
      </c>
      <c r="C55" s="270" t="s">
        <v>4493</v>
      </c>
      <c r="D55" s="269" t="s">
        <v>6728</v>
      </c>
      <c r="E55" s="276">
        <v>51</v>
      </c>
      <c r="F55" s="269" t="s">
        <v>6732</v>
      </c>
    </row>
    <row r="56" spans="1:6" ht="19.5" customHeight="1">
      <c r="A56" s="269" t="s">
        <v>6733</v>
      </c>
      <c r="B56" s="269" t="s">
        <v>6734</v>
      </c>
      <c r="C56" s="270" t="s">
        <v>4493</v>
      </c>
      <c r="D56" s="269" t="s">
        <v>6728</v>
      </c>
      <c r="E56" s="276">
        <v>7</v>
      </c>
      <c r="F56" s="269" t="s">
        <v>6735</v>
      </c>
    </row>
    <row r="57" spans="1:6" ht="19.5" customHeight="1">
      <c r="A57" s="269" t="s">
        <v>6736</v>
      </c>
      <c r="B57" s="269" t="s">
        <v>6737</v>
      </c>
      <c r="C57" s="270" t="s">
        <v>4493</v>
      </c>
      <c r="D57" s="269" t="s">
        <v>6738</v>
      </c>
      <c r="E57" s="276">
        <v>5</v>
      </c>
      <c r="F57" s="269" t="s">
        <v>6739</v>
      </c>
    </row>
    <row r="58" spans="1:6" ht="19.5" customHeight="1">
      <c r="A58" s="269" t="s">
        <v>6740</v>
      </c>
      <c r="B58" s="269" t="s">
        <v>6741</v>
      </c>
      <c r="C58" s="270" t="s">
        <v>4493</v>
      </c>
      <c r="D58" s="269" t="s">
        <v>6742</v>
      </c>
      <c r="E58" s="276">
        <v>13</v>
      </c>
      <c r="F58" s="269" t="s">
        <v>6743</v>
      </c>
    </row>
    <row r="59" spans="1:6" ht="19.5" customHeight="1">
      <c r="A59" s="269" t="s">
        <v>6744</v>
      </c>
      <c r="B59" s="269" t="s">
        <v>6745</v>
      </c>
      <c r="C59" s="270" t="s">
        <v>4493</v>
      </c>
      <c r="D59" s="269" t="s">
        <v>6746</v>
      </c>
      <c r="E59" s="276">
        <v>2</v>
      </c>
      <c r="F59" s="269" t="s">
        <v>6747</v>
      </c>
    </row>
    <row r="60" spans="1:6" ht="19.5" customHeight="1">
      <c r="A60" s="269" t="s">
        <v>6748</v>
      </c>
      <c r="B60" s="269" t="s">
        <v>6749</v>
      </c>
      <c r="C60" s="270" t="s">
        <v>4493</v>
      </c>
      <c r="D60" s="269" t="s">
        <v>6746</v>
      </c>
      <c r="E60" s="276">
        <v>3</v>
      </c>
      <c r="F60" s="269" t="s">
        <v>6750</v>
      </c>
    </row>
    <row r="61" spans="1:6" ht="19.5" customHeight="1">
      <c r="A61" s="269" t="s">
        <v>6751</v>
      </c>
      <c r="B61" s="269" t="s">
        <v>6752</v>
      </c>
      <c r="C61" s="270" t="s">
        <v>4493</v>
      </c>
      <c r="D61" s="269" t="s">
        <v>6746</v>
      </c>
      <c r="E61" s="276">
        <v>2</v>
      </c>
      <c r="F61" s="269" t="s">
        <v>6753</v>
      </c>
    </row>
    <row r="62" spans="1:6" ht="19.5" customHeight="1">
      <c r="A62" s="269" t="s">
        <v>6754</v>
      </c>
      <c r="B62" s="269" t="s">
        <v>6755</v>
      </c>
      <c r="C62" s="270" t="s">
        <v>4493</v>
      </c>
      <c r="D62" s="269" t="s">
        <v>6756</v>
      </c>
      <c r="E62" s="276">
        <v>9</v>
      </c>
      <c r="F62" s="269" t="s">
        <v>6757</v>
      </c>
    </row>
    <row r="63" spans="1:6" ht="19.5" customHeight="1">
      <c r="A63" s="269" t="s">
        <v>6758</v>
      </c>
      <c r="B63" s="269" t="s">
        <v>6759</v>
      </c>
      <c r="C63" s="270" t="s">
        <v>4493</v>
      </c>
      <c r="D63" s="269" t="s">
        <v>6756</v>
      </c>
      <c r="E63" s="276">
        <v>8</v>
      </c>
      <c r="F63" s="269" t="s">
        <v>6760</v>
      </c>
    </row>
    <row r="64" spans="1:6" ht="19.5" customHeight="1">
      <c r="A64" s="269" t="s">
        <v>6761</v>
      </c>
      <c r="B64" s="269" t="s">
        <v>6762</v>
      </c>
      <c r="C64" s="270" t="s">
        <v>4493</v>
      </c>
      <c r="D64" s="269" t="s">
        <v>6710</v>
      </c>
      <c r="E64" s="276">
        <v>4</v>
      </c>
      <c r="F64" s="269" t="s">
        <v>6763</v>
      </c>
    </row>
    <row r="65" spans="1:6" ht="19.5" customHeight="1">
      <c r="A65" s="269" t="s">
        <v>6764</v>
      </c>
      <c r="B65" s="269" t="s">
        <v>6765</v>
      </c>
      <c r="C65" s="270" t="s">
        <v>4493</v>
      </c>
      <c r="D65" s="269" t="s">
        <v>6710</v>
      </c>
      <c r="E65" s="276">
        <v>4</v>
      </c>
      <c r="F65" s="269" t="s">
        <v>6766</v>
      </c>
    </row>
    <row r="66" spans="1:6" ht="19.5" customHeight="1">
      <c r="A66" s="269" t="s">
        <v>6767</v>
      </c>
      <c r="B66" s="269" t="s">
        <v>6768</v>
      </c>
      <c r="C66" s="270" t="s">
        <v>4493</v>
      </c>
      <c r="D66" s="269" t="s">
        <v>6710</v>
      </c>
      <c r="E66" s="276">
        <v>5</v>
      </c>
      <c r="F66" s="269" t="s">
        <v>6769</v>
      </c>
    </row>
    <row r="67" spans="1:6" ht="19.5" customHeight="1">
      <c r="A67" s="269" t="s">
        <v>6770</v>
      </c>
      <c r="B67" s="269" t="s">
        <v>6771</v>
      </c>
      <c r="C67" s="270" t="s">
        <v>4493</v>
      </c>
      <c r="D67" s="269" t="s">
        <v>6685</v>
      </c>
      <c r="E67" s="276">
        <v>4</v>
      </c>
      <c r="F67" s="269" t="s">
        <v>6772</v>
      </c>
    </row>
    <row r="68" spans="1:6" ht="19.5" customHeight="1">
      <c r="A68" s="274" t="s">
        <v>6773</v>
      </c>
      <c r="B68" s="274" t="s">
        <v>6774</v>
      </c>
      <c r="C68" s="277" t="s">
        <v>4493</v>
      </c>
      <c r="D68" s="274" t="s">
        <v>6685</v>
      </c>
      <c r="E68" s="278">
        <v>4</v>
      </c>
      <c r="F68" s="274" t="s">
        <v>6775</v>
      </c>
    </row>
    <row r="69" spans="1:6" ht="19.5" customHeight="1">
      <c r="A69" s="279" t="s">
        <v>6776</v>
      </c>
      <c r="B69" s="279" t="s">
        <v>6777</v>
      </c>
      <c r="C69" s="280" t="s">
        <v>4493</v>
      </c>
      <c r="D69" s="279" t="s">
        <v>6778</v>
      </c>
      <c r="E69" s="281">
        <v>6</v>
      </c>
      <c r="F69" s="279" t="s">
        <v>6779</v>
      </c>
    </row>
    <row r="70" spans="1:6" ht="19.5" customHeight="1">
      <c r="A70" s="279" t="s">
        <v>6780</v>
      </c>
      <c r="B70" s="279" t="s">
        <v>6781</v>
      </c>
      <c r="C70" s="280" t="s">
        <v>4493</v>
      </c>
      <c r="D70" s="279" t="s">
        <v>6778</v>
      </c>
      <c r="E70" s="281">
        <v>3</v>
      </c>
      <c r="F70" s="279" t="s">
        <v>6782</v>
      </c>
    </row>
    <row r="71" spans="1:6" ht="19.5" customHeight="1">
      <c r="A71" s="279" t="s">
        <v>6783</v>
      </c>
      <c r="B71" s="279" t="s">
        <v>6784</v>
      </c>
      <c r="C71" s="280" t="s">
        <v>4493</v>
      </c>
      <c r="D71" s="279" t="s">
        <v>6778</v>
      </c>
      <c r="E71" s="281">
        <v>9</v>
      </c>
      <c r="F71" s="279" t="s">
        <v>6785</v>
      </c>
    </row>
    <row r="72" spans="1:6" ht="19.5" customHeight="1">
      <c r="A72" s="279" t="s">
        <v>6786</v>
      </c>
      <c r="B72" s="279" t="s">
        <v>6787</v>
      </c>
      <c r="C72" s="280" t="s">
        <v>4493</v>
      </c>
      <c r="D72" s="279" t="s">
        <v>6778</v>
      </c>
      <c r="E72" s="281">
        <v>7</v>
      </c>
      <c r="F72" s="279" t="s">
        <v>6788</v>
      </c>
    </row>
    <row r="73" spans="1:6" ht="19.5" customHeight="1">
      <c r="A73" s="282" t="s">
        <v>6789</v>
      </c>
      <c r="B73" s="283" t="s">
        <v>6790</v>
      </c>
      <c r="C73" s="283" t="s">
        <v>4493</v>
      </c>
      <c r="D73" s="283" t="s">
        <v>6778</v>
      </c>
      <c r="E73" s="283">
        <v>9</v>
      </c>
      <c r="F73" s="283" t="s">
        <v>6791</v>
      </c>
    </row>
    <row r="74" spans="1:6" ht="19.5" customHeight="1">
      <c r="A74" s="282" t="s">
        <v>6792</v>
      </c>
      <c r="B74" s="283" t="s">
        <v>6793</v>
      </c>
      <c r="C74" s="283" t="s">
        <v>4493</v>
      </c>
      <c r="D74" s="283" t="s">
        <v>6778</v>
      </c>
      <c r="E74" s="283">
        <v>7</v>
      </c>
      <c r="F74" s="283" t="s">
        <v>6794</v>
      </c>
    </row>
    <row r="75" spans="1:6" ht="19.5" customHeight="1">
      <c r="A75" s="282" t="s">
        <v>3366</v>
      </c>
      <c r="B75" s="283" t="s">
        <v>6795</v>
      </c>
      <c r="C75" s="283" t="s">
        <v>4493</v>
      </c>
      <c r="D75" s="283" t="s">
        <v>6661</v>
      </c>
      <c r="E75" s="283">
        <v>5</v>
      </c>
      <c r="F75" s="283" t="s">
        <v>6796</v>
      </c>
    </row>
    <row r="76" spans="1:6" ht="19.5" customHeight="1">
      <c r="A76" s="284" t="s">
        <v>6797</v>
      </c>
      <c r="B76" s="284" t="s">
        <v>6798</v>
      </c>
      <c r="C76" s="285" t="s">
        <v>6799</v>
      </c>
      <c r="D76" s="284" t="s">
        <v>314</v>
      </c>
      <c r="E76" s="286">
        <v>3</v>
      </c>
      <c r="F76" s="284" t="s">
        <v>6800</v>
      </c>
    </row>
    <row r="77" spans="1:6" ht="19.5" customHeight="1">
      <c r="A77" s="284" t="s">
        <v>6801</v>
      </c>
      <c r="B77" s="284" t="s">
        <v>6802</v>
      </c>
      <c r="C77" s="285" t="s">
        <v>6803</v>
      </c>
      <c r="D77" s="284" t="s">
        <v>6742</v>
      </c>
      <c r="E77" s="286">
        <v>15</v>
      </c>
      <c r="F77" s="284" t="s">
        <v>6804</v>
      </c>
    </row>
    <row r="78" spans="1:6" ht="19.5" customHeight="1">
      <c r="A78" s="284" t="s">
        <v>6805</v>
      </c>
      <c r="B78" s="284" t="s">
        <v>6806</v>
      </c>
      <c r="C78" s="285" t="s">
        <v>6803</v>
      </c>
      <c r="D78" s="284" t="s">
        <v>6807</v>
      </c>
      <c r="E78" s="286">
        <v>2</v>
      </c>
      <c r="F78" s="284" t="s">
        <v>6808</v>
      </c>
    </row>
    <row r="79" spans="1:6" ht="19.5" customHeight="1">
      <c r="A79" s="284" t="s">
        <v>6809</v>
      </c>
      <c r="B79" s="284" t="s">
        <v>6810</v>
      </c>
      <c r="C79" s="285" t="s">
        <v>6803</v>
      </c>
      <c r="D79" s="284" t="s">
        <v>6742</v>
      </c>
      <c r="E79" s="286">
        <v>12</v>
      </c>
      <c r="F79" s="284" t="s">
        <v>6811</v>
      </c>
    </row>
    <row r="80" spans="1:6" ht="19.5" customHeight="1">
      <c r="A80" s="284" t="s">
        <v>6812</v>
      </c>
      <c r="B80" s="284" t="s">
        <v>6813</v>
      </c>
      <c r="C80" s="285" t="s">
        <v>6803</v>
      </c>
      <c r="D80" s="284" t="s">
        <v>314</v>
      </c>
      <c r="E80" s="286">
        <v>2</v>
      </c>
      <c r="F80" s="284" t="s">
        <v>6814</v>
      </c>
    </row>
    <row r="81" spans="1:6" ht="19.5" customHeight="1">
      <c r="A81" s="284" t="s">
        <v>6815</v>
      </c>
      <c r="B81" s="284" t="s">
        <v>6816</v>
      </c>
      <c r="C81" s="285" t="s">
        <v>6803</v>
      </c>
      <c r="D81" s="284" t="s">
        <v>314</v>
      </c>
      <c r="E81" s="286">
        <v>3</v>
      </c>
      <c r="F81" s="284" t="s">
        <v>6817</v>
      </c>
    </row>
    <row r="82" spans="1:6" ht="19.5" customHeight="1">
      <c r="A82" s="284" t="s">
        <v>6818</v>
      </c>
      <c r="B82" s="284" t="s">
        <v>6819</v>
      </c>
      <c r="C82" s="285" t="s">
        <v>6803</v>
      </c>
      <c r="D82" s="284" t="s">
        <v>6820</v>
      </c>
      <c r="E82" s="286">
        <v>3</v>
      </c>
      <c r="F82" s="284" t="s">
        <v>6821</v>
      </c>
    </row>
    <row r="83" spans="1:6" ht="19.5" customHeight="1">
      <c r="A83" s="284" t="s">
        <v>6822</v>
      </c>
      <c r="B83" s="284" t="s">
        <v>6823</v>
      </c>
      <c r="C83" s="285" t="s">
        <v>6803</v>
      </c>
      <c r="D83" s="284" t="s">
        <v>314</v>
      </c>
      <c r="E83" s="286">
        <v>3</v>
      </c>
      <c r="F83" s="284" t="s">
        <v>6824</v>
      </c>
    </row>
    <row r="84" spans="1:6" ht="19.5" customHeight="1">
      <c r="A84" s="284" t="s">
        <v>6825</v>
      </c>
      <c r="B84" s="284" t="s">
        <v>6826</v>
      </c>
      <c r="C84" s="285" t="s">
        <v>6803</v>
      </c>
      <c r="D84" s="284" t="s">
        <v>314</v>
      </c>
      <c r="E84" s="286">
        <v>3</v>
      </c>
      <c r="F84" s="284" t="s">
        <v>6827</v>
      </c>
    </row>
    <row r="85" spans="1:6" ht="19.5" customHeight="1">
      <c r="A85" s="284" t="s">
        <v>6828</v>
      </c>
      <c r="B85" s="284" t="s">
        <v>6829</v>
      </c>
      <c r="C85" s="285" t="s">
        <v>6803</v>
      </c>
      <c r="D85" s="284" t="s">
        <v>6728</v>
      </c>
      <c r="E85" s="286">
        <v>7</v>
      </c>
      <c r="F85" s="284" t="s">
        <v>6830</v>
      </c>
    </row>
    <row r="86" spans="1:6" ht="19.5" customHeight="1">
      <c r="A86" s="284" t="s">
        <v>6831</v>
      </c>
      <c r="B86" s="284" t="s">
        <v>6832</v>
      </c>
      <c r="C86" s="285" t="s">
        <v>6803</v>
      </c>
      <c r="D86" s="284" t="s">
        <v>6820</v>
      </c>
      <c r="E86" s="286">
        <v>5</v>
      </c>
      <c r="F86" s="284" t="s">
        <v>6833</v>
      </c>
    </row>
    <row r="87" spans="1:6" ht="19.5" customHeight="1">
      <c r="A87" s="284" t="s">
        <v>6834</v>
      </c>
      <c r="B87" s="284" t="s">
        <v>6835</v>
      </c>
      <c r="C87" s="285" t="s">
        <v>6803</v>
      </c>
      <c r="D87" s="284" t="s">
        <v>314</v>
      </c>
      <c r="E87" s="286">
        <v>3</v>
      </c>
      <c r="F87" s="284" t="s">
        <v>6836</v>
      </c>
    </row>
    <row r="88" spans="1:6" ht="19.5" customHeight="1">
      <c r="A88" s="287" t="s">
        <v>6837</v>
      </c>
      <c r="B88" s="287" t="s">
        <v>6838</v>
      </c>
      <c r="C88" s="288" t="s">
        <v>6803</v>
      </c>
      <c r="D88" s="287" t="s">
        <v>314</v>
      </c>
      <c r="E88" s="289">
        <v>6</v>
      </c>
      <c r="F88" s="287" t="s">
        <v>6839</v>
      </c>
    </row>
    <row r="89" spans="1:6" ht="19.5" customHeight="1">
      <c r="A89" s="69"/>
      <c r="B89" s="69"/>
      <c r="C89" s="69"/>
      <c r="D89" s="69"/>
      <c r="E89" s="69"/>
      <c r="F89" s="69"/>
    </row>
    <row r="90" spans="1:6" ht="19.5" customHeight="1">
      <c r="A90" s="265" t="s">
        <v>6840</v>
      </c>
      <c r="B90" s="266"/>
      <c r="C90" s="266"/>
      <c r="D90" s="266"/>
      <c r="E90" s="266"/>
      <c r="F90" s="266"/>
    </row>
    <row r="91" spans="1:6" ht="19.5" customHeight="1">
      <c r="A91" s="267" t="s">
        <v>1739</v>
      </c>
      <c r="B91" s="268" t="s">
        <v>311</v>
      </c>
      <c r="C91" s="268" t="s">
        <v>595</v>
      </c>
      <c r="D91" s="267" t="s">
        <v>6841</v>
      </c>
      <c r="E91" s="267" t="s">
        <v>6842</v>
      </c>
      <c r="F91" s="267" t="s">
        <v>598</v>
      </c>
    </row>
    <row r="92" spans="1:6" ht="19.5" customHeight="1">
      <c r="A92" s="269" t="s">
        <v>6843</v>
      </c>
      <c r="B92" s="276" t="s">
        <v>6844</v>
      </c>
      <c r="C92" s="276" t="s">
        <v>6845</v>
      </c>
      <c r="D92" s="269" t="s">
        <v>6846</v>
      </c>
      <c r="E92" s="269" t="s">
        <v>3669</v>
      </c>
      <c r="F92" s="269" t="s">
        <v>6847</v>
      </c>
    </row>
    <row r="93" spans="1:6" ht="19.5" customHeight="1">
      <c r="A93" s="269" t="s">
        <v>6848</v>
      </c>
      <c r="B93" s="290">
        <v>46042</v>
      </c>
      <c r="C93" s="276" t="s">
        <v>6849</v>
      </c>
      <c r="D93" s="269" t="s">
        <v>6850</v>
      </c>
      <c r="E93" s="269" t="s">
        <v>3669</v>
      </c>
      <c r="F93" s="269" t="s">
        <v>6851</v>
      </c>
    </row>
    <row r="94" spans="1:6" ht="19.5" customHeight="1">
      <c r="A94" s="269" t="s">
        <v>6852</v>
      </c>
      <c r="B94" s="276" t="s">
        <v>6853</v>
      </c>
      <c r="C94" s="276" t="s">
        <v>6854</v>
      </c>
      <c r="D94" s="269" t="s">
        <v>6855</v>
      </c>
      <c r="E94" s="269" t="s">
        <v>6856</v>
      </c>
      <c r="F94" s="269" t="s">
        <v>6857</v>
      </c>
    </row>
    <row r="95" spans="1:6" ht="19.5" customHeight="1">
      <c r="A95" s="269" t="s">
        <v>6858</v>
      </c>
      <c r="B95" s="276" t="s">
        <v>6859</v>
      </c>
      <c r="C95" s="276" t="s">
        <v>6860</v>
      </c>
      <c r="D95" s="269" t="s">
        <v>6861</v>
      </c>
      <c r="E95" s="269" t="s">
        <v>3669</v>
      </c>
      <c r="F95" s="269" t="s">
        <v>6862</v>
      </c>
    </row>
    <row r="96" spans="1:6" ht="19.5" customHeight="1">
      <c r="A96" s="269" t="s">
        <v>6863</v>
      </c>
      <c r="B96" s="276" t="s">
        <v>6864</v>
      </c>
      <c r="C96" s="276" t="s">
        <v>3283</v>
      </c>
      <c r="D96" s="269" t="s">
        <v>6865</v>
      </c>
      <c r="E96" s="269" t="s">
        <v>6866</v>
      </c>
      <c r="F96" s="269" t="s">
        <v>6867</v>
      </c>
    </row>
    <row r="97" spans="1:6" ht="19.5" customHeight="1">
      <c r="A97" s="269" t="s">
        <v>6868</v>
      </c>
      <c r="B97" s="276" t="s">
        <v>6869</v>
      </c>
      <c r="C97" s="276" t="s">
        <v>3283</v>
      </c>
      <c r="D97" s="269" t="s">
        <v>6870</v>
      </c>
      <c r="E97" s="269" t="s">
        <v>6866</v>
      </c>
      <c r="F97" s="269" t="s">
        <v>6871</v>
      </c>
    </row>
    <row r="98" spans="1:6" ht="19.5" customHeight="1">
      <c r="A98" s="269" t="s">
        <v>6872</v>
      </c>
      <c r="B98" s="276" t="s">
        <v>6873</v>
      </c>
      <c r="C98" s="276" t="s">
        <v>3283</v>
      </c>
      <c r="D98" s="269" t="s">
        <v>6870</v>
      </c>
      <c r="E98" s="269" t="s">
        <v>6874</v>
      </c>
      <c r="F98" s="269" t="s">
        <v>6875</v>
      </c>
    </row>
    <row r="99" spans="1:6" ht="19.5" customHeight="1">
      <c r="A99" s="269" t="s">
        <v>6876</v>
      </c>
      <c r="B99" s="276" t="s">
        <v>6877</v>
      </c>
      <c r="C99" s="276" t="s">
        <v>3283</v>
      </c>
      <c r="D99" s="269" t="s">
        <v>6878</v>
      </c>
      <c r="E99" s="269" t="s">
        <v>6879</v>
      </c>
      <c r="F99" s="269" t="s">
        <v>6880</v>
      </c>
    </row>
    <row r="100" spans="1:6" ht="19.5" customHeight="1">
      <c r="A100" s="269" t="s">
        <v>6881</v>
      </c>
      <c r="B100" s="276" t="s">
        <v>6882</v>
      </c>
      <c r="C100" s="276" t="s">
        <v>3283</v>
      </c>
      <c r="D100" s="269" t="s">
        <v>6883</v>
      </c>
      <c r="E100" s="269" t="s">
        <v>3383</v>
      </c>
      <c r="F100" s="269" t="s">
        <v>6884</v>
      </c>
    </row>
    <row r="101" spans="1:6" ht="19.5" customHeight="1">
      <c r="A101" s="269" t="s">
        <v>6885</v>
      </c>
      <c r="B101" s="276" t="s">
        <v>6886</v>
      </c>
      <c r="C101" s="276" t="s">
        <v>3283</v>
      </c>
      <c r="D101" s="269" t="s">
        <v>6887</v>
      </c>
      <c r="E101" s="269" t="s">
        <v>3379</v>
      </c>
      <c r="F101" s="269" t="s">
        <v>6888</v>
      </c>
    </row>
    <row r="102" spans="1:6" ht="19.5" customHeight="1">
      <c r="A102" s="269" t="s">
        <v>6889</v>
      </c>
      <c r="B102" s="276" t="s">
        <v>6890</v>
      </c>
      <c r="C102" s="276" t="s">
        <v>3283</v>
      </c>
      <c r="D102" s="269" t="s">
        <v>6891</v>
      </c>
      <c r="E102" s="269" t="s">
        <v>3375</v>
      </c>
      <c r="F102" s="269" t="s">
        <v>6892</v>
      </c>
    </row>
    <row r="103" spans="1:6" ht="19.5" customHeight="1">
      <c r="A103" s="269" t="s">
        <v>6893</v>
      </c>
      <c r="B103" s="276" t="s">
        <v>6894</v>
      </c>
      <c r="C103" s="276" t="s">
        <v>3283</v>
      </c>
      <c r="D103" s="269" t="s">
        <v>6895</v>
      </c>
      <c r="E103" s="269" t="s">
        <v>6896</v>
      </c>
      <c r="F103" s="269" t="s">
        <v>6897</v>
      </c>
    </row>
    <row r="104" spans="1:6" ht="19.5" customHeight="1">
      <c r="A104" s="269" t="s">
        <v>6898</v>
      </c>
      <c r="B104" s="276" t="s">
        <v>3669</v>
      </c>
      <c r="C104" s="276" t="s">
        <v>3283</v>
      </c>
      <c r="D104" s="269" t="s">
        <v>6899</v>
      </c>
      <c r="E104" s="269" t="s">
        <v>3381</v>
      </c>
      <c r="F104" s="269" t="s">
        <v>6900</v>
      </c>
    </row>
    <row r="105" spans="1:6" ht="19.5" customHeight="1">
      <c r="A105" s="269" t="s">
        <v>6901</v>
      </c>
      <c r="B105" s="276" t="s">
        <v>6902</v>
      </c>
      <c r="C105" s="276" t="s">
        <v>3283</v>
      </c>
      <c r="D105" s="269" t="s">
        <v>6903</v>
      </c>
      <c r="E105" s="269" t="s">
        <v>6904</v>
      </c>
      <c r="F105" s="269" t="s">
        <v>6905</v>
      </c>
    </row>
    <row r="106" spans="1:6" ht="19.5" customHeight="1">
      <c r="A106" s="269" t="s">
        <v>6906</v>
      </c>
      <c r="B106" s="276" t="s">
        <v>3669</v>
      </c>
      <c r="C106" s="276" t="s">
        <v>3283</v>
      </c>
      <c r="D106" s="269" t="s">
        <v>6907</v>
      </c>
      <c r="E106" s="269" t="s">
        <v>3384</v>
      </c>
      <c r="F106" s="269" t="s">
        <v>6908</v>
      </c>
    </row>
    <row r="107" spans="1:6" ht="19.5" customHeight="1">
      <c r="A107" s="269" t="s">
        <v>6909</v>
      </c>
      <c r="B107" s="276" t="s">
        <v>3669</v>
      </c>
      <c r="C107" s="276" t="s">
        <v>3283</v>
      </c>
      <c r="D107" s="269" t="s">
        <v>6910</v>
      </c>
      <c r="E107" s="269" t="s">
        <v>3669</v>
      </c>
      <c r="F107" s="269" t="s">
        <v>6911</v>
      </c>
    </row>
    <row r="108" spans="1:6" ht="19.5" customHeight="1">
      <c r="A108" s="269" t="s">
        <v>6912</v>
      </c>
      <c r="B108" s="276" t="s">
        <v>3669</v>
      </c>
      <c r="C108" s="276" t="s">
        <v>3283</v>
      </c>
      <c r="D108" s="269" t="s">
        <v>6913</v>
      </c>
      <c r="E108" s="269" t="s">
        <v>6914</v>
      </c>
      <c r="F108" s="269" t="s">
        <v>6915</v>
      </c>
    </row>
    <row r="109" spans="1:6" ht="19.5" customHeight="1">
      <c r="A109" s="269" t="s">
        <v>6916</v>
      </c>
      <c r="B109" s="276" t="s">
        <v>3669</v>
      </c>
      <c r="C109" s="276" t="s">
        <v>6917</v>
      </c>
      <c r="D109" s="269" t="s">
        <v>6918</v>
      </c>
      <c r="E109" s="269" t="s">
        <v>3669</v>
      </c>
      <c r="F109" s="269" t="s">
        <v>6919</v>
      </c>
    </row>
    <row r="110" spans="1:6" ht="19.5" customHeight="1">
      <c r="A110" s="269" t="s">
        <v>6920</v>
      </c>
      <c r="B110" s="276" t="s">
        <v>3669</v>
      </c>
      <c r="C110" s="276" t="s">
        <v>3283</v>
      </c>
      <c r="D110" s="269" t="s">
        <v>6921</v>
      </c>
      <c r="E110" s="269" t="s">
        <v>3669</v>
      </c>
      <c r="F110" s="269" t="s">
        <v>6922</v>
      </c>
    </row>
    <row r="111" spans="1:6" ht="19.5" customHeight="1">
      <c r="A111" s="274" t="s">
        <v>6923</v>
      </c>
      <c r="B111" s="278" t="s">
        <v>6924</v>
      </c>
      <c r="C111" s="278" t="s">
        <v>6925</v>
      </c>
      <c r="D111" s="274" t="s">
        <v>6926</v>
      </c>
      <c r="E111" s="274" t="s">
        <v>6927</v>
      </c>
      <c r="F111" s="274" t="s">
        <v>6928</v>
      </c>
    </row>
    <row r="112" spans="1:6" ht="19.5" customHeight="1">
      <c r="A112" s="69"/>
      <c r="B112" s="69"/>
      <c r="C112" s="69"/>
      <c r="D112" s="69"/>
      <c r="E112" s="69"/>
      <c r="F112" s="69"/>
    </row>
    <row r="113" spans="1:6" ht="19.5" customHeight="1">
      <c r="A113" s="265" t="s">
        <v>6929</v>
      </c>
      <c r="B113" s="266"/>
      <c r="C113" s="266"/>
      <c r="D113" s="266"/>
      <c r="E113" s="266"/>
      <c r="F113" s="266"/>
    </row>
    <row r="114" spans="1:6" ht="19.5" customHeight="1">
      <c r="A114" s="291" t="s">
        <v>6930</v>
      </c>
      <c r="B114" s="69"/>
      <c r="C114" s="69"/>
      <c r="D114" s="69"/>
      <c r="E114" s="69"/>
      <c r="F114" s="69"/>
    </row>
    <row r="115" spans="1:6" ht="19.5" customHeight="1">
      <c r="A115" s="279" t="s">
        <v>6931</v>
      </c>
      <c r="B115" s="69"/>
      <c r="C115" s="69"/>
      <c r="D115" s="69"/>
      <c r="E115" s="69"/>
      <c r="F115" s="69"/>
    </row>
    <row r="116" spans="1:6" ht="27" customHeight="1">
      <c r="A116" s="279" t="s">
        <v>6932</v>
      </c>
      <c r="B116" s="69"/>
      <c r="C116" s="69"/>
      <c r="D116" s="69"/>
      <c r="E116" s="69"/>
      <c r="F116" s="69"/>
    </row>
    <row r="117" spans="1:6" ht="27" customHeight="1">
      <c r="A117" s="279" t="s">
        <v>6933</v>
      </c>
      <c r="B117" s="69"/>
      <c r="C117" s="69"/>
      <c r="D117" s="69"/>
      <c r="E117" s="69"/>
      <c r="F117" s="69"/>
    </row>
    <row r="118" spans="1:6" ht="27" customHeight="1">
      <c r="A118" s="279" t="s">
        <v>6934</v>
      </c>
      <c r="B118" s="69"/>
      <c r="C118" s="69"/>
      <c r="D118" s="69"/>
      <c r="E118" s="69"/>
      <c r="F118" s="69"/>
    </row>
    <row r="119" spans="1:6" ht="27" customHeight="1">
      <c r="A119" s="279" t="s">
        <v>6935</v>
      </c>
      <c r="B119" s="69"/>
      <c r="C119" s="69"/>
      <c r="D119" s="69"/>
      <c r="E119" s="69"/>
      <c r="F119" s="69"/>
    </row>
    <row r="120" spans="1:6" ht="15" customHeight="1">
      <c r="A120" s="279" t="s">
        <v>6936</v>
      </c>
      <c r="B120" s="69"/>
      <c r="C120" s="69"/>
      <c r="D120" s="69"/>
      <c r="E120" s="69"/>
      <c r="F120" s="69"/>
    </row>
    <row r="121" spans="1:6" ht="15" customHeight="1">
      <c r="A121" s="279" t="s">
        <v>6937</v>
      </c>
      <c r="B121" s="69"/>
      <c r="C121" s="69"/>
      <c r="D121" s="69"/>
      <c r="E121" s="69"/>
      <c r="F121" s="69"/>
    </row>
    <row r="122" spans="1:6" ht="15" customHeight="1">
      <c r="A122" s="279"/>
      <c r="B122" s="69"/>
      <c r="C122" s="69"/>
      <c r="D122" s="69"/>
      <c r="E122" s="69"/>
      <c r="F122" s="69"/>
    </row>
    <row r="123" spans="1:6" ht="40.5" customHeight="1">
      <c r="A123" s="291" t="s">
        <v>6938</v>
      </c>
      <c r="B123" s="69"/>
      <c r="C123" s="69"/>
      <c r="D123" s="69"/>
      <c r="E123" s="69"/>
      <c r="F123" s="69"/>
    </row>
    <row r="124" spans="1:6" ht="40.5" customHeight="1">
      <c r="A124" s="279" t="s">
        <v>6939</v>
      </c>
      <c r="B124" s="69"/>
      <c r="C124" s="69"/>
      <c r="D124" s="69"/>
      <c r="E124" s="69"/>
      <c r="F124" s="69"/>
    </row>
    <row r="125" spans="1:6" ht="27" customHeight="1">
      <c r="A125" s="279" t="s">
        <v>6940</v>
      </c>
      <c r="B125" s="69"/>
      <c r="C125" s="69"/>
      <c r="D125" s="69"/>
      <c r="E125" s="69"/>
      <c r="F125" s="69"/>
    </row>
    <row r="126" spans="1:6" ht="27" customHeight="1">
      <c r="A126" s="279" t="s">
        <v>6941</v>
      </c>
      <c r="B126" s="69"/>
      <c r="C126" s="69"/>
      <c r="D126" s="69"/>
      <c r="E126" s="69"/>
      <c r="F126" s="69"/>
    </row>
    <row r="127" spans="1:6" ht="27" customHeight="1">
      <c r="A127" s="279" t="s">
        <v>6942</v>
      </c>
      <c r="B127" s="69"/>
      <c r="C127" s="69"/>
      <c r="D127" s="69"/>
      <c r="E127" s="69"/>
      <c r="F127" s="69"/>
    </row>
    <row r="128" spans="1:6" ht="27" customHeight="1">
      <c r="A128" s="279" t="s">
        <v>6943</v>
      </c>
      <c r="B128" s="69"/>
      <c r="C128" s="69"/>
      <c r="D128" s="69"/>
      <c r="E128" s="69"/>
      <c r="F128" s="69"/>
    </row>
    <row r="129" spans="1:6" ht="15" customHeight="1">
      <c r="A129" s="279"/>
      <c r="B129" s="69"/>
      <c r="C129" s="69"/>
      <c r="D129" s="69"/>
      <c r="E129" s="69"/>
      <c r="F129" s="69"/>
    </row>
    <row r="130" spans="1:6" ht="40.5" customHeight="1">
      <c r="A130" s="291" t="s">
        <v>6944</v>
      </c>
      <c r="B130" s="69"/>
      <c r="C130" s="69"/>
      <c r="D130" s="69"/>
      <c r="E130" s="69"/>
      <c r="F130" s="69"/>
    </row>
    <row r="131" spans="1:6" ht="27" customHeight="1">
      <c r="A131" s="279" t="s">
        <v>6945</v>
      </c>
      <c r="B131" s="69"/>
      <c r="C131" s="69"/>
      <c r="D131" s="69"/>
      <c r="E131" s="69"/>
      <c r="F131" s="69"/>
    </row>
    <row r="132" spans="1:6" ht="27" customHeight="1">
      <c r="A132" s="279" t="s">
        <v>6946</v>
      </c>
      <c r="B132" s="69"/>
      <c r="C132" s="69"/>
      <c r="D132" s="69"/>
      <c r="E132" s="69"/>
      <c r="F132" s="69"/>
    </row>
    <row r="133" spans="1:6" ht="27" customHeight="1">
      <c r="A133" s="279" t="s">
        <v>6947</v>
      </c>
      <c r="B133" s="69"/>
      <c r="C133" s="69"/>
      <c r="D133" s="69"/>
      <c r="E133" s="69"/>
      <c r="F133" s="69"/>
    </row>
    <row r="134" spans="1:6" ht="27" customHeight="1">
      <c r="A134" s="279" t="s">
        <v>6948</v>
      </c>
      <c r="B134" s="69"/>
      <c r="C134" s="69"/>
      <c r="D134" s="69"/>
      <c r="E134" s="69"/>
      <c r="F134" s="69"/>
    </row>
    <row r="135" spans="1:6" ht="27" customHeight="1">
      <c r="A135" s="279" t="s">
        <v>6949</v>
      </c>
      <c r="B135" s="69"/>
      <c r="C135" s="69"/>
      <c r="D135" s="69"/>
      <c r="E135" s="69"/>
      <c r="F135" s="69"/>
    </row>
    <row r="136" spans="1:6" ht="27" customHeight="1">
      <c r="A136" s="279" t="s">
        <v>6950</v>
      </c>
      <c r="B136" s="69"/>
      <c r="C136" s="69"/>
      <c r="D136" s="69"/>
      <c r="E136" s="69"/>
      <c r="F136" s="69"/>
    </row>
    <row r="137" spans="1:6" ht="27" customHeight="1">
      <c r="A137" s="279" t="s">
        <v>6951</v>
      </c>
      <c r="B137" s="69"/>
      <c r="C137" s="69"/>
      <c r="D137" s="69"/>
      <c r="E137" s="69"/>
      <c r="F137" s="69"/>
    </row>
    <row r="138" spans="1:6" ht="15" customHeight="1">
      <c r="A138" s="279"/>
      <c r="B138" s="69"/>
      <c r="C138" s="69"/>
      <c r="D138" s="69"/>
      <c r="E138" s="69"/>
      <c r="F138" s="69"/>
    </row>
    <row r="139" spans="1:6" ht="27" customHeight="1">
      <c r="A139" s="291" t="s">
        <v>6952</v>
      </c>
      <c r="B139" s="69"/>
      <c r="C139" s="69"/>
      <c r="D139" s="69"/>
      <c r="E139" s="69"/>
      <c r="F139" s="69"/>
    </row>
    <row r="140" spans="1:6" ht="27" customHeight="1">
      <c r="A140" s="279" t="s">
        <v>6953</v>
      </c>
      <c r="B140" s="69"/>
      <c r="C140" s="69"/>
      <c r="D140" s="69"/>
      <c r="E140" s="69"/>
      <c r="F140" s="69"/>
    </row>
    <row r="141" spans="1:6" ht="27" customHeight="1">
      <c r="A141" s="279" t="s">
        <v>6954</v>
      </c>
      <c r="B141" s="69"/>
      <c r="C141" s="69"/>
      <c r="D141" s="69"/>
      <c r="E141" s="69"/>
      <c r="F141" s="69"/>
    </row>
    <row r="142" spans="1:6" ht="15" customHeight="1">
      <c r="A142" s="279" t="s">
        <v>6955</v>
      </c>
      <c r="B142" s="69"/>
      <c r="C142" s="69"/>
      <c r="D142" s="69"/>
      <c r="E142" s="69"/>
      <c r="F142" s="69"/>
    </row>
    <row r="143" spans="1:6" ht="15" customHeight="1">
      <c r="A143" s="69"/>
      <c r="B143" s="69"/>
      <c r="C143" s="69"/>
      <c r="D143" s="69"/>
      <c r="E143" s="69"/>
      <c r="F143" s="69"/>
    </row>
    <row r="144" spans="1:6" ht="15" customHeight="1">
      <c r="A144" s="265" t="s">
        <v>6956</v>
      </c>
      <c r="B144" s="266"/>
      <c r="C144" s="266"/>
      <c r="D144" s="266"/>
      <c r="E144" s="266"/>
      <c r="F144" s="266"/>
    </row>
    <row r="145" spans="1:6" ht="15" customHeight="1">
      <c r="A145" s="267" t="s">
        <v>2322</v>
      </c>
      <c r="B145" s="267" t="s">
        <v>188</v>
      </c>
      <c r="C145" s="267" t="s">
        <v>2323</v>
      </c>
      <c r="D145" s="267" t="s">
        <v>6957</v>
      </c>
      <c r="E145" s="69"/>
      <c r="F145" s="69"/>
    </row>
    <row r="146" spans="1:6" ht="15" customHeight="1">
      <c r="A146" s="292" t="s">
        <v>6958</v>
      </c>
      <c r="B146" s="269" t="s">
        <v>6959</v>
      </c>
      <c r="C146" s="269" t="s">
        <v>6960</v>
      </c>
      <c r="D146" s="269" t="s">
        <v>6961</v>
      </c>
      <c r="E146" s="69"/>
      <c r="F146" s="69"/>
    </row>
    <row r="147" spans="1:6" ht="15" customHeight="1">
      <c r="A147" s="292" t="s">
        <v>6962</v>
      </c>
      <c r="B147" s="269" t="s">
        <v>6963</v>
      </c>
      <c r="C147" s="269" t="s">
        <v>6964</v>
      </c>
      <c r="D147" s="269" t="s">
        <v>6965</v>
      </c>
      <c r="E147" s="69"/>
      <c r="F147" s="69"/>
    </row>
    <row r="148" spans="1:6" ht="15" customHeight="1">
      <c r="A148" s="292" t="s">
        <v>6966</v>
      </c>
      <c r="B148" s="269" t="s">
        <v>6967</v>
      </c>
      <c r="C148" s="269" t="s">
        <v>6968</v>
      </c>
      <c r="D148" s="269" t="s">
        <v>6969</v>
      </c>
      <c r="E148" s="69"/>
      <c r="F148" s="69"/>
    </row>
    <row r="149" spans="1:6" ht="15" customHeight="1">
      <c r="A149" s="292" t="s">
        <v>6970</v>
      </c>
      <c r="B149" s="269" t="s">
        <v>3692</v>
      </c>
      <c r="C149" s="269" t="s">
        <v>6971</v>
      </c>
      <c r="D149" s="269" t="s">
        <v>6972</v>
      </c>
      <c r="E149" s="69"/>
      <c r="F149" s="69"/>
    </row>
    <row r="150" spans="1:6" ht="15" customHeight="1">
      <c r="A150" s="292" t="s">
        <v>6973</v>
      </c>
      <c r="B150" s="269" t="s">
        <v>6974</v>
      </c>
      <c r="C150" s="269" t="s">
        <v>6975</v>
      </c>
      <c r="D150" s="269" t="s">
        <v>6976</v>
      </c>
      <c r="E150" s="69"/>
      <c r="F150" s="69"/>
    </row>
    <row r="151" spans="1:6" ht="15" customHeight="1">
      <c r="A151" s="292" t="s">
        <v>6977</v>
      </c>
      <c r="B151" s="269" t="s">
        <v>6611</v>
      </c>
      <c r="C151" s="269" t="s">
        <v>6978</v>
      </c>
      <c r="D151" s="269" t="s">
        <v>6979</v>
      </c>
      <c r="E151" s="69"/>
      <c r="F151" s="69"/>
    </row>
    <row r="152" spans="1:6" ht="15" customHeight="1">
      <c r="A152" s="292" t="s">
        <v>6980</v>
      </c>
      <c r="B152" s="269" t="s">
        <v>6981</v>
      </c>
      <c r="C152" s="269" t="s">
        <v>6982</v>
      </c>
      <c r="D152" s="269" t="s">
        <v>6983</v>
      </c>
      <c r="E152" s="69"/>
      <c r="F152" s="69"/>
    </row>
    <row r="153" spans="1:6" ht="15" customHeight="1">
      <c r="A153" s="292" t="s">
        <v>6984</v>
      </c>
      <c r="B153" s="269" t="s">
        <v>6985</v>
      </c>
      <c r="C153" s="269" t="s">
        <v>6986</v>
      </c>
      <c r="D153" s="269" t="s">
        <v>6987</v>
      </c>
      <c r="E153" s="69"/>
      <c r="F153" s="69"/>
    </row>
    <row r="154" spans="1:6" ht="15" customHeight="1">
      <c r="A154" s="292" t="s">
        <v>6988</v>
      </c>
      <c r="B154" s="269" t="s">
        <v>6989</v>
      </c>
      <c r="C154" s="269" t="s">
        <v>6990</v>
      </c>
      <c r="D154" s="269" t="s">
        <v>6991</v>
      </c>
      <c r="E154" s="69"/>
      <c r="F154" s="69"/>
    </row>
    <row r="155" spans="1:6" ht="15" customHeight="1">
      <c r="A155" s="292" t="s">
        <v>6992</v>
      </c>
      <c r="B155" s="269" t="s">
        <v>6993</v>
      </c>
      <c r="C155" s="269" t="s">
        <v>6994</v>
      </c>
      <c r="D155" s="269" t="s">
        <v>6995</v>
      </c>
      <c r="E155" s="69"/>
      <c r="F155" s="69"/>
    </row>
    <row r="156" spans="1:6" ht="15" customHeight="1">
      <c r="A156" s="292" t="s">
        <v>6996</v>
      </c>
      <c r="B156" s="269" t="s">
        <v>824</v>
      </c>
      <c r="C156" s="269" t="s">
        <v>6997</v>
      </c>
      <c r="D156" s="269" t="s">
        <v>6998</v>
      </c>
      <c r="E156" s="69"/>
      <c r="F156" s="69"/>
    </row>
    <row r="157" spans="1:6" ht="15" customHeight="1">
      <c r="A157" s="292" t="s">
        <v>6999</v>
      </c>
      <c r="B157" s="269" t="s">
        <v>7000</v>
      </c>
      <c r="C157" s="269" t="s">
        <v>7001</v>
      </c>
      <c r="D157" s="269" t="s">
        <v>7002</v>
      </c>
      <c r="E157" s="69"/>
      <c r="F157" s="69"/>
    </row>
    <row r="158" spans="1:6" ht="15" customHeight="1">
      <c r="A158" s="292" t="s">
        <v>7003</v>
      </c>
      <c r="B158" s="269" t="s">
        <v>7004</v>
      </c>
      <c r="C158" s="269" t="s">
        <v>7005</v>
      </c>
      <c r="D158" s="269" t="s">
        <v>7006</v>
      </c>
      <c r="E158" s="69"/>
      <c r="F158" s="69"/>
    </row>
    <row r="159" spans="1:6" ht="15" customHeight="1">
      <c r="A159" s="292" t="s">
        <v>7007</v>
      </c>
      <c r="B159" s="269" t="s">
        <v>7008</v>
      </c>
      <c r="C159" s="269" t="s">
        <v>7009</v>
      </c>
      <c r="D159" s="269" t="s">
        <v>7010</v>
      </c>
      <c r="E159" s="69"/>
      <c r="F159" s="69"/>
    </row>
    <row r="160" spans="1:6" ht="15" customHeight="1">
      <c r="A160" s="292" t="s">
        <v>7011</v>
      </c>
      <c r="B160" s="269" t="s">
        <v>7012</v>
      </c>
      <c r="C160" s="269" t="s">
        <v>7013</v>
      </c>
      <c r="D160" s="269" t="s">
        <v>7014</v>
      </c>
      <c r="E160" s="69"/>
      <c r="F160" s="69"/>
    </row>
    <row r="161" spans="1:6" ht="15" customHeight="1">
      <c r="A161" s="292" t="s">
        <v>7015</v>
      </c>
      <c r="B161" s="269" t="s">
        <v>7016</v>
      </c>
      <c r="C161" s="269" t="s">
        <v>7017</v>
      </c>
      <c r="D161" s="269" t="s">
        <v>7018</v>
      </c>
      <c r="E161" s="69"/>
      <c r="F161" s="69"/>
    </row>
    <row r="162" spans="1:6" ht="15" customHeight="1">
      <c r="A162" s="292" t="s">
        <v>7019</v>
      </c>
      <c r="B162" s="269" t="s">
        <v>7020</v>
      </c>
      <c r="C162" s="269" t="s">
        <v>7021</v>
      </c>
      <c r="D162" s="269" t="s">
        <v>7022</v>
      </c>
      <c r="E162" s="69"/>
      <c r="F162" s="69"/>
    </row>
    <row r="163" spans="1:6" ht="15" customHeight="1">
      <c r="A163" s="292" t="s">
        <v>7023</v>
      </c>
      <c r="B163" s="269" t="s">
        <v>7024</v>
      </c>
      <c r="C163" s="269" t="s">
        <v>7025</v>
      </c>
      <c r="D163" s="269" t="s">
        <v>7026</v>
      </c>
      <c r="E163" s="69"/>
      <c r="F163" s="69"/>
    </row>
    <row r="164" spans="1:6" ht="15" customHeight="1">
      <c r="A164" s="292" t="s">
        <v>7027</v>
      </c>
      <c r="B164" s="269" t="s">
        <v>7028</v>
      </c>
      <c r="C164" s="269" t="s">
        <v>7029</v>
      </c>
      <c r="D164" s="269" t="s">
        <v>7030</v>
      </c>
      <c r="E164" s="69"/>
      <c r="F164" s="69"/>
    </row>
    <row r="165" spans="1:6" ht="15" customHeight="1">
      <c r="A165" s="292" t="s">
        <v>7031</v>
      </c>
      <c r="B165" s="269" t="s">
        <v>7032</v>
      </c>
      <c r="C165" s="269" t="s">
        <v>7033</v>
      </c>
      <c r="D165" s="269" t="s">
        <v>7034</v>
      </c>
      <c r="E165" s="69"/>
      <c r="F165" s="69"/>
    </row>
    <row r="166" spans="1:6" ht="15" customHeight="1">
      <c r="A166" s="292" t="s">
        <v>7035</v>
      </c>
      <c r="B166" s="269" t="s">
        <v>7036</v>
      </c>
      <c r="C166" s="269" t="s">
        <v>7037</v>
      </c>
      <c r="D166" s="269" t="s">
        <v>7038</v>
      </c>
      <c r="E166" s="69"/>
      <c r="F166" s="69"/>
    </row>
    <row r="167" spans="1:6" ht="15" customHeight="1">
      <c r="A167" s="292" t="s">
        <v>7039</v>
      </c>
      <c r="B167" s="269" t="s">
        <v>7036</v>
      </c>
      <c r="C167" s="269" t="s">
        <v>7040</v>
      </c>
      <c r="D167" s="269" t="s">
        <v>7041</v>
      </c>
      <c r="E167" s="69"/>
      <c r="F167" s="69"/>
    </row>
    <row r="168" spans="1:6" ht="15" customHeight="1">
      <c r="A168" s="292" t="s">
        <v>7042</v>
      </c>
      <c r="B168" s="269" t="s">
        <v>7036</v>
      </c>
      <c r="C168" s="269" t="s">
        <v>7043</v>
      </c>
      <c r="D168" s="269" t="s">
        <v>7044</v>
      </c>
      <c r="E168" s="69"/>
      <c r="F168" s="69"/>
    </row>
    <row r="169" spans="1:6" ht="15" customHeight="1">
      <c r="A169" s="292" t="s">
        <v>7045</v>
      </c>
      <c r="B169" s="269" t="s">
        <v>7036</v>
      </c>
      <c r="C169" s="269" t="s">
        <v>7046</v>
      </c>
      <c r="D169" s="269" t="s">
        <v>7047</v>
      </c>
      <c r="E169" s="69"/>
      <c r="F169" s="69"/>
    </row>
    <row r="170" spans="1:6" ht="15" customHeight="1">
      <c r="A170" s="292" t="s">
        <v>7048</v>
      </c>
      <c r="B170" s="269" t="s">
        <v>7049</v>
      </c>
      <c r="C170" s="269" t="s">
        <v>7050</v>
      </c>
      <c r="D170" s="269" t="s">
        <v>7051</v>
      </c>
      <c r="E170" s="69"/>
      <c r="F170" s="69"/>
    </row>
    <row r="171" spans="1:6" ht="15" customHeight="1">
      <c r="A171" s="292" t="s">
        <v>7052</v>
      </c>
      <c r="B171" s="269" t="s">
        <v>7053</v>
      </c>
      <c r="C171" s="269" t="s">
        <v>7054</v>
      </c>
      <c r="D171" s="269" t="s">
        <v>7055</v>
      </c>
      <c r="E171" s="69"/>
      <c r="F171" s="69"/>
    </row>
    <row r="172" spans="1:6" ht="15" customHeight="1">
      <c r="A172" s="292" t="s">
        <v>7056</v>
      </c>
      <c r="B172" s="269" t="s">
        <v>7036</v>
      </c>
      <c r="C172" s="269" t="s">
        <v>7057</v>
      </c>
      <c r="D172" s="269" t="s">
        <v>7058</v>
      </c>
      <c r="E172" s="69"/>
      <c r="F172" s="69"/>
    </row>
    <row r="173" spans="1:6" ht="15" customHeight="1">
      <c r="A173" s="292" t="s">
        <v>7059</v>
      </c>
      <c r="B173" s="269" t="s">
        <v>7060</v>
      </c>
      <c r="C173" s="269" t="s">
        <v>7061</v>
      </c>
      <c r="D173" s="269" t="s">
        <v>7062</v>
      </c>
      <c r="E173" s="69"/>
      <c r="F173" s="69"/>
    </row>
    <row r="174" spans="1:6" ht="15" customHeight="1">
      <c r="A174" s="292" t="s">
        <v>7063</v>
      </c>
      <c r="B174" s="269" t="s">
        <v>3692</v>
      </c>
      <c r="C174" s="269" t="s">
        <v>7064</v>
      </c>
      <c r="D174" s="269" t="s">
        <v>7065</v>
      </c>
      <c r="E174" s="69"/>
      <c r="F174" s="69"/>
    </row>
    <row r="175" spans="1:6" ht="15" customHeight="1">
      <c r="A175" s="292" t="s">
        <v>7066</v>
      </c>
      <c r="B175" s="269" t="s">
        <v>7067</v>
      </c>
      <c r="C175" s="269" t="s">
        <v>7068</v>
      </c>
      <c r="D175" s="269" t="s">
        <v>7069</v>
      </c>
      <c r="E175" s="69"/>
      <c r="F175" s="69"/>
    </row>
    <row r="176" spans="1:6" ht="15" customHeight="1">
      <c r="A176" s="292" t="s">
        <v>7070</v>
      </c>
      <c r="B176" s="269" t="s">
        <v>3692</v>
      </c>
      <c r="C176" s="269" t="s">
        <v>7071</v>
      </c>
      <c r="D176" s="269" t="s">
        <v>7072</v>
      </c>
      <c r="E176" s="69"/>
      <c r="F176" s="69"/>
    </row>
    <row r="177" spans="1:6" ht="15" customHeight="1">
      <c r="A177" s="292" t="s">
        <v>7073</v>
      </c>
      <c r="B177" s="269" t="s">
        <v>1517</v>
      </c>
      <c r="C177" s="269" t="s">
        <v>7074</v>
      </c>
      <c r="D177" s="269" t="s">
        <v>7075</v>
      </c>
      <c r="E177" s="69"/>
      <c r="F177" s="69"/>
    </row>
    <row r="178" spans="1:6" ht="15" customHeight="1">
      <c r="A178" s="292" t="s">
        <v>7076</v>
      </c>
      <c r="B178" s="269" t="s">
        <v>1517</v>
      </c>
      <c r="C178" s="269" t="s">
        <v>7077</v>
      </c>
      <c r="D178" s="269" t="s">
        <v>7078</v>
      </c>
      <c r="E178" s="69"/>
      <c r="F178" s="69"/>
    </row>
    <row r="179" spans="1:6" ht="15" customHeight="1">
      <c r="A179" s="292" t="s">
        <v>7079</v>
      </c>
      <c r="B179" s="269" t="s">
        <v>7080</v>
      </c>
      <c r="C179" s="269" t="s">
        <v>7081</v>
      </c>
      <c r="D179" s="269" t="s">
        <v>7082</v>
      </c>
      <c r="E179" s="69"/>
      <c r="F179" s="69"/>
    </row>
    <row r="180" spans="1:6" ht="15" customHeight="1">
      <c r="A180" s="292" t="s">
        <v>7083</v>
      </c>
      <c r="B180" s="269" t="s">
        <v>7084</v>
      </c>
      <c r="C180" s="269" t="s">
        <v>7085</v>
      </c>
      <c r="D180" s="269" t="s">
        <v>7086</v>
      </c>
      <c r="E180" s="69"/>
      <c r="F180" s="69"/>
    </row>
    <row r="181" spans="1:6" ht="15" customHeight="1">
      <c r="A181" s="292" t="s">
        <v>7087</v>
      </c>
      <c r="B181" s="269" t="s">
        <v>7088</v>
      </c>
      <c r="C181" s="269" t="s">
        <v>7089</v>
      </c>
      <c r="D181" s="269" t="s">
        <v>7090</v>
      </c>
      <c r="E181" s="69"/>
      <c r="F181" s="69"/>
    </row>
    <row r="182" spans="1:6" ht="15" customHeight="1">
      <c r="A182" s="292" t="s">
        <v>7091</v>
      </c>
      <c r="B182" s="269" t="s">
        <v>7084</v>
      </c>
      <c r="C182" s="269" t="s">
        <v>7092</v>
      </c>
      <c r="D182" s="269" t="s">
        <v>7093</v>
      </c>
      <c r="E182" s="69"/>
      <c r="F182" s="69"/>
    </row>
    <row r="183" spans="1:6" ht="15" customHeight="1">
      <c r="A183" s="292" t="s">
        <v>7094</v>
      </c>
      <c r="B183" s="269" t="s">
        <v>7095</v>
      </c>
      <c r="C183" s="269" t="s">
        <v>7096</v>
      </c>
      <c r="D183" s="269" t="s">
        <v>7097</v>
      </c>
      <c r="E183" s="69"/>
      <c r="F183" s="69"/>
    </row>
    <row r="184" spans="1:6" ht="15" customHeight="1">
      <c r="A184" s="292" t="s">
        <v>7098</v>
      </c>
      <c r="B184" s="269" t="s">
        <v>7095</v>
      </c>
      <c r="C184" s="269" t="s">
        <v>7099</v>
      </c>
      <c r="D184" s="269" t="s">
        <v>7100</v>
      </c>
      <c r="E184" s="69"/>
      <c r="F184" s="69"/>
    </row>
    <row r="185" spans="1:6" ht="27" customHeight="1">
      <c r="A185" s="292" t="s">
        <v>7101</v>
      </c>
      <c r="B185" s="269" t="s">
        <v>7067</v>
      </c>
      <c r="C185" s="269" t="s">
        <v>7102</v>
      </c>
      <c r="D185" s="269" t="s">
        <v>7103</v>
      </c>
      <c r="E185" s="69"/>
      <c r="F185" s="69"/>
    </row>
    <row r="186" spans="1:6" ht="27" customHeight="1">
      <c r="A186" s="292" t="s">
        <v>7104</v>
      </c>
      <c r="B186" s="269" t="s">
        <v>3692</v>
      </c>
      <c r="C186" s="269" t="s">
        <v>7105</v>
      </c>
      <c r="D186" s="269" t="s">
        <v>7106</v>
      </c>
      <c r="E186" s="69"/>
      <c r="F186" s="69"/>
    </row>
    <row r="187" spans="1:6" ht="15" customHeight="1">
      <c r="A187" s="292" t="s">
        <v>7107</v>
      </c>
      <c r="B187" s="269" t="s">
        <v>3692</v>
      </c>
      <c r="C187" s="269" t="s">
        <v>7108</v>
      </c>
      <c r="D187" s="269" t="s">
        <v>7109</v>
      </c>
      <c r="E187" s="69"/>
      <c r="F187" s="69"/>
    </row>
    <row r="188" spans="1:6" ht="15" customHeight="1">
      <c r="A188" s="292" t="s">
        <v>7110</v>
      </c>
      <c r="B188" s="269" t="s">
        <v>3692</v>
      </c>
      <c r="C188" s="269" t="s">
        <v>7111</v>
      </c>
      <c r="D188" s="269" t="s">
        <v>7112</v>
      </c>
      <c r="E188" s="69"/>
      <c r="F188" s="69"/>
    </row>
    <row r="189" spans="1:6" ht="15" customHeight="1">
      <c r="A189" s="292" t="s">
        <v>7113</v>
      </c>
      <c r="B189" s="269" t="s">
        <v>3692</v>
      </c>
      <c r="C189" s="269" t="s">
        <v>7114</v>
      </c>
      <c r="D189" s="269" t="s">
        <v>7115</v>
      </c>
      <c r="E189" s="69"/>
      <c r="F189" s="69"/>
    </row>
    <row r="190" spans="1:6" ht="15" customHeight="1">
      <c r="A190" s="292" t="s">
        <v>7116</v>
      </c>
      <c r="B190" s="269" t="s">
        <v>3692</v>
      </c>
      <c r="C190" s="269" t="s">
        <v>7117</v>
      </c>
      <c r="D190" s="269" t="s">
        <v>7118</v>
      </c>
      <c r="E190" s="69"/>
      <c r="F190" s="69"/>
    </row>
    <row r="191" spans="1:6" ht="15" customHeight="1">
      <c r="A191" s="292" t="s">
        <v>7119</v>
      </c>
      <c r="B191" s="269" t="s">
        <v>3692</v>
      </c>
      <c r="C191" s="269" t="s">
        <v>7120</v>
      </c>
      <c r="D191" s="269" t="s">
        <v>7121</v>
      </c>
      <c r="E191" s="69"/>
      <c r="F191" s="69"/>
    </row>
    <row r="192" spans="1:6" ht="15" customHeight="1">
      <c r="A192" s="292" t="s">
        <v>7122</v>
      </c>
      <c r="B192" s="269" t="s">
        <v>7123</v>
      </c>
      <c r="C192" s="269" t="s">
        <v>7124</v>
      </c>
      <c r="D192" s="269" t="s">
        <v>7125</v>
      </c>
      <c r="E192" s="69"/>
      <c r="F192" s="69"/>
    </row>
    <row r="193" spans="1:6" ht="15" customHeight="1">
      <c r="A193" s="292" t="s">
        <v>7126</v>
      </c>
      <c r="B193" s="269" t="s">
        <v>3692</v>
      </c>
      <c r="C193" s="269" t="s">
        <v>7127</v>
      </c>
      <c r="D193" s="269" t="s">
        <v>7128</v>
      </c>
      <c r="E193" s="69"/>
      <c r="F193" s="69"/>
    </row>
    <row r="194" spans="1:6" ht="15" customHeight="1">
      <c r="A194" s="292" t="s">
        <v>7129</v>
      </c>
      <c r="B194" s="269" t="s">
        <v>3692</v>
      </c>
      <c r="C194" s="269" t="s">
        <v>7130</v>
      </c>
      <c r="D194" s="269" t="s">
        <v>7131</v>
      </c>
      <c r="E194" s="69"/>
      <c r="F194" s="69"/>
    </row>
    <row r="195" spans="1:6" ht="15" customHeight="1">
      <c r="A195" s="292" t="s">
        <v>7132</v>
      </c>
      <c r="B195" s="269" t="s">
        <v>7133</v>
      </c>
      <c r="C195" s="269" t="s">
        <v>7134</v>
      </c>
      <c r="D195" s="269" t="s">
        <v>7135</v>
      </c>
      <c r="E195" s="69"/>
      <c r="F195" s="69"/>
    </row>
    <row r="196" spans="1:6" ht="15" customHeight="1">
      <c r="A196" s="292" t="s">
        <v>7136</v>
      </c>
      <c r="B196" s="269" t="s">
        <v>7137</v>
      </c>
      <c r="C196" s="269" t="s">
        <v>7138</v>
      </c>
      <c r="D196" s="269" t="s">
        <v>7139</v>
      </c>
      <c r="E196" s="69"/>
      <c r="F196" s="69"/>
    </row>
    <row r="197" spans="1:6" ht="15" customHeight="1">
      <c r="A197" s="292" t="s">
        <v>7140</v>
      </c>
      <c r="B197" s="269" t="s">
        <v>7141</v>
      </c>
      <c r="C197" s="269" t="s">
        <v>7142</v>
      </c>
      <c r="D197" s="269" t="s">
        <v>7143</v>
      </c>
      <c r="E197" s="69"/>
      <c r="F197" s="69"/>
    </row>
    <row r="198" spans="1:6" ht="15" customHeight="1">
      <c r="A198" s="292" t="s">
        <v>7144</v>
      </c>
      <c r="B198" s="269" t="s">
        <v>7067</v>
      </c>
      <c r="C198" s="269" t="s">
        <v>7145</v>
      </c>
      <c r="D198" s="269" t="s">
        <v>7146</v>
      </c>
      <c r="E198" s="69"/>
      <c r="F198" s="69"/>
    </row>
    <row r="199" spans="1:6" ht="15" customHeight="1">
      <c r="A199" s="292" t="s">
        <v>7147</v>
      </c>
      <c r="B199" s="269" t="s">
        <v>7067</v>
      </c>
      <c r="C199" s="269" t="s">
        <v>7148</v>
      </c>
      <c r="D199" s="269" t="s">
        <v>7149</v>
      </c>
      <c r="E199" s="69"/>
      <c r="F199" s="69"/>
    </row>
    <row r="200" spans="1:6" ht="15" customHeight="1">
      <c r="A200" s="292" t="s">
        <v>7150</v>
      </c>
      <c r="B200" s="269" t="s">
        <v>3692</v>
      </c>
      <c r="C200" s="269" t="s">
        <v>7151</v>
      </c>
      <c r="D200" s="269" t="s">
        <v>7152</v>
      </c>
      <c r="E200" s="69"/>
      <c r="F200" s="69"/>
    </row>
    <row r="201" spans="1:6" ht="15" customHeight="1">
      <c r="A201" s="292" t="s">
        <v>7153</v>
      </c>
      <c r="B201" s="269" t="s">
        <v>3692</v>
      </c>
      <c r="C201" s="269" t="s">
        <v>7154</v>
      </c>
      <c r="D201" s="269" t="s">
        <v>7155</v>
      </c>
      <c r="E201" s="69"/>
      <c r="F201" s="69"/>
    </row>
    <row r="202" spans="1:6" ht="15" customHeight="1">
      <c r="A202" s="292" t="s">
        <v>7156</v>
      </c>
      <c r="B202" s="269" t="s">
        <v>3692</v>
      </c>
      <c r="C202" s="269" t="s">
        <v>7157</v>
      </c>
      <c r="D202" s="269" t="s">
        <v>7158</v>
      </c>
      <c r="E202" s="69"/>
      <c r="F202" s="69"/>
    </row>
    <row r="203" spans="1:6" ht="15" customHeight="1">
      <c r="A203" s="292" t="s">
        <v>7159</v>
      </c>
      <c r="B203" s="269" t="s">
        <v>7032</v>
      </c>
      <c r="C203" s="269" t="s">
        <v>7160</v>
      </c>
      <c r="D203" s="269" t="s">
        <v>7161</v>
      </c>
      <c r="E203" s="69"/>
      <c r="F203" s="69"/>
    </row>
    <row r="204" spans="1:6" ht="15" customHeight="1">
      <c r="A204" s="292" t="s">
        <v>7162</v>
      </c>
      <c r="B204" s="269" t="s">
        <v>3692</v>
      </c>
      <c r="C204" s="269" t="s">
        <v>7163</v>
      </c>
      <c r="D204" s="269" t="s">
        <v>7164</v>
      </c>
      <c r="E204" s="69"/>
      <c r="F204" s="69"/>
    </row>
    <row r="205" spans="1:6" ht="15" customHeight="1">
      <c r="A205" s="292" t="s">
        <v>7165</v>
      </c>
      <c r="B205" s="269" t="s">
        <v>7166</v>
      </c>
      <c r="C205" s="269" t="s">
        <v>7167</v>
      </c>
      <c r="D205" s="269" t="s">
        <v>7168</v>
      </c>
      <c r="E205" s="69"/>
      <c r="F205" s="69"/>
    </row>
    <row r="206" spans="1:6" ht="121.5" customHeight="1">
      <c r="A206" s="293" t="s">
        <v>7169</v>
      </c>
      <c r="B206" s="274" t="s">
        <v>7166</v>
      </c>
      <c r="C206" s="274" t="s">
        <v>7170</v>
      </c>
      <c r="D206" s="274" t="s">
        <v>7171</v>
      </c>
      <c r="E206" s="69"/>
      <c r="F206" s="69"/>
    </row>
    <row r="207" spans="1:6" ht="121.5" customHeight="1">
      <c r="A207" s="291" t="s">
        <v>7172</v>
      </c>
      <c r="B207" s="279" t="s">
        <v>3692</v>
      </c>
      <c r="C207" s="279" t="s">
        <v>7173</v>
      </c>
      <c r="D207" s="279"/>
      <c r="E207" s="69"/>
      <c r="F207" s="69"/>
    </row>
    <row r="208" spans="1:6" ht="94.5" customHeight="1">
      <c r="A208" s="69"/>
      <c r="B208" s="69"/>
      <c r="C208" s="69"/>
      <c r="D208" s="69"/>
      <c r="E208" s="69"/>
      <c r="F208" s="69"/>
    </row>
    <row r="209" spans="1:6" ht="94.5" customHeight="1">
      <c r="A209" s="69" t="s">
        <v>7174</v>
      </c>
      <c r="B209" s="69" t="s">
        <v>7175</v>
      </c>
      <c r="C209" s="69" t="s">
        <v>7176</v>
      </c>
      <c r="D209" s="69" t="s">
        <v>7177</v>
      </c>
      <c r="E209" s="69"/>
      <c r="F209" s="69"/>
    </row>
    <row r="210" spans="1:6" ht="26.25" customHeight="1">
      <c r="A210" s="271" t="s">
        <v>7178</v>
      </c>
      <c r="B210" s="271" t="s">
        <v>3692</v>
      </c>
      <c r="C210" s="271" t="s">
        <v>7179</v>
      </c>
      <c r="D210" s="271" t="s">
        <v>7180</v>
      </c>
      <c r="E210" s="271"/>
      <c r="F210" s="271"/>
    </row>
    <row r="211" spans="1:6" ht="27" customHeight="1">
      <c r="A211" s="294" t="s">
        <v>7181</v>
      </c>
      <c r="B211" s="294" t="s">
        <v>7067</v>
      </c>
      <c r="C211" s="294" t="s">
        <v>7182</v>
      </c>
      <c r="D211" s="294" t="s">
        <v>7183</v>
      </c>
      <c r="E211" s="294"/>
      <c r="F211" s="294"/>
    </row>
    <row r="212" spans="1:6" ht="27" customHeight="1">
      <c r="A212" s="271" t="s">
        <v>7184</v>
      </c>
      <c r="B212" s="271" t="s">
        <v>7067</v>
      </c>
      <c r="C212" s="271" t="s">
        <v>7185</v>
      </c>
      <c r="D212" s="271" t="s">
        <v>6598</v>
      </c>
      <c r="E212" s="271"/>
      <c r="F212" s="271"/>
    </row>
    <row r="213" spans="1:6" ht="27" customHeight="1">
      <c r="A213" s="265" t="s">
        <v>7186</v>
      </c>
      <c r="B213" s="266"/>
      <c r="C213" s="266"/>
      <c r="D213" s="266"/>
      <c r="E213" s="266"/>
      <c r="F213" s="266"/>
    </row>
    <row r="214" spans="1:6" ht="27" customHeight="1">
      <c r="A214" s="267" t="s">
        <v>7187</v>
      </c>
      <c r="B214" s="267" t="s">
        <v>188</v>
      </c>
      <c r="C214" s="268" t="s">
        <v>14</v>
      </c>
      <c r="D214" s="268" t="s">
        <v>2156</v>
      </c>
      <c r="E214" s="267" t="s">
        <v>260</v>
      </c>
      <c r="F214" s="69"/>
    </row>
    <row r="215" spans="1:6" ht="27" customHeight="1">
      <c r="A215" s="269" t="s">
        <v>7188</v>
      </c>
      <c r="B215" s="269" t="s">
        <v>7189</v>
      </c>
      <c r="C215" s="295" t="s">
        <v>2086</v>
      </c>
      <c r="D215" s="276" t="s">
        <v>1535</v>
      </c>
      <c r="E215" s="269" t="s">
        <v>7190</v>
      </c>
      <c r="F215" s="69"/>
    </row>
    <row r="216" spans="1:6" ht="27" customHeight="1">
      <c r="A216" s="269" t="s">
        <v>3684</v>
      </c>
      <c r="B216" s="269" t="s">
        <v>7189</v>
      </c>
      <c r="C216" s="295" t="s">
        <v>2086</v>
      </c>
      <c r="D216" s="276" t="s">
        <v>1535</v>
      </c>
      <c r="E216" s="269" t="s">
        <v>7191</v>
      </c>
      <c r="F216" s="69"/>
    </row>
    <row r="217" spans="1:6" ht="27" customHeight="1">
      <c r="A217" s="269" t="s">
        <v>7192</v>
      </c>
      <c r="B217" s="269" t="s">
        <v>7193</v>
      </c>
      <c r="C217" s="295" t="s">
        <v>2086</v>
      </c>
      <c r="D217" s="276" t="s">
        <v>1535</v>
      </c>
      <c r="E217" s="269" t="s">
        <v>7194</v>
      </c>
      <c r="F217" s="69"/>
    </row>
    <row r="218" spans="1:6" ht="27" customHeight="1">
      <c r="A218" s="269" t="s">
        <v>6603</v>
      </c>
      <c r="B218" s="269" t="s">
        <v>7123</v>
      </c>
      <c r="C218" s="295" t="s">
        <v>2086</v>
      </c>
      <c r="D218" s="276" t="s">
        <v>1535</v>
      </c>
      <c r="E218" s="269" t="s">
        <v>7195</v>
      </c>
      <c r="F218" s="69"/>
    </row>
    <row r="219" spans="1:6" ht="27" customHeight="1">
      <c r="A219" s="269" t="s">
        <v>7196</v>
      </c>
      <c r="B219" s="269" t="s">
        <v>7197</v>
      </c>
      <c r="C219" s="295" t="s">
        <v>2086</v>
      </c>
      <c r="D219" s="276" t="s">
        <v>1535</v>
      </c>
      <c r="E219" s="269" t="s">
        <v>7198</v>
      </c>
      <c r="F219" s="69"/>
    </row>
    <row r="220" spans="1:6" ht="27" customHeight="1">
      <c r="A220" s="269" t="s">
        <v>7199</v>
      </c>
      <c r="B220" s="269" t="s">
        <v>7200</v>
      </c>
      <c r="C220" s="295" t="s">
        <v>2086</v>
      </c>
      <c r="D220" s="276" t="s">
        <v>1535</v>
      </c>
      <c r="E220" s="269" t="s">
        <v>7201</v>
      </c>
      <c r="F220" s="69"/>
    </row>
    <row r="221" spans="1:6" ht="27" customHeight="1">
      <c r="A221" s="269" t="s">
        <v>7202</v>
      </c>
      <c r="B221" s="269" t="s">
        <v>6685</v>
      </c>
      <c r="C221" s="295" t="s">
        <v>4493</v>
      </c>
      <c r="D221" s="276" t="s">
        <v>1535</v>
      </c>
      <c r="E221" s="269" t="s">
        <v>7203</v>
      </c>
      <c r="F221" s="69"/>
    </row>
    <row r="222" spans="1:6" ht="27" customHeight="1">
      <c r="A222" s="269" t="s">
        <v>7204</v>
      </c>
      <c r="B222" s="269" t="s">
        <v>7205</v>
      </c>
      <c r="C222" s="295" t="s">
        <v>2086</v>
      </c>
      <c r="D222" s="276" t="s">
        <v>1033</v>
      </c>
      <c r="E222" s="269" t="s">
        <v>7206</v>
      </c>
      <c r="F222" s="69"/>
    </row>
    <row r="223" spans="1:6" ht="27" customHeight="1">
      <c r="A223" s="269" t="s">
        <v>7207</v>
      </c>
      <c r="B223" s="269" t="s">
        <v>6685</v>
      </c>
      <c r="C223" s="295" t="s">
        <v>1646</v>
      </c>
      <c r="D223" s="276" t="s">
        <v>1033</v>
      </c>
      <c r="E223" s="269" t="s">
        <v>7208</v>
      </c>
      <c r="F223" s="69"/>
    </row>
    <row r="224" spans="1:6" ht="27" customHeight="1">
      <c r="A224" s="269" t="s">
        <v>7209</v>
      </c>
      <c r="B224" s="269" t="s">
        <v>6685</v>
      </c>
      <c r="C224" s="295" t="s">
        <v>1646</v>
      </c>
      <c r="D224" s="276" t="s">
        <v>1033</v>
      </c>
      <c r="E224" s="269" t="s">
        <v>7210</v>
      </c>
      <c r="F224" s="69"/>
    </row>
    <row r="225" spans="1:6" ht="27" customHeight="1">
      <c r="A225" s="269" t="s">
        <v>7211</v>
      </c>
      <c r="B225" s="269" t="s">
        <v>6685</v>
      </c>
      <c r="C225" s="295" t="s">
        <v>7212</v>
      </c>
      <c r="D225" s="276" t="s">
        <v>1033</v>
      </c>
      <c r="E225" s="269" t="s">
        <v>7213</v>
      </c>
      <c r="F225" s="69"/>
    </row>
    <row r="226" spans="1:6" ht="27" customHeight="1">
      <c r="A226" s="269" t="s">
        <v>7214</v>
      </c>
      <c r="B226" s="269" t="s">
        <v>7205</v>
      </c>
      <c r="C226" s="295" t="s">
        <v>2086</v>
      </c>
      <c r="D226" s="276" t="s">
        <v>1033</v>
      </c>
      <c r="E226" s="269" t="s">
        <v>7215</v>
      </c>
      <c r="F226" s="69"/>
    </row>
    <row r="227" spans="1:6" ht="15" customHeight="1">
      <c r="A227" s="269" t="s">
        <v>7216</v>
      </c>
      <c r="B227" s="269" t="s">
        <v>7217</v>
      </c>
      <c r="C227" s="295" t="s">
        <v>2086</v>
      </c>
      <c r="D227" s="276" t="s">
        <v>1033</v>
      </c>
      <c r="E227" s="269" t="s">
        <v>7218</v>
      </c>
      <c r="F227" s="69"/>
    </row>
    <row r="228" spans="1:6" ht="27" customHeight="1">
      <c r="A228" s="269" t="s">
        <v>7219</v>
      </c>
      <c r="B228" s="269" t="s">
        <v>6678</v>
      </c>
      <c r="C228" s="295" t="s">
        <v>4493</v>
      </c>
      <c r="D228" s="276" t="s">
        <v>1033</v>
      </c>
      <c r="E228" s="269" t="s">
        <v>7220</v>
      </c>
      <c r="F228" s="69"/>
    </row>
    <row r="229" spans="1:6" ht="27" customHeight="1">
      <c r="A229" s="269" t="s">
        <v>7221</v>
      </c>
      <c r="B229" s="269" t="s">
        <v>6678</v>
      </c>
      <c r="C229" s="295" t="s">
        <v>4493</v>
      </c>
      <c r="D229" s="276" t="s">
        <v>1033</v>
      </c>
      <c r="E229" s="269" t="s">
        <v>7222</v>
      </c>
      <c r="F229" s="69"/>
    </row>
    <row r="230" spans="1:6" ht="27" customHeight="1">
      <c r="A230" s="269" t="s">
        <v>7223</v>
      </c>
      <c r="B230" s="269" t="s">
        <v>6674</v>
      </c>
      <c r="C230" s="295" t="s">
        <v>4493</v>
      </c>
      <c r="D230" s="276" t="s">
        <v>1033</v>
      </c>
      <c r="E230" s="269" t="s">
        <v>7224</v>
      </c>
      <c r="F230" s="69"/>
    </row>
    <row r="231" spans="1:6" ht="15" customHeight="1">
      <c r="A231" s="269" t="s">
        <v>7225</v>
      </c>
      <c r="B231" s="269" t="s">
        <v>6670</v>
      </c>
      <c r="C231" s="295" t="s">
        <v>4493</v>
      </c>
      <c r="D231" s="276" t="s">
        <v>1033</v>
      </c>
      <c r="E231" s="269" t="s">
        <v>7226</v>
      </c>
      <c r="F231" s="69"/>
    </row>
    <row r="232" spans="1:6" ht="27" customHeight="1">
      <c r="A232" s="269" t="s">
        <v>7227</v>
      </c>
      <c r="B232" s="269" t="s">
        <v>6661</v>
      </c>
      <c r="C232" s="295" t="s">
        <v>4493</v>
      </c>
      <c r="D232" s="276" t="s">
        <v>1033</v>
      </c>
      <c r="E232" s="269" t="s">
        <v>7228</v>
      </c>
      <c r="F232" s="69"/>
    </row>
    <row r="233" spans="1:6" ht="15" customHeight="1">
      <c r="A233" s="269" t="s">
        <v>7229</v>
      </c>
      <c r="B233" s="269" t="s">
        <v>7205</v>
      </c>
      <c r="C233" s="295" t="s">
        <v>4493</v>
      </c>
      <c r="D233" s="276" t="s">
        <v>1033</v>
      </c>
      <c r="E233" s="269" t="s">
        <v>7230</v>
      </c>
      <c r="F233" s="69"/>
    </row>
    <row r="234" spans="1:6" ht="15" customHeight="1">
      <c r="A234" s="269" t="s">
        <v>7231</v>
      </c>
      <c r="B234" s="269" t="s">
        <v>6710</v>
      </c>
      <c r="C234" s="295" t="s">
        <v>4493</v>
      </c>
      <c r="D234" s="276" t="s">
        <v>1033</v>
      </c>
      <c r="E234" s="269" t="s">
        <v>7232</v>
      </c>
      <c r="F234" s="69"/>
    </row>
    <row r="235" spans="1:6" ht="15" customHeight="1">
      <c r="A235" s="269" t="s">
        <v>7233</v>
      </c>
      <c r="B235" s="269" t="s">
        <v>6710</v>
      </c>
      <c r="C235" s="295" t="s">
        <v>4493</v>
      </c>
      <c r="D235" s="276" t="s">
        <v>1033</v>
      </c>
      <c r="E235" s="269" t="s">
        <v>7234</v>
      </c>
      <c r="F235" s="69"/>
    </row>
    <row r="236" spans="1:6" ht="15" customHeight="1">
      <c r="A236" s="269" t="s">
        <v>7235</v>
      </c>
      <c r="B236" s="269" t="s">
        <v>6685</v>
      </c>
      <c r="C236" s="295" t="s">
        <v>7212</v>
      </c>
      <c r="D236" s="276" t="s">
        <v>1040</v>
      </c>
      <c r="E236" s="269" t="s">
        <v>7236</v>
      </c>
      <c r="F236" s="69"/>
    </row>
    <row r="237" spans="1:6" ht="15" customHeight="1">
      <c r="A237" s="269" t="s">
        <v>7237</v>
      </c>
      <c r="B237" s="269" t="s">
        <v>6685</v>
      </c>
      <c r="C237" s="295" t="s">
        <v>7212</v>
      </c>
      <c r="D237" s="276" t="s">
        <v>1040</v>
      </c>
      <c r="E237" s="269" t="s">
        <v>4306</v>
      </c>
      <c r="F237" s="69"/>
    </row>
    <row r="238" spans="1:6" ht="15" customHeight="1">
      <c r="A238" s="269" t="s">
        <v>7238</v>
      </c>
      <c r="B238" s="269" t="s">
        <v>6685</v>
      </c>
      <c r="C238" s="295" t="s">
        <v>7212</v>
      </c>
      <c r="D238" s="276" t="s">
        <v>1040</v>
      </c>
      <c r="E238" s="269" t="s">
        <v>7239</v>
      </c>
      <c r="F238" s="69"/>
    </row>
    <row r="239" spans="1:6" ht="15" customHeight="1">
      <c r="A239" s="269" t="s">
        <v>7240</v>
      </c>
      <c r="B239" s="269" t="s">
        <v>6742</v>
      </c>
      <c r="C239" s="295" t="s">
        <v>3258</v>
      </c>
      <c r="D239" s="276" t="s">
        <v>1040</v>
      </c>
      <c r="E239" s="269" t="s">
        <v>7241</v>
      </c>
      <c r="F239" s="69"/>
    </row>
    <row r="240" spans="1:6" ht="15" customHeight="1">
      <c r="A240" s="274" t="s">
        <v>7242</v>
      </c>
      <c r="B240" s="274" t="s">
        <v>6728</v>
      </c>
      <c r="C240" s="296" t="s">
        <v>4493</v>
      </c>
      <c r="D240" s="278" t="s">
        <v>1040</v>
      </c>
      <c r="E240" s="274" t="s">
        <v>7243</v>
      </c>
      <c r="F240" s="69"/>
    </row>
    <row r="241" spans="1:6" ht="15" customHeight="1">
      <c r="A241" s="69"/>
      <c r="B241" s="69"/>
      <c r="C241" s="69"/>
      <c r="D241" s="69"/>
      <c r="E241" s="69"/>
      <c r="F241" s="69"/>
    </row>
    <row r="242" spans="1:6" ht="15" customHeight="1">
      <c r="A242" s="265" t="s">
        <v>7244</v>
      </c>
      <c r="B242" s="266"/>
      <c r="C242" s="266"/>
      <c r="D242" s="266"/>
      <c r="E242" s="266"/>
      <c r="F242" s="266"/>
    </row>
    <row r="243" spans="1:6" ht="15" customHeight="1">
      <c r="A243" s="267" t="s">
        <v>3287</v>
      </c>
      <c r="B243" s="267" t="s">
        <v>6714</v>
      </c>
      <c r="C243" s="268" t="s">
        <v>1780</v>
      </c>
      <c r="D243" s="268" t="s">
        <v>14</v>
      </c>
      <c r="E243" s="267" t="s">
        <v>598</v>
      </c>
      <c r="F243" s="69"/>
    </row>
    <row r="244" spans="1:6" ht="15" customHeight="1">
      <c r="A244" s="269" t="s">
        <v>7245</v>
      </c>
      <c r="B244" s="269" t="s">
        <v>7246</v>
      </c>
      <c r="C244" s="269" t="s">
        <v>7247</v>
      </c>
      <c r="D244" s="276" t="s">
        <v>7248</v>
      </c>
      <c r="E244" s="269" t="s">
        <v>7249</v>
      </c>
      <c r="F244" s="69"/>
    </row>
    <row r="245" spans="1:6" ht="27" customHeight="1">
      <c r="A245" s="269" t="s">
        <v>7250</v>
      </c>
      <c r="B245" s="269" t="s">
        <v>7251</v>
      </c>
      <c r="C245" s="269" t="s">
        <v>7252</v>
      </c>
      <c r="D245" s="276" t="s">
        <v>4493</v>
      </c>
      <c r="E245" s="269" t="s">
        <v>7253</v>
      </c>
      <c r="F245" s="69"/>
    </row>
    <row r="246" spans="1:6" ht="15" customHeight="1">
      <c r="A246" s="269" t="s">
        <v>7254</v>
      </c>
      <c r="B246" s="269" t="s">
        <v>7255</v>
      </c>
      <c r="C246" s="269" t="s">
        <v>7256</v>
      </c>
      <c r="D246" s="276" t="s">
        <v>7248</v>
      </c>
      <c r="E246" s="269" t="s">
        <v>7257</v>
      </c>
      <c r="F246" s="69"/>
    </row>
    <row r="247" spans="1:6" ht="15" customHeight="1">
      <c r="A247" s="269" t="s">
        <v>7258</v>
      </c>
      <c r="B247" s="269" t="s">
        <v>7259</v>
      </c>
      <c r="C247" s="269" t="s">
        <v>7260</v>
      </c>
      <c r="D247" s="276" t="s">
        <v>7248</v>
      </c>
      <c r="E247" s="269" t="s">
        <v>7261</v>
      </c>
      <c r="F247" s="69"/>
    </row>
    <row r="248" spans="1:6" ht="15" customHeight="1">
      <c r="A248" s="269" t="s">
        <v>7262</v>
      </c>
      <c r="B248" s="269" t="s">
        <v>7263</v>
      </c>
      <c r="C248" s="269" t="s">
        <v>7264</v>
      </c>
      <c r="D248" s="276" t="s">
        <v>7248</v>
      </c>
      <c r="E248" s="269" t="s">
        <v>7265</v>
      </c>
      <c r="F248" s="69"/>
    </row>
    <row r="249" spans="1:6" ht="27" customHeight="1">
      <c r="A249" s="269" t="s">
        <v>7266</v>
      </c>
      <c r="B249" s="269" t="s">
        <v>7267</v>
      </c>
      <c r="C249" s="269" t="s">
        <v>7268</v>
      </c>
      <c r="D249" s="276" t="s">
        <v>7248</v>
      </c>
      <c r="E249" s="269" t="s">
        <v>7269</v>
      </c>
      <c r="F249" s="69"/>
    </row>
    <row r="250" spans="1:6" ht="27" customHeight="1">
      <c r="A250" s="269" t="s">
        <v>7270</v>
      </c>
      <c r="B250" s="269" t="s">
        <v>7271</v>
      </c>
      <c r="C250" s="269" t="s">
        <v>7272</v>
      </c>
      <c r="D250" s="276" t="s">
        <v>463</v>
      </c>
      <c r="E250" s="269" t="s">
        <v>7273</v>
      </c>
      <c r="F250" s="69"/>
    </row>
    <row r="251" spans="1:6" ht="15" customHeight="1">
      <c r="A251" s="269" t="s">
        <v>7274</v>
      </c>
      <c r="B251" s="269" t="s">
        <v>7275</v>
      </c>
      <c r="C251" s="269" t="s">
        <v>7276</v>
      </c>
      <c r="D251" s="276" t="s">
        <v>7248</v>
      </c>
      <c r="E251" s="269" t="s">
        <v>7277</v>
      </c>
      <c r="F251" s="69"/>
    </row>
    <row r="252" spans="1:6" ht="15" customHeight="1">
      <c r="A252" s="269" t="s">
        <v>7278</v>
      </c>
      <c r="B252" s="269" t="s">
        <v>7279</v>
      </c>
      <c r="C252" s="269" t="s">
        <v>7280</v>
      </c>
      <c r="D252" s="276" t="s">
        <v>7248</v>
      </c>
      <c r="E252" s="269" t="s">
        <v>7281</v>
      </c>
      <c r="F252" s="69"/>
    </row>
    <row r="253" spans="1:6" ht="15" customHeight="1">
      <c r="A253" s="269"/>
      <c r="B253" s="269"/>
      <c r="C253" s="269"/>
      <c r="D253" s="276"/>
      <c r="E253" s="269"/>
      <c r="F253" s="69"/>
    </row>
    <row r="254" spans="1:6" ht="27" customHeight="1">
      <c r="A254" s="269" t="s">
        <v>7282</v>
      </c>
      <c r="B254" s="269" t="s">
        <v>7283</v>
      </c>
      <c r="C254" s="269"/>
      <c r="D254" s="276" t="s">
        <v>7284</v>
      </c>
      <c r="E254" s="269"/>
      <c r="F254" s="69"/>
    </row>
    <row r="255" spans="1:6" ht="15" customHeight="1">
      <c r="A255" s="274" t="s">
        <v>7285</v>
      </c>
      <c r="B255" s="274" t="s">
        <v>7286</v>
      </c>
      <c r="C255" s="274"/>
      <c r="D255" s="278" t="s">
        <v>7287</v>
      </c>
      <c r="E255" s="274" t="s">
        <v>7288</v>
      </c>
      <c r="F255" s="69"/>
    </row>
    <row r="256" spans="1:6" ht="15" customHeight="1">
      <c r="A256" s="23"/>
      <c r="B256" s="23"/>
      <c r="C256" s="23"/>
      <c r="D256" s="23"/>
      <c r="E256" s="23"/>
      <c r="F256" s="23"/>
    </row>
    <row r="257" spans="1:6" ht="15" customHeight="1">
      <c r="A257" s="297" t="s">
        <v>7289</v>
      </c>
      <c r="B257" s="23"/>
      <c r="C257" s="23"/>
      <c r="D257" s="23"/>
      <c r="E257" s="23"/>
      <c r="F257" s="23"/>
    </row>
    <row r="258" spans="1:6" ht="15" customHeight="1">
      <c r="A258" s="298" t="s">
        <v>7290</v>
      </c>
      <c r="B258" s="23"/>
      <c r="C258" s="23"/>
      <c r="D258" s="23"/>
      <c r="E258" s="23"/>
      <c r="F258" s="23"/>
    </row>
    <row r="259" spans="1:6" ht="23.25" customHeight="1">
      <c r="A259" s="298" t="s">
        <v>7291</v>
      </c>
      <c r="B259" s="23"/>
      <c r="C259" s="23"/>
      <c r="D259" s="23"/>
      <c r="E259" s="23"/>
      <c r="F259" s="23"/>
    </row>
    <row r="260" spans="1:6" ht="15" customHeight="1">
      <c r="A260" s="298" t="s">
        <v>7292</v>
      </c>
      <c r="B260" s="23"/>
      <c r="C260" s="23"/>
      <c r="D260" s="23"/>
      <c r="E260" s="23"/>
      <c r="F260" s="23"/>
    </row>
    <row r="261" spans="1:6" ht="15" customHeight="1">
      <c r="A261" s="298" t="s">
        <v>7293</v>
      </c>
      <c r="B261" s="23"/>
      <c r="C261" s="23"/>
      <c r="D261" s="23"/>
      <c r="E261" s="23"/>
      <c r="F261" s="23"/>
    </row>
    <row r="262" spans="1:6" ht="15" customHeight="1">
      <c r="A262" s="298" t="s">
        <v>7294</v>
      </c>
      <c r="B262" s="23"/>
      <c r="C262" s="23"/>
      <c r="D262" s="23"/>
      <c r="E262" s="23"/>
      <c r="F262" s="23"/>
    </row>
    <row r="263" spans="1:6" ht="15" customHeight="1">
      <c r="A263" s="298" t="s">
        <v>7295</v>
      </c>
      <c r="B263" s="23"/>
      <c r="C263" s="23"/>
      <c r="D263" s="23"/>
      <c r="E263" s="23"/>
      <c r="F263" s="23"/>
    </row>
    <row r="264" spans="1:6" ht="15" customHeight="1">
      <c r="A264" s="23"/>
      <c r="B264" s="23"/>
      <c r="C264" s="23"/>
      <c r="D264" s="23"/>
      <c r="E264" s="23"/>
      <c r="F264" s="23"/>
    </row>
    <row r="265" spans="1:6" ht="15" customHeight="1">
      <c r="A265" s="107" t="s">
        <v>7296</v>
      </c>
      <c r="B265" s="23"/>
      <c r="C265" s="23"/>
      <c r="D265" s="23"/>
      <c r="E265" s="23"/>
      <c r="F265" s="23"/>
    </row>
    <row r="266" spans="1:6" ht="64.5" customHeight="1">
      <c r="A266" s="299" t="s">
        <v>7297</v>
      </c>
      <c r="B266" s="23"/>
      <c r="C266" s="23"/>
      <c r="D266" s="23"/>
      <c r="E266" s="23"/>
      <c r="F266" s="23"/>
    </row>
    <row r="267" spans="1:6" ht="51.75" customHeight="1">
      <c r="A267" s="299" t="s">
        <v>7298</v>
      </c>
      <c r="B267" s="23"/>
      <c r="C267" s="23"/>
      <c r="D267" s="23"/>
      <c r="E267" s="23"/>
      <c r="F267" s="23"/>
    </row>
    <row r="268" spans="1:6" ht="64.5" customHeight="1">
      <c r="A268" s="299" t="s">
        <v>7299</v>
      </c>
      <c r="B268" s="23"/>
      <c r="C268" s="23"/>
      <c r="D268" s="23"/>
      <c r="E268" s="23"/>
      <c r="F268" s="23"/>
    </row>
    <row r="269" spans="1:6" ht="39" customHeight="1">
      <c r="A269" s="299" t="s">
        <v>7300</v>
      </c>
      <c r="B269" s="23"/>
      <c r="C269" s="23"/>
      <c r="D269" s="23"/>
      <c r="E269" s="23"/>
      <c r="F269" s="23"/>
    </row>
    <row r="270" spans="1:6" ht="39" customHeight="1">
      <c r="A270" s="299" t="s">
        <v>7301</v>
      </c>
      <c r="B270" s="23"/>
      <c r="C270" s="23"/>
      <c r="D270" s="23"/>
      <c r="E270" s="23"/>
      <c r="F270" s="23"/>
    </row>
    <row r="271" spans="1:6" ht="15" customHeight="1">
      <c r="A271" s="23"/>
      <c r="B271" s="23"/>
      <c r="C271" s="23"/>
      <c r="D271" s="23"/>
      <c r="E271" s="23"/>
      <c r="F271" s="23"/>
    </row>
    <row r="272" spans="1:6" ht="15" customHeight="1">
      <c r="A272" s="107" t="s">
        <v>7302</v>
      </c>
      <c r="B272" s="23"/>
      <c r="C272" s="23"/>
      <c r="D272" s="23"/>
      <c r="E272" s="23"/>
      <c r="F272" s="23"/>
    </row>
    <row r="273" spans="1:6" ht="63.75" customHeight="1">
      <c r="A273" s="300" t="s">
        <v>7303</v>
      </c>
      <c r="B273" s="23"/>
      <c r="C273" s="23"/>
      <c r="D273" s="23"/>
      <c r="E273" s="23"/>
      <c r="F273" s="23"/>
    </row>
    <row r="274" spans="1:6" ht="38.25" customHeight="1">
      <c r="A274" s="300" t="s">
        <v>7304</v>
      </c>
      <c r="B274" s="23"/>
      <c r="C274" s="23"/>
      <c r="D274" s="23"/>
      <c r="E274" s="23"/>
      <c r="F274" s="23"/>
    </row>
    <row r="275" spans="1:6" ht="38.25" customHeight="1">
      <c r="A275" s="300" t="s">
        <v>7305</v>
      </c>
      <c r="B275" s="23"/>
      <c r="C275" s="23"/>
      <c r="D275" s="23"/>
      <c r="E275" s="23"/>
      <c r="F275" s="23"/>
    </row>
    <row r="276" spans="1:6" ht="38.25" customHeight="1">
      <c r="A276" s="300" t="s">
        <v>7306</v>
      </c>
      <c r="B276" s="23"/>
      <c r="C276" s="23"/>
      <c r="D276" s="23"/>
      <c r="E276" s="23"/>
      <c r="F276" s="23"/>
    </row>
    <row r="277" spans="1:6" ht="38.25" customHeight="1">
      <c r="A277" s="300" t="s">
        <v>7307</v>
      </c>
      <c r="B277" s="23"/>
      <c r="C277" s="23"/>
      <c r="D277" s="23"/>
      <c r="E277" s="23"/>
      <c r="F277" s="23"/>
    </row>
    <row r="278" spans="1:6" ht="63.75" customHeight="1">
      <c r="A278" s="300" t="s">
        <v>7308</v>
      </c>
      <c r="B278" s="23"/>
      <c r="C278" s="23"/>
      <c r="D278" s="23"/>
      <c r="E278" s="23"/>
      <c r="F278" s="23"/>
    </row>
    <row r="279" spans="1:6" ht="51" customHeight="1">
      <c r="A279" s="300" t="s">
        <v>7309</v>
      </c>
      <c r="B279" s="23"/>
      <c r="C279" s="23"/>
      <c r="D279" s="23"/>
      <c r="E279" s="23"/>
      <c r="F279" s="23"/>
    </row>
  </sheetData>
  <pageMargins left="0.7" right="0.7" top="0.75" bottom="0.75" header="0.511811023622047" footer="0.511811023622047"/>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55"/>
  <sheetViews>
    <sheetView topLeftCell="A6" zoomScaleNormal="100" workbookViewId="0">
      <selection activeCell="C20" sqref="C20"/>
    </sheetView>
  </sheetViews>
  <sheetFormatPr defaultColWidth="8.5703125" defaultRowHeight="15"/>
  <cols>
    <col min="1" max="1" width="63" customWidth="1"/>
    <col min="2" max="2" width="40" style="47" customWidth="1"/>
    <col min="3" max="3" width="65" style="47" customWidth="1"/>
  </cols>
  <sheetData>
    <row r="1" spans="1:3" s="137" customFormat="1" ht="33.75" customHeight="1">
      <c r="A1" s="539" t="s">
        <v>7310</v>
      </c>
      <c r="B1" s="540"/>
      <c r="C1" s="540"/>
    </row>
    <row r="2" spans="1:3" ht="15" customHeight="1">
      <c r="A2" s="46" t="s">
        <v>7311</v>
      </c>
      <c r="B2" s="46" t="s">
        <v>7312</v>
      </c>
      <c r="C2" s="11" t="s">
        <v>7313</v>
      </c>
    </row>
    <row r="3" spans="1:3" ht="27.75" customHeight="1">
      <c r="A3" s="79" t="s">
        <v>7314</v>
      </c>
      <c r="B3" s="79" t="s">
        <v>7315</v>
      </c>
      <c r="C3" s="79" t="s">
        <v>7316</v>
      </c>
    </row>
    <row r="4" spans="1:3" ht="19.5" customHeight="1">
      <c r="A4" s="301" t="s">
        <v>7317</v>
      </c>
      <c r="B4" s="302" t="s">
        <v>7318</v>
      </c>
      <c r="C4" s="302" t="s">
        <v>7319</v>
      </c>
    </row>
    <row r="5" spans="1:3" ht="19.5" customHeight="1">
      <c r="A5" s="55"/>
      <c r="B5" s="55" t="s">
        <v>7320</v>
      </c>
      <c r="C5" s="220" t="s">
        <v>7321</v>
      </c>
    </row>
    <row r="6" spans="1:3" ht="19.5" customHeight="1">
      <c r="A6" s="50"/>
      <c r="B6" s="50" t="s">
        <v>7322</v>
      </c>
      <c r="C6" s="215" t="s">
        <v>7323</v>
      </c>
    </row>
    <row r="7" spans="1:3" ht="19.5" customHeight="1">
      <c r="A7" s="55"/>
      <c r="B7" s="55" t="s">
        <v>7324</v>
      </c>
      <c r="C7" s="220" t="s">
        <v>7325</v>
      </c>
    </row>
    <row r="8" spans="1:3" ht="19.5" customHeight="1">
      <c r="A8" s="50"/>
      <c r="B8" s="50" t="s">
        <v>7326</v>
      </c>
      <c r="C8" s="215" t="s">
        <v>7327</v>
      </c>
    </row>
    <row r="9" spans="1:3" ht="19.5" customHeight="1">
      <c r="A9" s="55"/>
      <c r="B9" s="55" t="s">
        <v>7328</v>
      </c>
      <c r="C9" s="220" t="s">
        <v>7329</v>
      </c>
    </row>
    <row r="10" spans="1:3" ht="19.5" customHeight="1">
      <c r="A10" s="50"/>
      <c r="B10" s="50" t="s">
        <v>7330</v>
      </c>
      <c r="C10" s="215" t="s">
        <v>7331</v>
      </c>
    </row>
    <row r="11" spans="1:3" ht="19.5" customHeight="1">
      <c r="A11" s="301" t="s">
        <v>7332</v>
      </c>
      <c r="B11" s="302" t="s">
        <v>7333</v>
      </c>
      <c r="C11" s="302" t="s">
        <v>7334</v>
      </c>
    </row>
    <row r="12" spans="1:3" ht="19.5" customHeight="1">
      <c r="A12" s="50"/>
      <c r="B12" s="50" t="s">
        <v>7335</v>
      </c>
      <c r="C12" s="215" t="s">
        <v>7336</v>
      </c>
    </row>
    <row r="13" spans="1:3" ht="19.5" customHeight="1">
      <c r="A13" s="55"/>
      <c r="B13" s="55" t="s">
        <v>7337</v>
      </c>
      <c r="C13" s="220" t="s">
        <v>7338</v>
      </c>
    </row>
    <row r="14" spans="1:3" ht="19.5" customHeight="1">
      <c r="A14" s="50"/>
      <c r="B14" s="50" t="s">
        <v>7339</v>
      </c>
      <c r="C14" s="215" t="s">
        <v>7340</v>
      </c>
    </row>
    <row r="15" spans="1:3" ht="19.5" customHeight="1">
      <c r="A15" s="301" t="s">
        <v>7341</v>
      </c>
      <c r="B15" s="302" t="s">
        <v>7342</v>
      </c>
      <c r="C15" s="302" t="s">
        <v>7343</v>
      </c>
    </row>
    <row r="16" spans="1:3" ht="19.5" customHeight="1">
      <c r="A16" s="50"/>
      <c r="B16" s="50" t="s">
        <v>7344</v>
      </c>
      <c r="C16" s="215" t="s">
        <v>7345</v>
      </c>
    </row>
    <row r="17" spans="1:3" ht="19.5" customHeight="1">
      <c r="A17" s="301" t="s">
        <v>7346</v>
      </c>
      <c r="B17" s="302" t="s">
        <v>7347</v>
      </c>
      <c r="C17" s="302" t="s">
        <v>7348</v>
      </c>
    </row>
    <row r="18" spans="1:3" ht="19.5" customHeight="1">
      <c r="A18" s="50"/>
      <c r="B18" s="50" t="s">
        <v>7349</v>
      </c>
      <c r="C18" s="215" t="s">
        <v>7350</v>
      </c>
    </row>
    <row r="19" spans="1:3" ht="19.5" customHeight="1">
      <c r="A19" s="55"/>
      <c r="B19" s="55" t="s">
        <v>7351</v>
      </c>
      <c r="C19" s="220" t="s">
        <v>7352</v>
      </c>
    </row>
    <row r="20" spans="1:3" ht="19.5" customHeight="1">
      <c r="A20" s="301" t="s">
        <v>7353</v>
      </c>
      <c r="B20" s="302" t="s">
        <v>7354</v>
      </c>
      <c r="C20" s="302" t="s">
        <v>7355</v>
      </c>
    </row>
    <row r="21" spans="1:3" ht="19.5" customHeight="1">
      <c r="A21" s="55"/>
      <c r="B21" s="55" t="s">
        <v>7356</v>
      </c>
      <c r="C21" s="220" t="s">
        <v>7357</v>
      </c>
    </row>
    <row r="22" spans="1:3" ht="19.5" customHeight="1">
      <c r="A22" s="50"/>
      <c r="B22" s="50" t="s">
        <v>7358</v>
      </c>
      <c r="C22" s="215" t="s">
        <v>7359</v>
      </c>
    </row>
    <row r="23" spans="1:3" ht="19.5" customHeight="1">
      <c r="A23" s="55"/>
      <c r="B23" s="55" t="s">
        <v>7360</v>
      </c>
      <c r="C23" s="220" t="s">
        <v>7361</v>
      </c>
    </row>
    <row r="24" spans="1:3" ht="19.5" customHeight="1">
      <c r="A24" s="301" t="s">
        <v>7362</v>
      </c>
      <c r="B24" s="302" t="s">
        <v>7363</v>
      </c>
      <c r="C24" s="302" t="s">
        <v>7364</v>
      </c>
    </row>
    <row r="25" spans="1:3" ht="19.5" customHeight="1">
      <c r="A25" s="55"/>
      <c r="B25" s="55" t="s">
        <v>7365</v>
      </c>
      <c r="C25" s="220" t="s">
        <v>7366</v>
      </c>
    </row>
    <row r="26" spans="1:3" ht="19.5" customHeight="1">
      <c r="A26" s="50"/>
      <c r="B26" s="50" t="s">
        <v>7367</v>
      </c>
      <c r="C26" s="215" t="s">
        <v>7368</v>
      </c>
    </row>
    <row r="27" spans="1:3" ht="19.5" customHeight="1">
      <c r="A27" s="301" t="s">
        <v>7369</v>
      </c>
      <c r="B27" s="302" t="s">
        <v>7370</v>
      </c>
      <c r="C27" s="303" t="s">
        <v>7371</v>
      </c>
    </row>
    <row r="28" spans="1:3" ht="19.5" customHeight="1">
      <c r="A28" s="50"/>
      <c r="B28" s="50" t="s">
        <v>7372</v>
      </c>
      <c r="C28" s="215" t="s">
        <v>7373</v>
      </c>
    </row>
    <row r="29" spans="1:3" ht="19.5" customHeight="1">
      <c r="A29" s="55"/>
      <c r="B29" s="55" t="s">
        <v>7374</v>
      </c>
      <c r="C29" s="220" t="s">
        <v>7375</v>
      </c>
    </row>
    <row r="30" spans="1:3" ht="19.5" customHeight="1">
      <c r="A30" s="50"/>
      <c r="B30" s="50" t="s">
        <v>7376</v>
      </c>
      <c r="C30" s="215" t="s">
        <v>7377</v>
      </c>
    </row>
    <row r="31" spans="1:3" ht="19.5" customHeight="1">
      <c r="A31" s="301" t="s">
        <v>7378</v>
      </c>
      <c r="B31" s="302" t="s">
        <v>7379</v>
      </c>
      <c r="C31" s="303" t="s">
        <v>7380</v>
      </c>
    </row>
    <row r="32" spans="1:3" ht="19.5" customHeight="1">
      <c r="A32" s="55"/>
      <c r="B32" s="55" t="s">
        <v>7381</v>
      </c>
      <c r="C32" s="220" t="s">
        <v>7382</v>
      </c>
    </row>
    <row r="33" spans="1:3" ht="19.5" customHeight="1">
      <c r="A33" s="301" t="s">
        <v>7383</v>
      </c>
      <c r="B33" s="302" t="s">
        <v>7384</v>
      </c>
      <c r="C33" s="302" t="s">
        <v>7385</v>
      </c>
    </row>
    <row r="34" spans="1:3" ht="19.5" customHeight="1">
      <c r="A34" s="50"/>
      <c r="B34" s="50" t="s">
        <v>7386</v>
      </c>
      <c r="C34" s="215" t="s">
        <v>7387</v>
      </c>
    </row>
    <row r="35" spans="1:3" ht="19.5" customHeight="1">
      <c r="A35" s="55"/>
      <c r="B35" s="55"/>
      <c r="C35" s="220"/>
    </row>
    <row r="36" spans="1:3" ht="19.5" customHeight="1">
      <c r="A36" s="301" t="s">
        <v>7388</v>
      </c>
      <c r="B36" s="302" t="s">
        <v>7389</v>
      </c>
      <c r="C36" s="302" t="s">
        <v>7390</v>
      </c>
    </row>
    <row r="37" spans="1:3" ht="19.5" customHeight="1">
      <c r="A37" s="55"/>
      <c r="B37" s="55" t="s">
        <v>7391</v>
      </c>
      <c r="C37" s="220" t="s">
        <v>7392</v>
      </c>
    </row>
    <row r="38" spans="1:3" ht="19.5" customHeight="1">
      <c r="A38" s="50"/>
      <c r="B38" s="50" t="s">
        <v>7393</v>
      </c>
      <c r="C38" s="215" t="s">
        <v>7394</v>
      </c>
    </row>
    <row r="39" spans="1:3" ht="19.5" customHeight="1">
      <c r="A39" s="55"/>
      <c r="B39" s="55" t="s">
        <v>7395</v>
      </c>
      <c r="C39" s="220" t="s">
        <v>7396</v>
      </c>
    </row>
    <row r="40" spans="1:3" ht="19.5" customHeight="1">
      <c r="A40" s="50"/>
      <c r="B40" s="50"/>
      <c r="C40" s="215"/>
    </row>
    <row r="41" spans="1:3" ht="19.5" customHeight="1">
      <c r="A41" s="301" t="s">
        <v>7397</v>
      </c>
      <c r="B41" s="302" t="s">
        <v>7398</v>
      </c>
      <c r="C41" s="302" t="s">
        <v>7399</v>
      </c>
    </row>
    <row r="42" spans="1:3" ht="19.5" customHeight="1">
      <c r="A42" s="50"/>
      <c r="B42" s="50" t="s">
        <v>7400</v>
      </c>
      <c r="C42" s="215" t="s">
        <v>7401</v>
      </c>
    </row>
    <row r="43" spans="1:3" ht="19.5" customHeight="1">
      <c r="A43" s="55"/>
      <c r="B43" s="55" t="s">
        <v>7402</v>
      </c>
      <c r="C43" s="220" t="s">
        <v>7403</v>
      </c>
    </row>
    <row r="44" spans="1:3" ht="19.5" customHeight="1">
      <c r="A44" s="50"/>
      <c r="B44" s="50" t="s">
        <v>7404</v>
      </c>
      <c r="C44" s="215" t="s">
        <v>7405</v>
      </c>
    </row>
    <row r="45" spans="1:3" ht="19.5" customHeight="1">
      <c r="A45" s="55"/>
      <c r="B45" s="55" t="s">
        <v>7406</v>
      </c>
      <c r="C45" s="220" t="s">
        <v>7407</v>
      </c>
    </row>
    <row r="46" spans="1:3" ht="19.5" customHeight="1">
      <c r="A46" s="50"/>
      <c r="B46" s="50"/>
      <c r="C46" s="215"/>
    </row>
    <row r="47" spans="1:3" ht="19.5" customHeight="1">
      <c r="A47" s="301" t="s">
        <v>7408</v>
      </c>
      <c r="B47" s="302" t="s">
        <v>7409</v>
      </c>
      <c r="C47" s="302" t="s">
        <v>7410</v>
      </c>
    </row>
    <row r="48" spans="1:3" ht="19.5" customHeight="1">
      <c r="A48" s="50"/>
      <c r="B48" s="50"/>
      <c r="C48" s="215"/>
    </row>
    <row r="49" spans="1:3" ht="19.5" customHeight="1">
      <c r="A49" s="301" t="s">
        <v>7411</v>
      </c>
      <c r="B49" s="302" t="s">
        <v>7412</v>
      </c>
      <c r="C49" s="302" t="s">
        <v>7413</v>
      </c>
    </row>
    <row r="50" spans="1:3" ht="19.5" customHeight="1">
      <c r="A50" s="50"/>
      <c r="B50" s="50" t="s">
        <v>7414</v>
      </c>
      <c r="C50" s="215" t="s">
        <v>7415</v>
      </c>
    </row>
    <row r="51" spans="1:3" ht="19.5" customHeight="1">
      <c r="A51" s="55"/>
      <c r="B51" s="55" t="s">
        <v>7416</v>
      </c>
      <c r="C51" s="220" t="s">
        <v>7417</v>
      </c>
    </row>
    <row r="52" spans="1:3" ht="19.5" customHeight="1">
      <c r="A52" s="50"/>
      <c r="B52" s="50"/>
      <c r="C52" s="215"/>
    </row>
    <row r="53" spans="1:3" ht="19.5" customHeight="1">
      <c r="A53" s="301" t="s">
        <v>7418</v>
      </c>
      <c r="B53" s="302" t="s">
        <v>7419</v>
      </c>
      <c r="C53" s="302" t="s">
        <v>7420</v>
      </c>
    </row>
    <row r="54" spans="1:3" ht="19.5" customHeight="1">
      <c r="A54" s="50"/>
      <c r="B54" s="50" t="s">
        <v>7421</v>
      </c>
      <c r="C54" s="215" t="s">
        <v>7422</v>
      </c>
    </row>
    <row r="55" spans="1:3" ht="19.5" customHeight="1">
      <c r="A55" s="55"/>
      <c r="B55" s="55" t="s">
        <v>7423</v>
      </c>
      <c r="C55" s="220" t="s">
        <v>7424</v>
      </c>
    </row>
  </sheetData>
  <mergeCells count="1">
    <mergeCell ref="A1:C1"/>
  </mergeCells>
  <pageMargins left="0.7" right="0.7" top="0.75" bottom="0.75" header="0.511811023622047" footer="0.511811023622047"/>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B5"/>
  <sheetViews>
    <sheetView zoomScaleNormal="100" workbookViewId="0">
      <selection activeCell="A4" sqref="A4"/>
    </sheetView>
  </sheetViews>
  <sheetFormatPr defaultColWidth="8.5703125" defaultRowHeight="15"/>
  <cols>
    <col min="1" max="1" width="65" style="47" customWidth="1"/>
    <col min="2" max="2" width="13.42578125" customWidth="1"/>
  </cols>
  <sheetData>
    <row r="1" spans="1:2" s="137" customFormat="1" ht="27.75" customHeight="1">
      <c r="A1" s="166" t="s">
        <v>7425</v>
      </c>
      <c r="B1" s="166" t="s">
        <v>14</v>
      </c>
    </row>
    <row r="2" spans="1:2" ht="21.75" customHeight="1">
      <c r="A2" s="50" t="s">
        <v>7426</v>
      </c>
      <c r="B2" s="51" t="s">
        <v>4432</v>
      </c>
    </row>
    <row r="3" spans="1:2" ht="21.75" customHeight="1">
      <c r="A3" s="55" t="s">
        <v>7427</v>
      </c>
      <c r="B3" s="56"/>
    </row>
    <row r="4" spans="1:2" ht="21.75" customHeight="1">
      <c r="A4" s="50" t="s">
        <v>7428</v>
      </c>
      <c r="B4" s="51"/>
    </row>
    <row r="5" spans="1:2" ht="21.75" customHeight="1">
      <c r="A5" s="55" t="s">
        <v>7429</v>
      </c>
      <c r="B5" s="56"/>
    </row>
  </sheetData>
  <pageMargins left="0.7" right="0.7" top="0.75" bottom="0.75" header="0.511811023622047" footer="0.511811023622047"/>
  <pageSetup paperSize="9" orientation="portrait" horizontalDpi="300" verticalDpi="300"/>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B4"/>
  <sheetViews>
    <sheetView zoomScaleNormal="100" workbookViewId="0">
      <selection activeCell="L127" sqref="L127"/>
    </sheetView>
  </sheetViews>
  <sheetFormatPr defaultColWidth="8.5703125" defaultRowHeight="15"/>
  <cols>
    <col min="1" max="1" width="65" style="47" customWidth="1"/>
    <col min="2" max="2" width="13.42578125" style="47" customWidth="1"/>
  </cols>
  <sheetData>
    <row r="1" spans="1:2" s="137" customFormat="1" ht="27.75" customHeight="1">
      <c r="A1" s="166" t="s">
        <v>7430</v>
      </c>
      <c r="B1" s="166" t="s">
        <v>14</v>
      </c>
    </row>
    <row r="2" spans="1:2" ht="21.75" customHeight="1">
      <c r="A2" s="50" t="s">
        <v>7426</v>
      </c>
      <c r="B2" s="51" t="s">
        <v>4432</v>
      </c>
    </row>
    <row r="3" spans="1:2" ht="21.75" customHeight="1">
      <c r="A3" s="55" t="s">
        <v>7431</v>
      </c>
      <c r="B3" s="56"/>
    </row>
    <row r="4" spans="1:2" ht="21.75" customHeight="1">
      <c r="A4" s="50" t="s">
        <v>7432</v>
      </c>
      <c r="B4" s="51"/>
    </row>
  </sheetData>
  <pageMargins left="0.7" right="0.7" top="0.75" bottom="0.75" header="0.511811023622047" footer="0.511811023622047"/>
  <pageSetup paperSize="9" orientation="portrait" horizontalDpi="300" verticalDpi="300"/>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B3"/>
  <sheetViews>
    <sheetView zoomScaleNormal="100" workbookViewId="0">
      <selection activeCell="J5" sqref="J5"/>
    </sheetView>
  </sheetViews>
  <sheetFormatPr defaultColWidth="8.5703125" defaultRowHeight="15"/>
  <cols>
    <col min="1" max="1" width="65" style="47" customWidth="1"/>
    <col min="2" max="2" width="13.42578125" style="47" customWidth="1"/>
    <col min="10" max="10" width="78.85546875" customWidth="1"/>
  </cols>
  <sheetData>
    <row r="1" spans="1:2" s="137" customFormat="1" ht="27.75" customHeight="1">
      <c r="A1" s="166" t="s">
        <v>7433</v>
      </c>
      <c r="B1" s="166" t="s">
        <v>14</v>
      </c>
    </row>
    <row r="2" spans="1:2" ht="21.75" customHeight="1">
      <c r="A2" s="50" t="s">
        <v>7434</v>
      </c>
      <c r="B2" s="51" t="s">
        <v>4432</v>
      </c>
    </row>
    <row r="3" spans="1:2" ht="21.75" customHeight="1">
      <c r="A3" s="55" t="s">
        <v>7435</v>
      </c>
      <c r="B3" s="56"/>
    </row>
  </sheetData>
  <pageMargins left="0.7" right="0.7" top="0.75" bottom="0.75" header="0.511811023622047" footer="0.511811023622047"/>
  <pageSetup paperSize="9" orientation="portrait" horizontalDpi="300" verticalDpi="300"/>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B3"/>
  <sheetViews>
    <sheetView zoomScaleNormal="100" workbookViewId="0">
      <selection activeCell="L14" sqref="L14"/>
    </sheetView>
  </sheetViews>
  <sheetFormatPr defaultColWidth="8.5703125" defaultRowHeight="15"/>
  <cols>
    <col min="1" max="1" width="63" style="47" customWidth="1"/>
    <col min="2" max="2" width="13.42578125" style="47" customWidth="1"/>
  </cols>
  <sheetData>
    <row r="1" spans="1:2" s="137" customFormat="1" ht="27.75" customHeight="1">
      <c r="A1" s="166" t="s">
        <v>7436</v>
      </c>
      <c r="B1" s="166" t="s">
        <v>14</v>
      </c>
    </row>
    <row r="2" spans="1:2" ht="21.75" customHeight="1">
      <c r="A2" s="50" t="s">
        <v>7437</v>
      </c>
      <c r="B2" s="51" t="s">
        <v>4432</v>
      </c>
    </row>
    <row r="3" spans="1:2" ht="21.75" customHeight="1">
      <c r="A3" s="55" t="s">
        <v>7438</v>
      </c>
      <c r="B3" s="56"/>
    </row>
  </sheetData>
  <pageMargins left="0.7" right="0.7" top="0.75" bottom="0.75" header="0.511811023622047" footer="0.511811023622047"/>
  <pageSetup paperSize="9" orientation="portrait" horizontalDpi="300" verticalDpi="300"/>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B2"/>
  <sheetViews>
    <sheetView zoomScaleNormal="100" workbookViewId="0"/>
  </sheetViews>
  <sheetFormatPr defaultColWidth="8.5703125" defaultRowHeight="15"/>
  <cols>
    <col min="1" max="1" width="65" style="47" customWidth="1"/>
    <col min="2" max="2" width="18.140625" style="47" customWidth="1"/>
  </cols>
  <sheetData>
    <row r="1" spans="1:2" s="137" customFormat="1" ht="27.75" customHeight="1">
      <c r="A1" s="166" t="s">
        <v>7439</v>
      </c>
      <c r="B1" s="166" t="s">
        <v>14</v>
      </c>
    </row>
    <row r="2" spans="1:2" ht="21.75" customHeight="1">
      <c r="A2" s="50" t="s">
        <v>7440</v>
      </c>
      <c r="B2" s="51" t="s">
        <v>7441</v>
      </c>
    </row>
  </sheetData>
  <pageMargins left="0.7" right="0.7" top="0.75" bottom="0.75" header="0.511811023622047" footer="0.511811023622047"/>
  <pageSetup paperSize="9" orientation="portrait" horizontalDpi="300" verticalDpi="300"/>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B2"/>
  <sheetViews>
    <sheetView topLeftCell="A100" zoomScaleNormal="100" workbookViewId="0">
      <selection activeCell="A107" sqref="A107"/>
    </sheetView>
  </sheetViews>
  <sheetFormatPr defaultColWidth="8.5703125" defaultRowHeight="15"/>
  <cols>
    <col min="1" max="1" width="65" style="47" customWidth="1"/>
    <col min="2" max="2" width="18.140625" style="47" customWidth="1"/>
  </cols>
  <sheetData>
    <row r="1" spans="1:2" s="137" customFormat="1" ht="27.75" customHeight="1">
      <c r="A1" s="166" t="s">
        <v>7442</v>
      </c>
      <c r="B1" s="166" t="s">
        <v>14</v>
      </c>
    </row>
    <row r="2" spans="1:2" ht="21.75" customHeight="1">
      <c r="A2" s="50" t="s">
        <v>7443</v>
      </c>
      <c r="B2" s="51" t="s">
        <v>7441</v>
      </c>
    </row>
  </sheetData>
  <pageMargins left="0.7" right="0.7" top="0.75" bottom="0.75" header="0.511811023622047" footer="0.511811023622047"/>
  <pageSetup paperSize="9" orientation="portrait" horizontalDpi="300" verticalDpi="300"/>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G101"/>
  <sheetViews>
    <sheetView zoomScaleNormal="100" workbookViewId="0">
      <pane ySplit="1" topLeftCell="A2" activePane="bottomLeft" state="frozen"/>
      <selection pane="bottomLeft"/>
    </sheetView>
  </sheetViews>
  <sheetFormatPr defaultColWidth="8.5703125" defaultRowHeight="15"/>
  <cols>
    <col min="1" max="1" width="65" customWidth="1"/>
    <col min="2" max="2" width="22.7109375" customWidth="1"/>
    <col min="3" max="3" width="57.140625" customWidth="1"/>
    <col min="4" max="5" width="20.42578125" customWidth="1"/>
    <col min="6" max="7" width="65" customWidth="1"/>
  </cols>
  <sheetData>
    <row r="1" spans="1:7" ht="18" customHeight="1">
      <c r="A1" s="304" t="s">
        <v>7444</v>
      </c>
      <c r="B1" s="305"/>
      <c r="C1" s="305"/>
      <c r="D1" s="305"/>
      <c r="E1" s="305"/>
      <c r="F1" s="305"/>
      <c r="G1" s="305"/>
    </row>
    <row r="2" spans="1:7" ht="23.25" customHeight="1">
      <c r="A2" s="306" t="s">
        <v>7445</v>
      </c>
      <c r="B2" s="23"/>
      <c r="C2" s="23"/>
      <c r="D2" s="23"/>
      <c r="E2" s="23"/>
      <c r="F2" s="23"/>
      <c r="G2" s="23"/>
    </row>
    <row r="3" spans="1:7" ht="15" customHeight="1">
      <c r="A3" s="23"/>
      <c r="B3" s="23"/>
      <c r="C3" s="23"/>
      <c r="D3" s="23"/>
      <c r="E3" s="23"/>
      <c r="F3" s="23"/>
      <c r="G3" s="23"/>
    </row>
    <row r="4" spans="1:7" ht="15" customHeight="1">
      <c r="A4" s="307" t="s">
        <v>7446</v>
      </c>
      <c r="B4" s="308"/>
      <c r="C4" s="308"/>
      <c r="D4" s="308"/>
      <c r="E4" s="308"/>
      <c r="F4" s="308"/>
      <c r="G4" s="308"/>
    </row>
    <row r="5" spans="1:7" ht="15" customHeight="1">
      <c r="A5" s="309" t="s">
        <v>7447</v>
      </c>
      <c r="B5" s="309" t="s">
        <v>188</v>
      </c>
      <c r="C5" s="309" t="s">
        <v>14</v>
      </c>
      <c r="D5" s="309" t="s">
        <v>2156</v>
      </c>
      <c r="E5" s="309" t="s">
        <v>7448</v>
      </c>
      <c r="F5" s="309" t="s">
        <v>7449</v>
      </c>
      <c r="G5" s="309" t="s">
        <v>1864</v>
      </c>
    </row>
    <row r="6" spans="1:7" ht="27.75" customHeight="1">
      <c r="A6" s="23" t="s">
        <v>7450</v>
      </c>
      <c r="B6" s="23" t="s">
        <v>7451</v>
      </c>
      <c r="C6" s="23" t="s">
        <v>3681</v>
      </c>
      <c r="D6" s="23" t="s">
        <v>1535</v>
      </c>
      <c r="E6" s="23" t="s">
        <v>7452</v>
      </c>
      <c r="F6" s="23" t="s">
        <v>3602</v>
      </c>
      <c r="G6" s="23" t="s">
        <v>7453</v>
      </c>
    </row>
    <row r="7" spans="1:7" ht="27.75" customHeight="1">
      <c r="A7" s="23" t="s">
        <v>3684</v>
      </c>
      <c r="B7" s="23" t="s">
        <v>7454</v>
      </c>
      <c r="C7" s="23" t="s">
        <v>3681</v>
      </c>
      <c r="D7" s="23" t="s">
        <v>1535</v>
      </c>
      <c r="E7" s="23" t="s">
        <v>7455</v>
      </c>
      <c r="F7" s="23" t="s">
        <v>6599</v>
      </c>
      <c r="G7" s="23" t="s">
        <v>7456</v>
      </c>
    </row>
    <row r="8" spans="1:7" ht="27.75" customHeight="1">
      <c r="A8" s="23" t="s">
        <v>7188</v>
      </c>
      <c r="B8" s="23" t="s">
        <v>7457</v>
      </c>
      <c r="C8" s="23" t="s">
        <v>3681</v>
      </c>
      <c r="D8" s="23" t="s">
        <v>1535</v>
      </c>
      <c r="E8" s="23" t="s">
        <v>7458</v>
      </c>
      <c r="F8" s="23" t="s">
        <v>6600</v>
      </c>
      <c r="G8" s="23" t="s">
        <v>7459</v>
      </c>
    </row>
    <row r="9" spans="1:7" ht="27.75" customHeight="1">
      <c r="A9" s="23" t="s">
        <v>7192</v>
      </c>
      <c r="B9" s="23" t="s">
        <v>7193</v>
      </c>
      <c r="C9" s="23" t="s">
        <v>3681</v>
      </c>
      <c r="D9" s="23" t="s">
        <v>1535</v>
      </c>
      <c r="E9" s="23" t="s">
        <v>7460</v>
      </c>
      <c r="F9" s="23" t="s">
        <v>7461</v>
      </c>
      <c r="G9" s="23" t="s">
        <v>7462</v>
      </c>
    </row>
    <row r="10" spans="1:7" ht="27.75" customHeight="1">
      <c r="A10" s="23" t="s">
        <v>7463</v>
      </c>
      <c r="B10" s="23" t="s">
        <v>7464</v>
      </c>
      <c r="C10" s="23" t="s">
        <v>3694</v>
      </c>
      <c r="D10" s="23" t="s">
        <v>1535</v>
      </c>
      <c r="E10" s="23" t="s">
        <v>7465</v>
      </c>
      <c r="F10" s="23" t="s">
        <v>7466</v>
      </c>
      <c r="G10" s="23" t="s">
        <v>7467</v>
      </c>
    </row>
    <row r="11" spans="1:7" ht="27.75" customHeight="1">
      <c r="A11" s="23" t="s">
        <v>7468</v>
      </c>
      <c r="B11" s="23" t="s">
        <v>7469</v>
      </c>
      <c r="C11" s="23" t="s">
        <v>3694</v>
      </c>
      <c r="D11" s="23" t="s">
        <v>1535</v>
      </c>
      <c r="E11" s="23" t="s">
        <v>7470</v>
      </c>
      <c r="F11" s="23" t="s">
        <v>7471</v>
      </c>
      <c r="G11" s="23" t="s">
        <v>7472</v>
      </c>
    </row>
    <row r="12" spans="1:7" ht="27.75" customHeight="1">
      <c r="A12" s="23" t="s">
        <v>7473</v>
      </c>
      <c r="B12" s="23" t="s">
        <v>7474</v>
      </c>
      <c r="C12" s="23" t="s">
        <v>3681</v>
      </c>
      <c r="D12" s="23" t="s">
        <v>1535</v>
      </c>
      <c r="E12" s="23" t="s">
        <v>7475</v>
      </c>
      <c r="F12" s="23" t="s">
        <v>7476</v>
      </c>
      <c r="G12" s="23" t="s">
        <v>7477</v>
      </c>
    </row>
    <row r="13" spans="1:7" ht="27.75" customHeight="1">
      <c r="A13" s="23" t="s">
        <v>6603</v>
      </c>
      <c r="B13" s="23" t="s">
        <v>7123</v>
      </c>
      <c r="C13" s="23" t="s">
        <v>3694</v>
      </c>
      <c r="D13" s="23" t="s">
        <v>1535</v>
      </c>
      <c r="E13" s="23" t="s">
        <v>7478</v>
      </c>
      <c r="F13" s="23" t="s">
        <v>6604</v>
      </c>
      <c r="G13" s="23" t="s">
        <v>7479</v>
      </c>
    </row>
    <row r="14" spans="1:7" ht="27.75" customHeight="1">
      <c r="A14" s="23" t="s">
        <v>7199</v>
      </c>
      <c r="B14" s="23" t="s">
        <v>7200</v>
      </c>
      <c r="C14" s="23" t="s">
        <v>3681</v>
      </c>
      <c r="D14" s="23" t="s">
        <v>1535</v>
      </c>
      <c r="E14" s="23" t="s">
        <v>7480</v>
      </c>
      <c r="F14" s="23" t="s">
        <v>7481</v>
      </c>
      <c r="G14" s="23" t="s">
        <v>7482</v>
      </c>
    </row>
    <row r="15" spans="1:7" ht="27.75" customHeight="1">
      <c r="A15" s="23" t="s">
        <v>7483</v>
      </c>
      <c r="B15" s="23" t="s">
        <v>3692</v>
      </c>
      <c r="C15" s="23" t="s">
        <v>3694</v>
      </c>
      <c r="D15" s="23" t="s">
        <v>1535</v>
      </c>
      <c r="E15" s="23" t="s">
        <v>7484</v>
      </c>
      <c r="F15" s="23" t="s">
        <v>6608</v>
      </c>
      <c r="G15" s="23" t="s">
        <v>7485</v>
      </c>
    </row>
    <row r="16" spans="1:7" ht="27.75" customHeight="1">
      <c r="A16" s="23" t="s">
        <v>7486</v>
      </c>
      <c r="B16" s="23" t="s">
        <v>3692</v>
      </c>
      <c r="C16" s="23" t="s">
        <v>3694</v>
      </c>
      <c r="D16" s="23" t="s">
        <v>1033</v>
      </c>
      <c r="E16" s="23" t="s">
        <v>7484</v>
      </c>
      <c r="F16" s="23" t="s">
        <v>6612</v>
      </c>
      <c r="G16" s="23" t="s">
        <v>7487</v>
      </c>
    </row>
    <row r="17" spans="1:7" ht="15" customHeight="1">
      <c r="A17" s="23"/>
      <c r="B17" s="23"/>
      <c r="C17" s="23"/>
      <c r="D17" s="23"/>
      <c r="E17" s="23"/>
      <c r="F17" s="23"/>
      <c r="G17" s="23"/>
    </row>
    <row r="18" spans="1:7" ht="15" customHeight="1">
      <c r="A18" s="307" t="s">
        <v>7488</v>
      </c>
      <c r="B18" s="308"/>
      <c r="C18" s="308"/>
      <c r="D18" s="308"/>
      <c r="E18" s="308"/>
      <c r="F18" s="308"/>
      <c r="G18" s="308"/>
    </row>
    <row r="19" spans="1:7" ht="15" customHeight="1">
      <c r="A19" s="309" t="s">
        <v>7447</v>
      </c>
      <c r="B19" s="309" t="s">
        <v>188</v>
      </c>
      <c r="C19" s="309" t="s">
        <v>14</v>
      </c>
      <c r="D19" s="309" t="s">
        <v>2156</v>
      </c>
      <c r="E19" s="309" t="s">
        <v>7448</v>
      </c>
      <c r="F19" s="309" t="s">
        <v>7449</v>
      </c>
      <c r="G19" s="309" t="s">
        <v>1864</v>
      </c>
    </row>
    <row r="20" spans="1:7" ht="27.75" customHeight="1">
      <c r="A20" s="23" t="s">
        <v>7204</v>
      </c>
      <c r="B20" s="23" t="s">
        <v>7205</v>
      </c>
      <c r="C20" s="23" t="s">
        <v>3681</v>
      </c>
      <c r="D20" s="23" t="s">
        <v>1033</v>
      </c>
      <c r="E20" s="23" t="s">
        <v>7489</v>
      </c>
      <c r="F20" s="23" t="s">
        <v>7490</v>
      </c>
      <c r="G20" s="23" t="s">
        <v>7491</v>
      </c>
    </row>
    <row r="21" spans="1:7" ht="27.75" customHeight="1">
      <c r="A21" s="23" t="s">
        <v>7214</v>
      </c>
      <c r="B21" s="23" t="s">
        <v>7205</v>
      </c>
      <c r="C21" s="23" t="s">
        <v>3681</v>
      </c>
      <c r="D21" s="23" t="s">
        <v>1033</v>
      </c>
      <c r="E21" s="23" t="s">
        <v>7492</v>
      </c>
      <c r="F21" s="23" t="s">
        <v>7493</v>
      </c>
      <c r="G21" s="23" t="s">
        <v>7494</v>
      </c>
    </row>
    <row r="22" spans="1:7" ht="27.75" customHeight="1">
      <c r="A22" s="23" t="s">
        <v>7495</v>
      </c>
      <c r="B22" s="23" t="s">
        <v>7205</v>
      </c>
      <c r="C22" s="23" t="s">
        <v>3694</v>
      </c>
      <c r="D22" s="23" t="s">
        <v>1033</v>
      </c>
      <c r="E22" s="23" t="s">
        <v>7484</v>
      </c>
      <c r="F22" s="23" t="s">
        <v>7496</v>
      </c>
      <c r="G22" s="23" t="s">
        <v>7497</v>
      </c>
    </row>
    <row r="23" spans="1:7" ht="27.75" customHeight="1">
      <c r="A23" s="23" t="s">
        <v>7498</v>
      </c>
      <c r="B23" s="23" t="s">
        <v>7205</v>
      </c>
      <c r="C23" s="23" t="s">
        <v>3694</v>
      </c>
      <c r="D23" s="23" t="s">
        <v>1033</v>
      </c>
      <c r="E23" s="23" t="s">
        <v>2344</v>
      </c>
      <c r="F23" s="23" t="s">
        <v>7499</v>
      </c>
      <c r="G23" s="23" t="s">
        <v>7500</v>
      </c>
    </row>
    <row r="24" spans="1:7" ht="27.75" customHeight="1">
      <c r="A24" s="23" t="s">
        <v>1217</v>
      </c>
      <c r="B24" s="23" t="s">
        <v>6623</v>
      </c>
      <c r="C24" s="23" t="s">
        <v>3694</v>
      </c>
      <c r="D24" s="23" t="s">
        <v>1033</v>
      </c>
      <c r="E24" s="23" t="s">
        <v>7501</v>
      </c>
      <c r="F24" s="23" t="s">
        <v>7502</v>
      </c>
      <c r="G24" s="23" t="s">
        <v>7503</v>
      </c>
    </row>
    <row r="25" spans="1:7" ht="27.75" customHeight="1">
      <c r="A25" s="23" t="s">
        <v>7504</v>
      </c>
      <c r="B25" s="23" t="s">
        <v>7505</v>
      </c>
      <c r="C25" s="23" t="s">
        <v>3694</v>
      </c>
      <c r="D25" s="23" t="s">
        <v>1033</v>
      </c>
      <c r="E25" s="23" t="s">
        <v>7484</v>
      </c>
      <c r="F25" s="23" t="s">
        <v>7506</v>
      </c>
      <c r="G25" s="23" t="s">
        <v>7507</v>
      </c>
    </row>
    <row r="26" spans="1:7" ht="27.75" customHeight="1">
      <c r="A26" s="23" t="s">
        <v>7508</v>
      </c>
      <c r="B26" s="23" t="s">
        <v>7505</v>
      </c>
      <c r="C26" s="23" t="s">
        <v>3694</v>
      </c>
      <c r="D26" s="23" t="s">
        <v>1033</v>
      </c>
      <c r="E26" s="23" t="s">
        <v>7509</v>
      </c>
      <c r="F26" s="23" t="s">
        <v>7510</v>
      </c>
      <c r="G26" s="23" t="s">
        <v>7511</v>
      </c>
    </row>
    <row r="27" spans="1:7" ht="27.75" customHeight="1">
      <c r="A27" s="23" t="s">
        <v>7512</v>
      </c>
      <c r="B27" s="23" t="s">
        <v>6710</v>
      </c>
      <c r="C27" s="23" t="s">
        <v>3694</v>
      </c>
      <c r="D27" s="23" t="s">
        <v>1033</v>
      </c>
      <c r="E27" s="23" t="s">
        <v>7484</v>
      </c>
      <c r="F27" s="23" t="s">
        <v>7513</v>
      </c>
      <c r="G27" s="23" t="s">
        <v>7514</v>
      </c>
    </row>
    <row r="28" spans="1:7" ht="15" customHeight="1">
      <c r="A28" s="23"/>
      <c r="B28" s="23"/>
      <c r="C28" s="23"/>
      <c r="D28" s="23"/>
      <c r="E28" s="23"/>
      <c r="F28" s="23"/>
      <c r="G28" s="23"/>
    </row>
    <row r="29" spans="1:7" ht="15" customHeight="1">
      <c r="A29" s="307" t="s">
        <v>7515</v>
      </c>
      <c r="B29" s="308"/>
      <c r="C29" s="308"/>
      <c r="D29" s="308"/>
      <c r="E29" s="308"/>
      <c r="F29" s="308"/>
      <c r="G29" s="308"/>
    </row>
    <row r="30" spans="1:7" ht="15" customHeight="1">
      <c r="A30" s="309" t="s">
        <v>7447</v>
      </c>
      <c r="B30" s="309" t="s">
        <v>188</v>
      </c>
      <c r="C30" s="309" t="s">
        <v>14</v>
      </c>
      <c r="D30" s="309" t="s">
        <v>2156</v>
      </c>
      <c r="E30" s="309" t="s">
        <v>7448</v>
      </c>
      <c r="F30" s="309" t="s">
        <v>7449</v>
      </c>
      <c r="G30" s="309" t="s">
        <v>1864</v>
      </c>
    </row>
    <row r="31" spans="1:7" ht="27.75" customHeight="1">
      <c r="A31" s="23" t="s">
        <v>7209</v>
      </c>
      <c r="B31" s="23" t="s">
        <v>6685</v>
      </c>
      <c r="C31" s="23" t="s">
        <v>7516</v>
      </c>
      <c r="D31" s="23" t="s">
        <v>1033</v>
      </c>
      <c r="E31" s="23" t="s">
        <v>2344</v>
      </c>
      <c r="F31" s="23" t="s">
        <v>7517</v>
      </c>
      <c r="G31" s="23" t="s">
        <v>7518</v>
      </c>
    </row>
    <row r="32" spans="1:7" ht="27.75" customHeight="1">
      <c r="A32" s="23" t="s">
        <v>7207</v>
      </c>
      <c r="B32" s="23" t="s">
        <v>6685</v>
      </c>
      <c r="C32" s="23" t="s">
        <v>7516</v>
      </c>
      <c r="D32" s="23" t="s">
        <v>1033</v>
      </c>
      <c r="E32" s="23" t="s">
        <v>7492</v>
      </c>
      <c r="F32" s="23" t="s">
        <v>7519</v>
      </c>
      <c r="G32" s="23" t="s">
        <v>7520</v>
      </c>
    </row>
    <row r="33" spans="1:7" ht="27.75" customHeight="1">
      <c r="A33" s="23" t="s">
        <v>7202</v>
      </c>
      <c r="B33" s="23" t="s">
        <v>6685</v>
      </c>
      <c r="C33" s="23" t="s">
        <v>3694</v>
      </c>
      <c r="D33" s="23" t="s">
        <v>1535</v>
      </c>
      <c r="E33" s="23" t="s">
        <v>3698</v>
      </c>
      <c r="F33" s="23" t="s">
        <v>7521</v>
      </c>
      <c r="G33" s="23" t="s">
        <v>7522</v>
      </c>
    </row>
    <row r="34" spans="1:7" ht="27.75" customHeight="1">
      <c r="A34" s="23" t="s">
        <v>7240</v>
      </c>
      <c r="B34" s="23" t="s">
        <v>6742</v>
      </c>
      <c r="C34" s="23" t="s">
        <v>7523</v>
      </c>
      <c r="D34" s="23" t="s">
        <v>1040</v>
      </c>
      <c r="E34" s="23" t="s">
        <v>7484</v>
      </c>
      <c r="F34" s="23" t="s">
        <v>7524</v>
      </c>
      <c r="G34" s="23" t="s">
        <v>7525</v>
      </c>
    </row>
    <row r="35" spans="1:7" ht="27.75" customHeight="1">
      <c r="A35" s="23" t="s">
        <v>7526</v>
      </c>
      <c r="B35" s="23" t="s">
        <v>6685</v>
      </c>
      <c r="C35" s="23" t="s">
        <v>7527</v>
      </c>
      <c r="D35" s="23" t="s">
        <v>1033</v>
      </c>
      <c r="E35" s="23" t="s">
        <v>7528</v>
      </c>
      <c r="F35" s="23" t="s">
        <v>7529</v>
      </c>
      <c r="G35" s="23" t="s">
        <v>7530</v>
      </c>
    </row>
    <row r="36" spans="1:7" ht="15" customHeight="1">
      <c r="A36" s="23" t="s">
        <v>7235</v>
      </c>
      <c r="B36" s="23" t="s">
        <v>6685</v>
      </c>
      <c r="C36" s="23" t="s">
        <v>7527</v>
      </c>
      <c r="D36" s="23" t="s">
        <v>1040</v>
      </c>
      <c r="E36" s="23" t="s">
        <v>7528</v>
      </c>
      <c r="F36" s="23" t="s">
        <v>7531</v>
      </c>
      <c r="G36" s="23" t="s">
        <v>7532</v>
      </c>
    </row>
    <row r="37" spans="1:7" ht="27.75" customHeight="1">
      <c r="A37" s="23" t="s">
        <v>7237</v>
      </c>
      <c r="B37" s="23" t="s">
        <v>6685</v>
      </c>
      <c r="C37" s="23" t="s">
        <v>7527</v>
      </c>
      <c r="D37" s="23" t="s">
        <v>1040</v>
      </c>
      <c r="E37" s="23" t="s">
        <v>7528</v>
      </c>
      <c r="F37" s="23" t="s">
        <v>7533</v>
      </c>
      <c r="G37" s="23" t="s">
        <v>7534</v>
      </c>
    </row>
    <row r="38" spans="1:7" ht="27.75" customHeight="1">
      <c r="A38" s="23" t="s">
        <v>7238</v>
      </c>
      <c r="B38" s="23" t="s">
        <v>6685</v>
      </c>
      <c r="C38" s="23" t="s">
        <v>7527</v>
      </c>
      <c r="D38" s="23" t="s">
        <v>1040</v>
      </c>
      <c r="E38" s="23" t="s">
        <v>7528</v>
      </c>
      <c r="F38" s="23" t="s">
        <v>7535</v>
      </c>
      <c r="G38" s="23" t="s">
        <v>7536</v>
      </c>
    </row>
    <row r="39" spans="1:7" ht="27.75" customHeight="1">
      <c r="A39" s="23" t="s">
        <v>7537</v>
      </c>
      <c r="B39" s="23" t="s">
        <v>7538</v>
      </c>
      <c r="C39" s="23" t="s">
        <v>3694</v>
      </c>
      <c r="D39" s="23" t="s">
        <v>1040</v>
      </c>
      <c r="E39" s="23" t="s">
        <v>7539</v>
      </c>
      <c r="F39" s="23" t="s">
        <v>7540</v>
      </c>
      <c r="G39" s="23" t="s">
        <v>7541</v>
      </c>
    </row>
    <row r="40" spans="1:7" ht="27.75" customHeight="1">
      <c r="A40" s="23" t="s">
        <v>7542</v>
      </c>
      <c r="B40" s="23" t="s">
        <v>7217</v>
      </c>
      <c r="C40" s="23" t="s">
        <v>3681</v>
      </c>
      <c r="D40" s="23" t="s">
        <v>1033</v>
      </c>
      <c r="E40" s="23" t="s">
        <v>7543</v>
      </c>
      <c r="F40" s="23" t="s">
        <v>7544</v>
      </c>
      <c r="G40" s="23" t="s">
        <v>7545</v>
      </c>
    </row>
    <row r="41" spans="1:7" ht="15" customHeight="1">
      <c r="A41" s="23"/>
      <c r="B41" s="23"/>
      <c r="C41" s="23"/>
      <c r="D41" s="23"/>
      <c r="E41" s="23"/>
      <c r="F41" s="23"/>
      <c r="G41" s="23"/>
    </row>
    <row r="42" spans="1:7" ht="15" customHeight="1">
      <c r="A42" s="307" t="s">
        <v>7546</v>
      </c>
      <c r="B42" s="308"/>
      <c r="C42" s="308"/>
      <c r="D42" s="308"/>
      <c r="E42" s="308"/>
      <c r="F42" s="308"/>
      <c r="G42" s="308"/>
    </row>
    <row r="43" spans="1:7" ht="15" customHeight="1">
      <c r="A43" s="309" t="s">
        <v>7447</v>
      </c>
      <c r="B43" s="309" t="s">
        <v>188</v>
      </c>
      <c r="C43" s="309" t="s">
        <v>14</v>
      </c>
      <c r="D43" s="309" t="s">
        <v>2156</v>
      </c>
      <c r="E43" s="309" t="s">
        <v>7448</v>
      </c>
      <c r="F43" s="309" t="s">
        <v>7547</v>
      </c>
      <c r="G43" s="309" t="s">
        <v>1864</v>
      </c>
    </row>
    <row r="44" spans="1:7" ht="27.75" customHeight="1">
      <c r="A44" s="23" t="s">
        <v>7225</v>
      </c>
      <c r="B44" s="23" t="s">
        <v>6670</v>
      </c>
      <c r="C44" s="23" t="s">
        <v>3694</v>
      </c>
      <c r="D44" s="23" t="s">
        <v>1033</v>
      </c>
      <c r="E44" s="23" t="s">
        <v>7548</v>
      </c>
      <c r="F44" s="23" t="s">
        <v>6868</v>
      </c>
      <c r="G44" s="23" t="s">
        <v>7549</v>
      </c>
    </row>
    <row r="45" spans="1:7" ht="27.75" customHeight="1">
      <c r="A45" s="23" t="s">
        <v>1215</v>
      </c>
      <c r="B45" s="23" t="s">
        <v>6678</v>
      </c>
      <c r="C45" s="23" t="s">
        <v>3694</v>
      </c>
      <c r="D45" s="23" t="s">
        <v>1033</v>
      </c>
      <c r="E45" s="23" t="s">
        <v>7484</v>
      </c>
      <c r="F45" s="23" t="s">
        <v>6872</v>
      </c>
      <c r="G45" s="23" t="s">
        <v>7550</v>
      </c>
    </row>
    <row r="46" spans="1:7" ht="27.75" customHeight="1">
      <c r="A46" s="23" t="s">
        <v>7219</v>
      </c>
      <c r="B46" s="23" t="s">
        <v>6678</v>
      </c>
      <c r="C46" s="23" t="s">
        <v>3694</v>
      </c>
      <c r="D46" s="23" t="s">
        <v>1033</v>
      </c>
      <c r="E46" s="23" t="s">
        <v>7484</v>
      </c>
      <c r="F46" s="23" t="s">
        <v>6881</v>
      </c>
      <c r="G46" s="23" t="s">
        <v>7551</v>
      </c>
    </row>
    <row r="47" spans="1:7" ht="27.75" customHeight="1">
      <c r="A47" s="23" t="s">
        <v>7552</v>
      </c>
      <c r="B47" s="23" t="s">
        <v>6674</v>
      </c>
      <c r="C47" s="23" t="s">
        <v>3694</v>
      </c>
      <c r="D47" s="23" t="s">
        <v>1033</v>
      </c>
      <c r="E47" s="23" t="s">
        <v>7484</v>
      </c>
      <c r="F47" s="23" t="s">
        <v>6893</v>
      </c>
      <c r="G47" s="23" t="s">
        <v>7553</v>
      </c>
    </row>
    <row r="48" spans="1:7" ht="27.75" customHeight="1">
      <c r="A48" s="23" t="s">
        <v>7223</v>
      </c>
      <c r="B48" s="23" t="s">
        <v>6674</v>
      </c>
      <c r="C48" s="23" t="s">
        <v>3694</v>
      </c>
      <c r="D48" s="23" t="s">
        <v>1033</v>
      </c>
      <c r="E48" s="23" t="s">
        <v>7554</v>
      </c>
      <c r="F48" s="23" t="s">
        <v>1199</v>
      </c>
      <c r="G48" s="23" t="s">
        <v>7555</v>
      </c>
    </row>
    <row r="49" spans="1:7" ht="27.75" customHeight="1">
      <c r="A49" s="23" t="s">
        <v>7556</v>
      </c>
      <c r="B49" s="23" t="s">
        <v>6721</v>
      </c>
      <c r="C49" s="23" t="s">
        <v>3694</v>
      </c>
      <c r="D49" s="23" t="s">
        <v>1040</v>
      </c>
      <c r="E49" s="23" t="s">
        <v>7484</v>
      </c>
      <c r="F49" s="23" t="s">
        <v>6885</v>
      </c>
      <c r="G49" s="23" t="s">
        <v>7557</v>
      </c>
    </row>
    <row r="50" spans="1:7" ht="27.75" customHeight="1">
      <c r="A50" s="23" t="s">
        <v>7558</v>
      </c>
      <c r="B50" s="23" t="s">
        <v>6721</v>
      </c>
      <c r="C50" s="23" t="s">
        <v>3694</v>
      </c>
      <c r="D50" s="23" t="s">
        <v>1040</v>
      </c>
      <c r="E50" s="23" t="s">
        <v>7484</v>
      </c>
      <c r="F50" s="23" t="s">
        <v>6901</v>
      </c>
      <c r="G50" s="23" t="s">
        <v>7559</v>
      </c>
    </row>
    <row r="51" spans="1:7" ht="15" customHeight="1">
      <c r="A51" s="23" t="s">
        <v>7242</v>
      </c>
      <c r="B51" s="23" t="s">
        <v>6728</v>
      </c>
      <c r="C51" s="23" t="s">
        <v>3694</v>
      </c>
      <c r="D51" s="23" t="s">
        <v>1040</v>
      </c>
      <c r="E51" s="23" t="s">
        <v>2344</v>
      </c>
      <c r="F51" s="23" t="s">
        <v>7560</v>
      </c>
      <c r="G51" s="23" t="s">
        <v>7561</v>
      </c>
    </row>
    <row r="52" spans="1:7" ht="27.75" customHeight="1">
      <c r="A52" s="23" t="s">
        <v>7562</v>
      </c>
      <c r="B52" s="23" t="s">
        <v>6728</v>
      </c>
      <c r="C52" s="23" t="s">
        <v>3694</v>
      </c>
      <c r="D52" s="23" t="s">
        <v>1040</v>
      </c>
      <c r="E52" s="23" t="s">
        <v>2344</v>
      </c>
      <c r="F52" s="23" t="s">
        <v>7560</v>
      </c>
      <c r="G52" s="23" t="s">
        <v>7563</v>
      </c>
    </row>
    <row r="53" spans="1:7" ht="27.75" customHeight="1">
      <c r="A53" s="23" t="s">
        <v>3699</v>
      </c>
      <c r="B53" s="23" t="s">
        <v>7564</v>
      </c>
      <c r="C53" s="23" t="s">
        <v>3681</v>
      </c>
      <c r="D53" s="23" t="s">
        <v>1033</v>
      </c>
      <c r="E53" s="23" t="s">
        <v>7452</v>
      </c>
      <c r="F53" s="23" t="s">
        <v>3702</v>
      </c>
      <c r="G53" s="23" t="s">
        <v>7565</v>
      </c>
    </row>
    <row r="54" spans="1:7" ht="15" customHeight="1">
      <c r="A54" s="23"/>
      <c r="B54" s="23"/>
      <c r="C54" s="23"/>
      <c r="D54" s="23"/>
      <c r="E54" s="23"/>
      <c r="F54" s="23"/>
      <c r="G54" s="23"/>
    </row>
    <row r="55" spans="1:7" ht="15" customHeight="1">
      <c r="A55" s="307" t="s">
        <v>7566</v>
      </c>
      <c r="B55" s="308"/>
      <c r="C55" s="308"/>
      <c r="D55" s="308"/>
      <c r="E55" s="308"/>
      <c r="F55" s="308"/>
      <c r="G55" s="308"/>
    </row>
    <row r="56" spans="1:7" ht="15" customHeight="1">
      <c r="A56" s="309" t="s">
        <v>7447</v>
      </c>
      <c r="B56" s="309" t="s">
        <v>188</v>
      </c>
      <c r="C56" s="309" t="s">
        <v>14</v>
      </c>
      <c r="D56" s="309" t="s">
        <v>2156</v>
      </c>
      <c r="E56" s="309" t="s">
        <v>7448</v>
      </c>
      <c r="F56" s="309" t="s">
        <v>7567</v>
      </c>
      <c r="G56" s="309" t="s">
        <v>1864</v>
      </c>
    </row>
    <row r="57" spans="1:7" ht="27.75" customHeight="1">
      <c r="A57" s="23" t="s">
        <v>7568</v>
      </c>
      <c r="B57" s="23" t="s">
        <v>6685</v>
      </c>
      <c r="C57" s="23" t="s">
        <v>3694</v>
      </c>
      <c r="D57" s="23" t="s">
        <v>1033</v>
      </c>
      <c r="E57" s="23" t="s">
        <v>7569</v>
      </c>
      <c r="F57" s="23" t="s">
        <v>2840</v>
      </c>
      <c r="G57" s="23" t="s">
        <v>7570</v>
      </c>
    </row>
    <row r="58" spans="1:7" ht="15" customHeight="1">
      <c r="A58" s="23" t="s">
        <v>7571</v>
      </c>
      <c r="B58" s="23" t="s">
        <v>6685</v>
      </c>
      <c r="C58" s="23" t="s">
        <v>3694</v>
      </c>
      <c r="D58" s="23" t="s">
        <v>1033</v>
      </c>
      <c r="E58" s="23" t="s">
        <v>7484</v>
      </c>
      <c r="F58" s="23" t="s">
        <v>7572</v>
      </c>
      <c r="G58" s="23" t="s">
        <v>7573</v>
      </c>
    </row>
    <row r="59" spans="1:7" ht="27.75" customHeight="1">
      <c r="A59" s="23" t="s">
        <v>7574</v>
      </c>
      <c r="B59" s="23" t="s">
        <v>6685</v>
      </c>
      <c r="C59" s="23" t="s">
        <v>3694</v>
      </c>
      <c r="D59" s="23" t="s">
        <v>1033</v>
      </c>
      <c r="E59" s="23" t="s">
        <v>7484</v>
      </c>
      <c r="F59" s="23" t="s">
        <v>7575</v>
      </c>
      <c r="G59" s="23" t="s">
        <v>7576</v>
      </c>
    </row>
    <row r="60" spans="1:7" ht="27.75" customHeight="1">
      <c r="A60" s="23" t="s">
        <v>7231</v>
      </c>
      <c r="B60" s="23" t="s">
        <v>6710</v>
      </c>
      <c r="C60" s="23" t="s">
        <v>3694</v>
      </c>
      <c r="D60" s="23" t="s">
        <v>1033</v>
      </c>
      <c r="E60" s="23" t="s">
        <v>7484</v>
      </c>
      <c r="F60" s="23" t="s">
        <v>7577</v>
      </c>
      <c r="G60" s="23" t="s">
        <v>7578</v>
      </c>
    </row>
    <row r="61" spans="1:7" ht="27.75" customHeight="1">
      <c r="A61" s="23" t="s">
        <v>7233</v>
      </c>
      <c r="B61" s="23" t="s">
        <v>6710</v>
      </c>
      <c r="C61" s="23" t="s">
        <v>3694</v>
      </c>
      <c r="D61" s="23" t="s">
        <v>1033</v>
      </c>
      <c r="E61" s="23" t="s">
        <v>7484</v>
      </c>
      <c r="F61" s="23" t="s">
        <v>7579</v>
      </c>
      <c r="G61" s="23" t="s">
        <v>7580</v>
      </c>
    </row>
    <row r="62" spans="1:7" ht="27.75" customHeight="1">
      <c r="A62" s="23" t="s">
        <v>7581</v>
      </c>
      <c r="B62" s="23" t="s">
        <v>6710</v>
      </c>
      <c r="C62" s="23" t="s">
        <v>3694</v>
      </c>
      <c r="D62" s="23" t="s">
        <v>1040</v>
      </c>
      <c r="E62" s="23" t="s">
        <v>7484</v>
      </c>
      <c r="F62" s="23" t="s">
        <v>7582</v>
      </c>
      <c r="G62" s="23" t="s">
        <v>7583</v>
      </c>
    </row>
    <row r="63" spans="1:7" ht="27.75" customHeight="1">
      <c r="A63" s="23" t="s">
        <v>7584</v>
      </c>
      <c r="B63" s="23" t="s">
        <v>6710</v>
      </c>
      <c r="C63" s="23" t="s">
        <v>3694</v>
      </c>
      <c r="D63" s="23" t="s">
        <v>1033</v>
      </c>
      <c r="E63" s="23" t="s">
        <v>7585</v>
      </c>
      <c r="F63" s="23" t="s">
        <v>7586</v>
      </c>
      <c r="G63" s="23" t="s">
        <v>7587</v>
      </c>
    </row>
    <row r="64" spans="1:7" ht="27.75" customHeight="1">
      <c r="A64" s="23" t="s">
        <v>7588</v>
      </c>
      <c r="B64" s="23" t="s">
        <v>6685</v>
      </c>
      <c r="C64" s="23" t="s">
        <v>3694</v>
      </c>
      <c r="D64" s="23" t="s">
        <v>1033</v>
      </c>
      <c r="E64" s="23" t="s">
        <v>7589</v>
      </c>
      <c r="F64" s="23" t="s">
        <v>7590</v>
      </c>
      <c r="G64" s="23" t="s">
        <v>7591</v>
      </c>
    </row>
    <row r="65" spans="1:7" ht="27.75" customHeight="1">
      <c r="A65" s="23" t="s">
        <v>7592</v>
      </c>
      <c r="B65" s="23" t="s">
        <v>6661</v>
      </c>
      <c r="C65" s="23" t="s">
        <v>3694</v>
      </c>
      <c r="D65" s="23" t="s">
        <v>1033</v>
      </c>
      <c r="E65" s="23" t="s">
        <v>7554</v>
      </c>
      <c r="F65" s="23" t="s">
        <v>7593</v>
      </c>
      <c r="G65" s="23" t="s">
        <v>7594</v>
      </c>
    </row>
    <row r="66" spans="1:7" ht="15" customHeight="1">
      <c r="A66" s="23"/>
      <c r="B66" s="23"/>
      <c r="C66" s="23"/>
      <c r="D66" s="23"/>
      <c r="E66" s="23"/>
      <c r="F66" s="23"/>
      <c r="G66" s="23"/>
    </row>
    <row r="67" spans="1:7" ht="15" customHeight="1">
      <c r="A67" s="307" t="s">
        <v>7595</v>
      </c>
      <c r="B67" s="308"/>
      <c r="C67" s="308"/>
      <c r="D67" s="308"/>
      <c r="E67" s="308"/>
      <c r="F67" s="308"/>
      <c r="G67" s="308"/>
    </row>
    <row r="68" spans="1:7" ht="15" customHeight="1">
      <c r="A68" s="309" t="s">
        <v>7447</v>
      </c>
      <c r="B68" s="309" t="s">
        <v>188</v>
      </c>
      <c r="C68" s="309" t="s">
        <v>14</v>
      </c>
      <c r="D68" s="309" t="s">
        <v>469</v>
      </c>
      <c r="E68" s="309" t="s">
        <v>7567</v>
      </c>
      <c r="F68" s="309" t="s">
        <v>7596</v>
      </c>
      <c r="G68" s="309" t="s">
        <v>1864</v>
      </c>
    </row>
    <row r="69" spans="1:7" ht="27.75" customHeight="1">
      <c r="A69" s="23" t="s">
        <v>7597</v>
      </c>
      <c r="B69" s="23" t="s">
        <v>6778</v>
      </c>
      <c r="C69" s="23" t="s">
        <v>3694</v>
      </c>
      <c r="D69" s="23" t="s">
        <v>6781</v>
      </c>
      <c r="E69" s="23" t="s">
        <v>7598</v>
      </c>
      <c r="F69" s="23" t="s">
        <v>7599</v>
      </c>
      <c r="G69" s="23" t="s">
        <v>7600</v>
      </c>
    </row>
    <row r="70" spans="1:7" ht="41.25" customHeight="1">
      <c r="A70" s="23" t="s">
        <v>7601</v>
      </c>
      <c r="B70" s="23" t="s">
        <v>6778</v>
      </c>
      <c r="C70" s="23" t="s">
        <v>3694</v>
      </c>
      <c r="D70" s="23" t="s">
        <v>6777</v>
      </c>
      <c r="E70" s="23" t="s">
        <v>7602</v>
      </c>
      <c r="F70" s="23" t="s">
        <v>7603</v>
      </c>
      <c r="G70" s="23" t="s">
        <v>7604</v>
      </c>
    </row>
    <row r="71" spans="1:7" ht="27.75" customHeight="1">
      <c r="A71" s="23" t="s">
        <v>7605</v>
      </c>
      <c r="B71" s="23" t="s">
        <v>6778</v>
      </c>
      <c r="C71" s="23" t="s">
        <v>3694</v>
      </c>
      <c r="D71" s="23" t="s">
        <v>6784</v>
      </c>
      <c r="E71" s="23" t="s">
        <v>7606</v>
      </c>
      <c r="F71" s="23" t="s">
        <v>7607</v>
      </c>
      <c r="G71" s="23" t="s">
        <v>7608</v>
      </c>
    </row>
    <row r="72" spans="1:7" ht="27.75" customHeight="1">
      <c r="A72" s="23" t="s">
        <v>7609</v>
      </c>
      <c r="B72" s="23" t="s">
        <v>6778</v>
      </c>
      <c r="C72" s="23" t="s">
        <v>3694</v>
      </c>
      <c r="D72" s="23" t="s">
        <v>6787</v>
      </c>
      <c r="E72" s="23" t="s">
        <v>7610</v>
      </c>
      <c r="F72" s="23" t="s">
        <v>7611</v>
      </c>
      <c r="G72" s="23" t="s">
        <v>7612</v>
      </c>
    </row>
    <row r="73" spans="1:7" ht="27.75" customHeight="1">
      <c r="A73" s="23" t="s">
        <v>7613</v>
      </c>
      <c r="B73" s="23" t="s">
        <v>6778</v>
      </c>
      <c r="C73" s="23" t="s">
        <v>3694</v>
      </c>
      <c r="D73" s="23" t="s">
        <v>6790</v>
      </c>
      <c r="E73" s="23" t="s">
        <v>7614</v>
      </c>
      <c r="F73" s="23" t="s">
        <v>7615</v>
      </c>
      <c r="G73" s="23" t="s">
        <v>7616</v>
      </c>
    </row>
    <row r="74" spans="1:7" ht="27.75" customHeight="1">
      <c r="A74" s="23" t="s">
        <v>1122</v>
      </c>
      <c r="B74" s="23" t="s">
        <v>6778</v>
      </c>
      <c r="C74" s="23" t="s">
        <v>3694</v>
      </c>
      <c r="D74" s="23" t="s">
        <v>6793</v>
      </c>
      <c r="E74" s="23" t="s">
        <v>7617</v>
      </c>
      <c r="F74" s="23" t="s">
        <v>7618</v>
      </c>
      <c r="G74" s="23" t="s">
        <v>7619</v>
      </c>
    </row>
    <row r="75" spans="1:7" ht="15" customHeight="1">
      <c r="A75" s="23"/>
      <c r="B75" s="23"/>
      <c r="C75" s="23"/>
      <c r="D75" s="23"/>
      <c r="E75" s="23"/>
      <c r="F75" s="23"/>
      <c r="G75" s="23"/>
    </row>
    <row r="76" spans="1:7" ht="15" customHeight="1">
      <c r="A76" s="307" t="s">
        <v>7620</v>
      </c>
      <c r="B76" s="308"/>
      <c r="C76" s="308"/>
      <c r="D76" s="308"/>
      <c r="E76" s="308"/>
      <c r="F76" s="308"/>
      <c r="G76" s="308"/>
    </row>
    <row r="77" spans="1:7" ht="15" customHeight="1">
      <c r="A77" s="309" t="s">
        <v>7447</v>
      </c>
      <c r="B77" s="309" t="s">
        <v>188</v>
      </c>
      <c r="C77" s="309" t="s">
        <v>14</v>
      </c>
      <c r="D77" s="309" t="s">
        <v>469</v>
      </c>
      <c r="E77" s="309" t="s">
        <v>7448</v>
      </c>
      <c r="F77" s="309" t="s">
        <v>7621</v>
      </c>
      <c r="G77" s="309" t="s">
        <v>1864</v>
      </c>
    </row>
    <row r="78" spans="1:7" ht="27.75" customHeight="1">
      <c r="A78" s="23" t="s">
        <v>7622</v>
      </c>
      <c r="B78" s="23" t="s">
        <v>314</v>
      </c>
      <c r="C78" s="23" t="s">
        <v>3694</v>
      </c>
      <c r="D78" s="23" t="s">
        <v>2072</v>
      </c>
      <c r="E78" s="23" t="s">
        <v>7484</v>
      </c>
      <c r="F78" s="23" t="s">
        <v>7623</v>
      </c>
      <c r="G78" s="23" t="s">
        <v>7624</v>
      </c>
    </row>
    <row r="79" spans="1:7" ht="15" customHeight="1">
      <c r="A79" s="23" t="s">
        <v>7625</v>
      </c>
      <c r="B79" s="23" t="s">
        <v>314</v>
      </c>
      <c r="C79" s="23" t="s">
        <v>3694</v>
      </c>
      <c r="D79" s="23" t="s">
        <v>6630</v>
      </c>
      <c r="E79" s="23" t="s">
        <v>7484</v>
      </c>
      <c r="F79" s="23" t="s">
        <v>7626</v>
      </c>
      <c r="G79" s="23" t="s">
        <v>7627</v>
      </c>
    </row>
    <row r="80" spans="1:7" ht="27.75" customHeight="1">
      <c r="A80" s="23" t="s">
        <v>7628</v>
      </c>
      <c r="B80" s="23" t="s">
        <v>314</v>
      </c>
      <c r="C80" s="23" t="s">
        <v>3694</v>
      </c>
      <c r="D80" s="23" t="s">
        <v>6633</v>
      </c>
      <c r="E80" s="23" t="s">
        <v>7484</v>
      </c>
      <c r="F80" s="23" t="s">
        <v>7629</v>
      </c>
      <c r="G80" s="23" t="s">
        <v>7630</v>
      </c>
    </row>
    <row r="81" spans="1:7" ht="15" customHeight="1">
      <c r="A81" s="23" t="s">
        <v>7631</v>
      </c>
      <c r="B81" s="23" t="s">
        <v>314</v>
      </c>
      <c r="C81" s="23" t="s">
        <v>3694</v>
      </c>
      <c r="D81" s="23" t="s">
        <v>6639</v>
      </c>
      <c r="E81" s="23" t="s">
        <v>7484</v>
      </c>
      <c r="F81" s="23" t="s">
        <v>7632</v>
      </c>
      <c r="G81" s="23" t="s">
        <v>7633</v>
      </c>
    </row>
    <row r="82" spans="1:7" ht="15" customHeight="1">
      <c r="A82" s="23" t="s">
        <v>6644</v>
      </c>
      <c r="B82" s="23" t="s">
        <v>314</v>
      </c>
      <c r="C82" s="23" t="s">
        <v>3694</v>
      </c>
      <c r="D82" s="23" t="s">
        <v>6645</v>
      </c>
      <c r="E82" s="23" t="s">
        <v>7484</v>
      </c>
      <c r="F82" s="23" t="s">
        <v>7634</v>
      </c>
      <c r="G82" s="23" t="s">
        <v>7635</v>
      </c>
    </row>
    <row r="83" spans="1:7" ht="15" customHeight="1">
      <c r="A83" s="23" t="s">
        <v>6650</v>
      </c>
      <c r="B83" s="23" t="s">
        <v>314</v>
      </c>
      <c r="C83" s="23" t="s">
        <v>3694</v>
      </c>
      <c r="D83" s="23" t="s">
        <v>6651</v>
      </c>
      <c r="E83" s="23" t="s">
        <v>7484</v>
      </c>
      <c r="F83" s="23" t="s">
        <v>7636</v>
      </c>
      <c r="G83" s="23" t="s">
        <v>7637</v>
      </c>
    </row>
    <row r="84" spans="1:7" ht="15" customHeight="1">
      <c r="A84" s="23" t="s">
        <v>7638</v>
      </c>
      <c r="B84" s="23" t="s">
        <v>314</v>
      </c>
      <c r="C84" s="23" t="s">
        <v>3694</v>
      </c>
      <c r="D84" s="23" t="s">
        <v>6654</v>
      </c>
      <c r="E84" s="23" t="s">
        <v>7484</v>
      </c>
      <c r="F84" s="23" t="s">
        <v>7639</v>
      </c>
      <c r="G84" s="23" t="s">
        <v>7640</v>
      </c>
    </row>
    <row r="85" spans="1:7" ht="15" customHeight="1">
      <c r="A85" s="23" t="s">
        <v>6659</v>
      </c>
      <c r="B85" s="23" t="s">
        <v>6661</v>
      </c>
      <c r="C85" s="23" t="s">
        <v>3694</v>
      </c>
      <c r="D85" s="23" t="s">
        <v>6660</v>
      </c>
      <c r="E85" s="23" t="s">
        <v>7589</v>
      </c>
      <c r="F85" s="23" t="s">
        <v>7641</v>
      </c>
      <c r="G85" s="23" t="s">
        <v>7642</v>
      </c>
    </row>
    <row r="86" spans="1:7" ht="15" customHeight="1">
      <c r="A86" s="23" t="s">
        <v>7643</v>
      </c>
      <c r="B86" s="23" t="s">
        <v>6661</v>
      </c>
      <c r="C86" s="23" t="s">
        <v>3694</v>
      </c>
      <c r="D86" s="23" t="s">
        <v>6664</v>
      </c>
      <c r="E86" s="23" t="s">
        <v>7644</v>
      </c>
      <c r="F86" s="23" t="s">
        <v>7645</v>
      </c>
      <c r="G86" s="23" t="s">
        <v>7646</v>
      </c>
    </row>
    <row r="87" spans="1:7" ht="27.75" customHeight="1">
      <c r="A87" s="23" t="s">
        <v>7647</v>
      </c>
      <c r="B87" s="23" t="s">
        <v>6661</v>
      </c>
      <c r="C87" s="23" t="s">
        <v>3694</v>
      </c>
      <c r="D87" s="23" t="s">
        <v>6667</v>
      </c>
      <c r="E87" s="23" t="s">
        <v>7648</v>
      </c>
      <c r="F87" s="23" t="s">
        <v>7649</v>
      </c>
      <c r="G87" s="23" t="s">
        <v>7650</v>
      </c>
    </row>
    <row r="88" spans="1:7" ht="15" customHeight="1">
      <c r="A88" s="23"/>
      <c r="B88" s="23"/>
      <c r="C88" s="23"/>
      <c r="D88" s="23"/>
      <c r="E88" s="23"/>
      <c r="F88" s="23"/>
      <c r="G88" s="23"/>
    </row>
    <row r="89" spans="1:7" ht="15" customHeight="1">
      <c r="A89" s="310" t="s">
        <v>1249</v>
      </c>
      <c r="B89" s="305"/>
      <c r="C89" s="305"/>
      <c r="D89" s="305"/>
      <c r="E89" s="305"/>
      <c r="F89" s="305"/>
      <c r="G89" s="305"/>
    </row>
    <row r="90" spans="1:7" ht="15" customHeight="1">
      <c r="A90" s="311" t="s">
        <v>1442</v>
      </c>
      <c r="B90" s="311" t="s">
        <v>3657</v>
      </c>
      <c r="C90" s="311" t="s">
        <v>598</v>
      </c>
      <c r="D90" s="23"/>
      <c r="E90" s="23"/>
      <c r="F90" s="23"/>
      <c r="G90" s="23"/>
    </row>
    <row r="91" spans="1:7" ht="15" customHeight="1">
      <c r="A91" s="23" t="s">
        <v>7651</v>
      </c>
      <c r="B91" s="23">
        <v>46</v>
      </c>
      <c r="C91" s="23" t="s">
        <v>7652</v>
      </c>
      <c r="D91" s="23"/>
      <c r="E91" s="23"/>
      <c r="F91" s="23"/>
      <c r="G91" s="23"/>
    </row>
    <row r="92" spans="1:7" ht="15" customHeight="1">
      <c r="A92" s="23" t="s">
        <v>7653</v>
      </c>
      <c r="B92" s="23">
        <v>38</v>
      </c>
      <c r="C92" s="23" t="s">
        <v>7654</v>
      </c>
      <c r="D92" s="23"/>
      <c r="E92" s="23"/>
      <c r="F92" s="23"/>
      <c r="G92" s="23"/>
    </row>
    <row r="93" spans="1:7" ht="15" customHeight="1">
      <c r="A93" s="23" t="s">
        <v>7655</v>
      </c>
      <c r="B93" s="23">
        <v>4</v>
      </c>
      <c r="C93" s="23" t="s">
        <v>7656</v>
      </c>
      <c r="D93" s="23"/>
      <c r="E93" s="23"/>
      <c r="F93" s="23"/>
      <c r="G93" s="23"/>
    </row>
    <row r="94" spans="1:7" ht="15" customHeight="1">
      <c r="A94" s="23" t="s">
        <v>7657</v>
      </c>
      <c r="B94" s="23">
        <v>54</v>
      </c>
      <c r="C94" s="23" t="s">
        <v>7658</v>
      </c>
      <c r="D94" s="23"/>
      <c r="E94" s="23"/>
      <c r="F94" s="23"/>
      <c r="G94" s="23"/>
    </row>
    <row r="95" spans="1:7" ht="15" customHeight="1">
      <c r="A95" s="23" t="s">
        <v>3682</v>
      </c>
      <c r="B95" s="23">
        <v>8</v>
      </c>
      <c r="C95" s="23" t="s">
        <v>7659</v>
      </c>
      <c r="D95" s="23"/>
      <c r="E95" s="23"/>
      <c r="F95" s="23"/>
      <c r="G95" s="23"/>
    </row>
    <row r="96" spans="1:7" ht="15" customHeight="1">
      <c r="A96" s="23" t="s">
        <v>3686</v>
      </c>
      <c r="B96" s="23">
        <v>11</v>
      </c>
      <c r="C96" s="23" t="s">
        <v>7660</v>
      </c>
      <c r="D96" s="23"/>
      <c r="E96" s="23"/>
      <c r="F96" s="23"/>
      <c r="G96" s="23"/>
    </row>
    <row r="98" spans="1:7" ht="15" customHeight="1">
      <c r="A98" s="312" t="s">
        <v>7661</v>
      </c>
      <c r="B98" s="135"/>
      <c r="C98" s="135"/>
      <c r="D98" s="135"/>
      <c r="E98" s="135"/>
      <c r="F98" s="135"/>
      <c r="G98" s="135"/>
    </row>
    <row r="99" spans="1:7" ht="15" customHeight="1">
      <c r="A99" s="5" t="s">
        <v>7447</v>
      </c>
      <c r="B99" s="5" t="s">
        <v>188</v>
      </c>
      <c r="C99" s="5" t="s">
        <v>14</v>
      </c>
      <c r="D99" s="5" t="s">
        <v>2156</v>
      </c>
      <c r="E99" s="5" t="s">
        <v>7448</v>
      </c>
      <c r="F99" s="5" t="s">
        <v>7449</v>
      </c>
      <c r="G99" s="5" t="s">
        <v>1864</v>
      </c>
    </row>
    <row r="100" spans="1:7" ht="23.25" customHeight="1">
      <c r="A100" s="6" t="s">
        <v>7662</v>
      </c>
      <c r="B100" s="7" t="s">
        <v>7663</v>
      </c>
      <c r="C100" s="6" t="s">
        <v>7664</v>
      </c>
      <c r="D100" s="6" t="s">
        <v>1033</v>
      </c>
      <c r="E100" s="7" t="s">
        <v>7665</v>
      </c>
      <c r="F100" s="7" t="s">
        <v>7666</v>
      </c>
      <c r="G100" s="7" t="s">
        <v>7667</v>
      </c>
    </row>
    <row r="101" spans="1:7" ht="34.5" customHeight="1">
      <c r="A101" s="8" t="s">
        <v>7668</v>
      </c>
      <c r="B101" s="9" t="s">
        <v>7669</v>
      </c>
      <c r="C101" s="8" t="s">
        <v>7670</v>
      </c>
      <c r="D101" s="8" t="s">
        <v>1040</v>
      </c>
      <c r="E101" s="9" t="s">
        <v>7671</v>
      </c>
      <c r="F101" s="9" t="s">
        <v>7672</v>
      </c>
      <c r="G101" s="9" t="s">
        <v>7673</v>
      </c>
    </row>
  </sheetData>
  <pageMargins left="0.7" right="0.7" top="0.75" bottom="0.75" header="0.511811023622047" footer="0.511811023622047"/>
  <pageSetup paperSize="9"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H144"/>
  <sheetViews>
    <sheetView zoomScaleNormal="100" workbookViewId="0">
      <pane ySplit="1" topLeftCell="A2" activePane="bottomLeft" state="frozen"/>
      <selection pane="bottomLeft"/>
    </sheetView>
  </sheetViews>
  <sheetFormatPr defaultColWidth="8.5703125" defaultRowHeight="15"/>
  <cols>
    <col min="1" max="2" width="65" customWidth="1"/>
    <col min="3" max="3" width="19.28515625" customWidth="1"/>
    <col min="4" max="4" width="61.85546875" customWidth="1"/>
    <col min="5" max="5" width="23.85546875" customWidth="1"/>
    <col min="6" max="7" width="34.140625" customWidth="1"/>
    <col min="8" max="8" width="65" customWidth="1"/>
  </cols>
  <sheetData>
    <row r="1" spans="1:8" ht="18" customHeight="1">
      <c r="A1" s="304" t="s">
        <v>7674</v>
      </c>
      <c r="B1" s="305"/>
      <c r="C1" s="305"/>
      <c r="D1" s="305"/>
      <c r="E1" s="305"/>
      <c r="F1" s="305"/>
      <c r="G1" s="305"/>
      <c r="H1" s="305"/>
    </row>
    <row r="2" spans="1:8" ht="23.25" customHeight="1">
      <c r="A2" s="306" t="s">
        <v>7675</v>
      </c>
      <c r="B2" s="23"/>
      <c r="C2" s="23"/>
      <c r="D2" s="23"/>
      <c r="E2" s="23"/>
      <c r="F2" s="23"/>
      <c r="G2" s="23"/>
      <c r="H2" s="23"/>
    </row>
    <row r="3" spans="1:8" ht="15" customHeight="1">
      <c r="A3" s="23"/>
      <c r="B3" s="23"/>
      <c r="C3" s="23"/>
      <c r="D3" s="23"/>
      <c r="E3" s="23"/>
      <c r="F3" s="23"/>
      <c r="G3" s="23"/>
      <c r="H3" s="23"/>
    </row>
    <row r="4" spans="1:8" ht="15" customHeight="1">
      <c r="A4" s="307" t="s">
        <v>7676</v>
      </c>
      <c r="B4" s="308"/>
      <c r="C4" s="308"/>
      <c r="D4" s="308"/>
      <c r="E4" s="308"/>
      <c r="F4" s="308"/>
      <c r="G4" s="308"/>
      <c r="H4" s="308"/>
    </row>
    <row r="5" spans="1:8" ht="27.75" customHeight="1">
      <c r="A5" s="313" t="s">
        <v>7677</v>
      </c>
      <c r="B5" s="23" t="s">
        <v>7678</v>
      </c>
      <c r="C5" s="23"/>
      <c r="D5" s="23"/>
      <c r="E5" s="23"/>
      <c r="F5" s="23"/>
      <c r="G5" s="23"/>
      <c r="H5" s="23"/>
    </row>
    <row r="6" spans="1:8" ht="27.75" customHeight="1">
      <c r="A6" s="313" t="s">
        <v>7679</v>
      </c>
      <c r="B6" s="23" t="s">
        <v>7680</v>
      </c>
      <c r="C6" s="23"/>
      <c r="D6" s="23"/>
      <c r="E6" s="23"/>
      <c r="F6" s="23"/>
      <c r="G6" s="23"/>
      <c r="H6" s="23"/>
    </row>
    <row r="7" spans="1:8" ht="27.75" customHeight="1">
      <c r="A7" s="313" t="s">
        <v>7681</v>
      </c>
      <c r="B7" s="23" t="s">
        <v>7682</v>
      </c>
      <c r="C7" s="23"/>
      <c r="D7" s="23"/>
      <c r="E7" s="23"/>
      <c r="F7" s="23"/>
      <c r="G7" s="23"/>
      <c r="H7" s="23"/>
    </row>
    <row r="8" spans="1:8" ht="27.75" customHeight="1">
      <c r="A8" s="313" t="s">
        <v>7683</v>
      </c>
      <c r="B8" s="23" t="s">
        <v>7684</v>
      </c>
      <c r="C8" s="23"/>
      <c r="D8" s="23"/>
      <c r="E8" s="23"/>
      <c r="F8" s="23"/>
      <c r="G8" s="23"/>
      <c r="H8" s="23"/>
    </row>
    <row r="9" spans="1:8" ht="27.75" customHeight="1">
      <c r="A9" s="313" t="s">
        <v>7685</v>
      </c>
      <c r="B9" s="23" t="s">
        <v>7686</v>
      </c>
      <c r="C9" s="23"/>
      <c r="D9" s="23"/>
      <c r="E9" s="23"/>
      <c r="F9" s="23"/>
      <c r="G9" s="23"/>
      <c r="H9" s="23"/>
    </row>
    <row r="10" spans="1:8" ht="27.75" customHeight="1">
      <c r="A10" s="313" t="s">
        <v>7687</v>
      </c>
      <c r="B10" s="23" t="s">
        <v>7688</v>
      </c>
      <c r="C10" s="23"/>
      <c r="D10" s="23"/>
      <c r="E10" s="23"/>
      <c r="F10" s="23"/>
      <c r="G10" s="23"/>
      <c r="H10" s="23"/>
    </row>
    <row r="11" spans="1:8" ht="27.75" customHeight="1">
      <c r="A11" s="313" t="s">
        <v>7689</v>
      </c>
      <c r="B11" s="23" t="s">
        <v>7690</v>
      </c>
      <c r="C11" s="23"/>
      <c r="D11" s="23"/>
      <c r="E11" s="23"/>
      <c r="F11" s="23"/>
      <c r="G11" s="23"/>
      <c r="H11" s="23"/>
    </row>
    <row r="12" spans="1:8" ht="27.75" customHeight="1">
      <c r="A12" s="313" t="s">
        <v>7691</v>
      </c>
      <c r="B12" s="23" t="s">
        <v>7692</v>
      </c>
      <c r="C12" s="23"/>
      <c r="D12" s="23"/>
      <c r="E12" s="23"/>
      <c r="F12" s="23"/>
      <c r="G12" s="23"/>
      <c r="H12" s="23"/>
    </row>
    <row r="13" spans="1:8" ht="27.75" customHeight="1">
      <c r="A13" s="313" t="s">
        <v>7693</v>
      </c>
      <c r="B13" s="23" t="s">
        <v>7694</v>
      </c>
      <c r="C13" s="23"/>
      <c r="D13" s="23"/>
      <c r="E13" s="23"/>
      <c r="F13" s="23"/>
      <c r="G13" s="23"/>
      <c r="H13" s="23"/>
    </row>
    <row r="14" spans="1:8" ht="15" customHeight="1">
      <c r="A14" s="23"/>
      <c r="B14" s="23"/>
      <c r="C14" s="23"/>
      <c r="D14" s="23"/>
      <c r="E14" s="23"/>
      <c r="F14" s="23"/>
      <c r="G14" s="23"/>
      <c r="H14" s="23"/>
    </row>
    <row r="15" spans="1:8" ht="15" customHeight="1">
      <c r="A15" s="307" t="s">
        <v>7695</v>
      </c>
      <c r="B15" s="308"/>
      <c r="C15" s="308"/>
      <c r="D15" s="308"/>
      <c r="E15" s="308"/>
      <c r="F15" s="308"/>
      <c r="G15" s="308"/>
      <c r="H15" s="308"/>
    </row>
    <row r="16" spans="1:8" ht="15" customHeight="1">
      <c r="A16" s="309" t="s">
        <v>6620</v>
      </c>
      <c r="B16" s="309" t="s">
        <v>469</v>
      </c>
      <c r="C16" s="309" t="s">
        <v>14</v>
      </c>
      <c r="D16" s="309" t="s">
        <v>7696</v>
      </c>
      <c r="E16" s="309" t="s">
        <v>6621</v>
      </c>
      <c r="F16" s="309" t="s">
        <v>7567</v>
      </c>
      <c r="G16" s="309" t="s">
        <v>7547</v>
      </c>
      <c r="H16" s="309" t="s">
        <v>1864</v>
      </c>
    </row>
    <row r="17" spans="1:8" ht="27.75" customHeight="1">
      <c r="A17" s="23" t="s">
        <v>1217</v>
      </c>
      <c r="B17" s="23" t="s">
        <v>6622</v>
      </c>
      <c r="C17" s="23" t="s">
        <v>7697</v>
      </c>
      <c r="D17" s="23" t="s">
        <v>1526</v>
      </c>
      <c r="E17" s="23">
        <v>20</v>
      </c>
      <c r="F17" s="23" t="s">
        <v>3384</v>
      </c>
      <c r="G17" s="23" t="s">
        <v>6906</v>
      </c>
      <c r="H17" s="23" t="s">
        <v>7698</v>
      </c>
    </row>
    <row r="18" spans="1:8" ht="27.75" customHeight="1">
      <c r="A18" s="23" t="s">
        <v>6625</v>
      </c>
      <c r="B18" s="23" t="s">
        <v>6626</v>
      </c>
      <c r="C18" s="23" t="s">
        <v>7697</v>
      </c>
      <c r="D18" s="23" t="s">
        <v>1526</v>
      </c>
      <c r="E18" s="23">
        <v>12</v>
      </c>
      <c r="F18" s="23" t="s">
        <v>7699</v>
      </c>
      <c r="G18" s="23" t="s">
        <v>6906</v>
      </c>
      <c r="H18" s="23" t="s">
        <v>7700</v>
      </c>
    </row>
    <row r="19" spans="1:8" ht="15" customHeight="1">
      <c r="A19" s="23"/>
      <c r="B19" s="23"/>
      <c r="C19" s="23"/>
      <c r="D19" s="23"/>
      <c r="E19" s="23"/>
      <c r="F19" s="23"/>
      <c r="G19" s="23"/>
      <c r="H19" s="23"/>
    </row>
    <row r="20" spans="1:8" ht="15" customHeight="1">
      <c r="A20" s="307" t="s">
        <v>7701</v>
      </c>
      <c r="B20" s="308"/>
      <c r="C20" s="308"/>
      <c r="D20" s="308"/>
      <c r="E20" s="308"/>
      <c r="F20" s="308"/>
      <c r="G20" s="308"/>
      <c r="H20" s="308"/>
    </row>
    <row r="21" spans="1:8" ht="15" customHeight="1">
      <c r="A21" s="309" t="s">
        <v>6620</v>
      </c>
      <c r="B21" s="309" t="s">
        <v>469</v>
      </c>
      <c r="C21" s="309" t="s">
        <v>14</v>
      </c>
      <c r="D21" s="309" t="s">
        <v>7696</v>
      </c>
      <c r="E21" s="309" t="s">
        <v>6621</v>
      </c>
      <c r="F21" s="309" t="s">
        <v>7567</v>
      </c>
      <c r="G21" s="309" t="s">
        <v>7702</v>
      </c>
      <c r="H21" s="309" t="s">
        <v>1864</v>
      </c>
    </row>
    <row r="22" spans="1:8" ht="27.75" customHeight="1">
      <c r="A22" s="23" t="s">
        <v>7703</v>
      </c>
      <c r="B22" s="23" t="s">
        <v>2072</v>
      </c>
      <c r="C22" s="23" t="s">
        <v>7697</v>
      </c>
      <c r="D22" s="23" t="s">
        <v>1526</v>
      </c>
      <c r="E22" s="23">
        <v>4</v>
      </c>
      <c r="F22" s="23" t="s">
        <v>1734</v>
      </c>
      <c r="G22" s="23" t="s">
        <v>7704</v>
      </c>
      <c r="H22" s="23" t="s">
        <v>7705</v>
      </c>
    </row>
    <row r="23" spans="1:8" ht="15" customHeight="1">
      <c r="A23" s="23" t="s">
        <v>6629</v>
      </c>
      <c r="B23" s="23" t="s">
        <v>6630</v>
      </c>
      <c r="C23" s="23" t="s">
        <v>7697</v>
      </c>
      <c r="D23" s="23" t="s">
        <v>1526</v>
      </c>
      <c r="E23" s="23">
        <v>4</v>
      </c>
      <c r="F23" s="23" t="s">
        <v>7706</v>
      </c>
      <c r="G23" s="23" t="s">
        <v>7707</v>
      </c>
      <c r="H23" s="23" t="s">
        <v>7708</v>
      </c>
    </row>
    <row r="24" spans="1:8" ht="15" customHeight="1">
      <c r="A24" s="23" t="s">
        <v>6632</v>
      </c>
      <c r="B24" s="23" t="s">
        <v>6633</v>
      </c>
      <c r="C24" s="23" t="s">
        <v>7697</v>
      </c>
      <c r="D24" s="23" t="s">
        <v>1526</v>
      </c>
      <c r="E24" s="23">
        <v>6</v>
      </c>
      <c r="F24" s="23" t="s">
        <v>7709</v>
      </c>
      <c r="G24" s="23" t="s">
        <v>7707</v>
      </c>
      <c r="H24" s="23" t="s">
        <v>7710</v>
      </c>
    </row>
    <row r="25" spans="1:8" ht="27.75" customHeight="1">
      <c r="A25" s="23" t="s">
        <v>6635</v>
      </c>
      <c r="B25" s="23" t="s">
        <v>6636</v>
      </c>
      <c r="C25" s="23" t="s">
        <v>7697</v>
      </c>
      <c r="D25" s="23" t="s">
        <v>1526</v>
      </c>
      <c r="E25" s="23">
        <v>4</v>
      </c>
      <c r="F25" s="23" t="s">
        <v>7711</v>
      </c>
      <c r="G25" s="23" t="s">
        <v>7707</v>
      </c>
      <c r="H25" s="23" t="s">
        <v>7712</v>
      </c>
    </row>
    <row r="26" spans="1:8" ht="15" customHeight="1">
      <c r="A26" s="23" t="s">
        <v>6638</v>
      </c>
      <c r="B26" s="23" t="s">
        <v>6639</v>
      </c>
      <c r="C26" s="23" t="s">
        <v>7697</v>
      </c>
      <c r="D26" s="23" t="s">
        <v>1526</v>
      </c>
      <c r="E26" s="23">
        <v>3</v>
      </c>
      <c r="F26" s="23" t="s">
        <v>7713</v>
      </c>
      <c r="G26" s="23" t="s">
        <v>7707</v>
      </c>
      <c r="H26" s="23" t="s">
        <v>7714</v>
      </c>
    </row>
    <row r="27" spans="1:8" ht="15" customHeight="1">
      <c r="A27" s="23" t="s">
        <v>6641</v>
      </c>
      <c r="B27" s="23" t="s">
        <v>6642</v>
      </c>
      <c r="C27" s="23" t="s">
        <v>7697</v>
      </c>
      <c r="D27" s="23" t="s">
        <v>1526</v>
      </c>
      <c r="E27" s="23">
        <v>3</v>
      </c>
      <c r="F27" s="23" t="s">
        <v>7715</v>
      </c>
      <c r="G27" s="23" t="s">
        <v>7707</v>
      </c>
      <c r="H27" s="23" t="s">
        <v>7716</v>
      </c>
    </row>
    <row r="28" spans="1:8" ht="15" customHeight="1">
      <c r="A28" s="23" t="s">
        <v>6644</v>
      </c>
      <c r="B28" s="23" t="s">
        <v>6645</v>
      </c>
      <c r="C28" s="23" t="s">
        <v>7697</v>
      </c>
      <c r="D28" s="23" t="s">
        <v>1526</v>
      </c>
      <c r="E28" s="23">
        <v>5</v>
      </c>
      <c r="F28" s="23" t="s">
        <v>6644</v>
      </c>
      <c r="G28" s="23" t="s">
        <v>7707</v>
      </c>
      <c r="H28" s="23" t="s">
        <v>7717</v>
      </c>
    </row>
    <row r="29" spans="1:8" ht="15" customHeight="1">
      <c r="A29" s="23" t="s">
        <v>6647</v>
      </c>
      <c r="B29" s="23" t="s">
        <v>6648</v>
      </c>
      <c r="C29" s="23" t="s">
        <v>7697</v>
      </c>
      <c r="D29" s="23" t="s">
        <v>1526</v>
      </c>
      <c r="E29" s="23">
        <v>3</v>
      </c>
      <c r="F29" s="23" t="s">
        <v>6647</v>
      </c>
      <c r="G29" s="23" t="s">
        <v>2477</v>
      </c>
      <c r="H29" s="23" t="s">
        <v>7718</v>
      </c>
    </row>
    <row r="30" spans="1:8" ht="15" customHeight="1">
      <c r="A30" s="23" t="s">
        <v>7719</v>
      </c>
      <c r="B30" s="23" t="s">
        <v>7720</v>
      </c>
      <c r="C30" s="23" t="s">
        <v>7697</v>
      </c>
      <c r="D30" s="23" t="s">
        <v>1526</v>
      </c>
      <c r="E30" s="314">
        <v>46084</v>
      </c>
      <c r="F30" s="23" t="s">
        <v>6650</v>
      </c>
      <c r="G30" s="23" t="s">
        <v>2477</v>
      </c>
      <c r="H30" s="23" t="s">
        <v>7721</v>
      </c>
    </row>
    <row r="31" spans="1:8" ht="15" customHeight="1">
      <c r="A31" s="23"/>
      <c r="B31" s="23"/>
      <c r="C31" s="23"/>
      <c r="D31" s="23"/>
      <c r="E31" s="23"/>
      <c r="F31" s="23"/>
      <c r="G31" s="23"/>
      <c r="H31" s="23"/>
    </row>
    <row r="32" spans="1:8" ht="15" customHeight="1">
      <c r="A32" s="307" t="s">
        <v>7722</v>
      </c>
      <c r="B32" s="308"/>
      <c r="C32" s="308"/>
      <c r="D32" s="308"/>
      <c r="E32" s="308"/>
      <c r="F32" s="308"/>
      <c r="G32" s="308"/>
      <c r="H32" s="308"/>
    </row>
    <row r="33" spans="1:8" ht="15" customHeight="1">
      <c r="A33" s="309" t="s">
        <v>6620</v>
      </c>
      <c r="B33" s="309" t="s">
        <v>469</v>
      </c>
      <c r="C33" s="309" t="s">
        <v>14</v>
      </c>
      <c r="D33" s="309" t="s">
        <v>7696</v>
      </c>
      <c r="E33" s="309" t="s">
        <v>6621</v>
      </c>
      <c r="F33" s="309" t="s">
        <v>7567</v>
      </c>
      <c r="G33" s="309" t="s">
        <v>541</v>
      </c>
      <c r="H33" s="309" t="s">
        <v>1864</v>
      </c>
    </row>
    <row r="34" spans="1:8" ht="27.75" customHeight="1">
      <c r="A34" s="23" t="s">
        <v>6687</v>
      </c>
      <c r="B34" s="23" t="s">
        <v>6688</v>
      </c>
      <c r="C34" s="23" t="s">
        <v>7697</v>
      </c>
      <c r="D34" s="23" t="s">
        <v>1526</v>
      </c>
      <c r="E34" s="23">
        <v>6</v>
      </c>
      <c r="F34" s="23" t="s">
        <v>3373</v>
      </c>
      <c r="G34" s="23" t="s">
        <v>7723</v>
      </c>
      <c r="H34" s="23" t="s">
        <v>7724</v>
      </c>
    </row>
    <row r="35" spans="1:8" ht="27.75" customHeight="1">
      <c r="A35" s="23" t="s">
        <v>7725</v>
      </c>
      <c r="B35" s="23" t="s">
        <v>6691</v>
      </c>
      <c r="C35" s="23" t="s">
        <v>7697</v>
      </c>
      <c r="D35" s="23" t="s">
        <v>7648</v>
      </c>
      <c r="E35" s="23">
        <v>10</v>
      </c>
      <c r="F35" s="23" t="s">
        <v>7726</v>
      </c>
      <c r="G35" s="23" t="s">
        <v>7727</v>
      </c>
      <c r="H35" s="23" t="s">
        <v>7728</v>
      </c>
    </row>
    <row r="36" spans="1:8" ht="15" customHeight="1">
      <c r="A36" s="23" t="s">
        <v>6693</v>
      </c>
      <c r="B36" s="23" t="s">
        <v>6694</v>
      </c>
      <c r="C36" s="23" t="s">
        <v>7697</v>
      </c>
      <c r="D36" s="23" t="s">
        <v>1526</v>
      </c>
      <c r="E36" s="23">
        <v>4</v>
      </c>
      <c r="F36" s="23" t="s">
        <v>3391</v>
      </c>
      <c r="G36" s="23" t="s">
        <v>7723</v>
      </c>
      <c r="H36" s="23" t="s">
        <v>7573</v>
      </c>
    </row>
    <row r="37" spans="1:8" ht="27.75" customHeight="1">
      <c r="A37" s="23" t="s">
        <v>6696</v>
      </c>
      <c r="B37" s="23" t="s">
        <v>6697</v>
      </c>
      <c r="C37" s="23" t="s">
        <v>7697</v>
      </c>
      <c r="D37" s="23" t="s">
        <v>1526</v>
      </c>
      <c r="E37" s="23">
        <v>6</v>
      </c>
      <c r="F37" s="23" t="s">
        <v>7729</v>
      </c>
      <c r="G37" s="23" t="s">
        <v>7723</v>
      </c>
      <c r="H37" s="23" t="s">
        <v>7730</v>
      </c>
    </row>
    <row r="38" spans="1:8" ht="27.75" customHeight="1">
      <c r="A38" s="23" t="s">
        <v>6683</v>
      </c>
      <c r="B38" s="23" t="s">
        <v>6684</v>
      </c>
      <c r="C38" s="23" t="s">
        <v>7697</v>
      </c>
      <c r="D38" s="23" t="s">
        <v>1526</v>
      </c>
      <c r="E38" s="23">
        <v>5</v>
      </c>
      <c r="F38" s="23" t="s">
        <v>3389</v>
      </c>
      <c r="G38" s="23" t="s">
        <v>7723</v>
      </c>
      <c r="H38" s="23" t="s">
        <v>7731</v>
      </c>
    </row>
    <row r="39" spans="1:8" ht="15" customHeight="1">
      <c r="A39" s="23" t="s">
        <v>6770</v>
      </c>
      <c r="B39" s="23" t="s">
        <v>6771</v>
      </c>
      <c r="C39" s="23" t="s">
        <v>7697</v>
      </c>
      <c r="D39" s="23" t="s">
        <v>1526</v>
      </c>
      <c r="E39" s="23">
        <v>4</v>
      </c>
      <c r="F39" s="23" t="s">
        <v>3396</v>
      </c>
      <c r="G39" s="23" t="s">
        <v>7723</v>
      </c>
      <c r="H39" s="23" t="s">
        <v>7732</v>
      </c>
    </row>
    <row r="40" spans="1:8" ht="15" customHeight="1">
      <c r="A40" s="23" t="s">
        <v>6773</v>
      </c>
      <c r="B40" s="23" t="s">
        <v>6774</v>
      </c>
      <c r="C40" s="23" t="s">
        <v>7697</v>
      </c>
      <c r="D40" s="23" t="s">
        <v>1526</v>
      </c>
      <c r="E40" s="23">
        <v>4</v>
      </c>
      <c r="F40" s="23" t="s">
        <v>7733</v>
      </c>
      <c r="G40" s="23" t="s">
        <v>7723</v>
      </c>
      <c r="H40" s="23" t="s">
        <v>7734</v>
      </c>
    </row>
    <row r="41" spans="1:8" ht="27.75" customHeight="1">
      <c r="A41" s="23" t="s">
        <v>6740</v>
      </c>
      <c r="B41" s="23" t="s">
        <v>6741</v>
      </c>
      <c r="C41" s="23" t="s">
        <v>7697</v>
      </c>
      <c r="D41" s="23" t="s">
        <v>1526</v>
      </c>
      <c r="E41" s="23">
        <v>13</v>
      </c>
      <c r="F41" s="23" t="s">
        <v>3382</v>
      </c>
      <c r="G41" s="23" t="s">
        <v>7723</v>
      </c>
      <c r="H41" s="23" t="s">
        <v>7735</v>
      </c>
    </row>
    <row r="42" spans="1:8" ht="15" customHeight="1">
      <c r="A42" s="23"/>
      <c r="B42" s="23"/>
      <c r="C42" s="23"/>
      <c r="D42" s="23"/>
      <c r="E42" s="23"/>
      <c r="F42" s="23"/>
      <c r="G42" s="23"/>
      <c r="H42" s="23"/>
    </row>
    <row r="43" spans="1:8" ht="15" customHeight="1">
      <c r="A43" s="307" t="s">
        <v>7736</v>
      </c>
      <c r="B43" s="308"/>
      <c r="C43" s="308"/>
      <c r="D43" s="308"/>
      <c r="E43" s="308"/>
      <c r="F43" s="308"/>
      <c r="G43" s="308"/>
      <c r="H43" s="308"/>
    </row>
    <row r="44" spans="1:8" ht="15" customHeight="1">
      <c r="A44" s="309" t="s">
        <v>6620</v>
      </c>
      <c r="B44" s="309" t="s">
        <v>469</v>
      </c>
      <c r="C44" s="309" t="s">
        <v>14</v>
      </c>
      <c r="D44" s="309" t="s">
        <v>7696</v>
      </c>
      <c r="E44" s="309" t="s">
        <v>6621</v>
      </c>
      <c r="F44" s="309" t="s">
        <v>7567</v>
      </c>
      <c r="G44" s="309" t="s">
        <v>7547</v>
      </c>
      <c r="H44" s="309" t="s">
        <v>1864</v>
      </c>
    </row>
    <row r="45" spans="1:8" ht="27.75" customHeight="1">
      <c r="A45" s="23" t="s">
        <v>6699</v>
      </c>
      <c r="B45" s="23" t="s">
        <v>6700</v>
      </c>
      <c r="C45" s="23" t="s">
        <v>7697</v>
      </c>
      <c r="D45" s="23" t="s">
        <v>1526</v>
      </c>
      <c r="E45" s="23">
        <v>14</v>
      </c>
      <c r="F45" s="23" t="s">
        <v>7737</v>
      </c>
      <c r="G45" s="23" t="s">
        <v>6876</v>
      </c>
      <c r="H45" s="23" t="s">
        <v>7738</v>
      </c>
    </row>
    <row r="46" spans="1:8" ht="27.75" customHeight="1">
      <c r="A46" s="23" t="s">
        <v>7739</v>
      </c>
      <c r="B46" s="23" t="s">
        <v>6703</v>
      </c>
      <c r="C46" s="23" t="s">
        <v>7697</v>
      </c>
      <c r="D46" s="23" t="s">
        <v>1526</v>
      </c>
      <c r="E46" s="23">
        <v>10</v>
      </c>
      <c r="F46" s="23" t="s">
        <v>6879</v>
      </c>
      <c r="G46" s="23" t="s">
        <v>6876</v>
      </c>
      <c r="H46" s="23" t="s">
        <v>7740</v>
      </c>
    </row>
    <row r="47" spans="1:8" ht="15" customHeight="1">
      <c r="A47" s="23" t="s">
        <v>6705</v>
      </c>
      <c r="B47" s="23" t="s">
        <v>6706</v>
      </c>
      <c r="C47" s="23" t="s">
        <v>7697</v>
      </c>
      <c r="D47" s="23" t="s">
        <v>1526</v>
      </c>
      <c r="E47" s="23">
        <v>3</v>
      </c>
      <c r="F47" s="23" t="s">
        <v>3394</v>
      </c>
      <c r="G47" s="23" t="s">
        <v>2625</v>
      </c>
      <c r="H47" s="23" t="s">
        <v>7741</v>
      </c>
    </row>
    <row r="48" spans="1:8" ht="27.75" customHeight="1">
      <c r="A48" s="23" t="s">
        <v>6672</v>
      </c>
      <c r="B48" s="23" t="s">
        <v>6673</v>
      </c>
      <c r="C48" s="23" t="s">
        <v>7697</v>
      </c>
      <c r="D48" s="23" t="s">
        <v>1526</v>
      </c>
      <c r="E48" s="23">
        <v>25</v>
      </c>
      <c r="F48" s="23" t="s">
        <v>7742</v>
      </c>
      <c r="G48" s="23" t="s">
        <v>1199</v>
      </c>
      <c r="H48" s="23" t="s">
        <v>7743</v>
      </c>
    </row>
    <row r="49" spans="1:8" ht="27.75" customHeight="1">
      <c r="A49" s="23" t="s">
        <v>6680</v>
      </c>
      <c r="B49" s="23" t="s">
        <v>6681</v>
      </c>
      <c r="C49" s="23" t="s">
        <v>7697</v>
      </c>
      <c r="D49" s="23" t="s">
        <v>1526</v>
      </c>
      <c r="E49" s="23">
        <v>13</v>
      </c>
      <c r="F49" s="23" t="s">
        <v>3376</v>
      </c>
      <c r="G49" s="23" t="s">
        <v>6893</v>
      </c>
      <c r="H49" s="23" t="s">
        <v>7744</v>
      </c>
    </row>
    <row r="50" spans="1:8" ht="27.75" customHeight="1">
      <c r="A50" s="23" t="s">
        <v>6754</v>
      </c>
      <c r="B50" s="23" t="s">
        <v>6755</v>
      </c>
      <c r="C50" s="23" t="s">
        <v>7697</v>
      </c>
      <c r="D50" s="23" t="s">
        <v>1526</v>
      </c>
      <c r="E50" s="23">
        <v>9</v>
      </c>
      <c r="F50" s="23" t="s">
        <v>7745</v>
      </c>
      <c r="G50" s="23" t="s">
        <v>2625</v>
      </c>
      <c r="H50" s="23" t="s">
        <v>7746</v>
      </c>
    </row>
    <row r="51" spans="1:8" ht="27.75" customHeight="1">
      <c r="A51" s="23" t="s">
        <v>6758</v>
      </c>
      <c r="B51" s="23" t="s">
        <v>6759</v>
      </c>
      <c r="C51" s="23" t="s">
        <v>7697</v>
      </c>
      <c r="D51" s="23" t="s">
        <v>7747</v>
      </c>
      <c r="E51" s="23">
        <v>8</v>
      </c>
      <c r="F51" s="23" t="s">
        <v>7748</v>
      </c>
      <c r="G51" s="23" t="s">
        <v>2625</v>
      </c>
      <c r="H51" s="23" t="s">
        <v>7749</v>
      </c>
    </row>
    <row r="52" spans="1:8" ht="15" customHeight="1">
      <c r="A52" s="23"/>
      <c r="B52" s="23"/>
      <c r="C52" s="23"/>
      <c r="D52" s="23"/>
      <c r="E52" s="23"/>
      <c r="F52" s="23"/>
      <c r="G52" s="23"/>
      <c r="H52" s="23"/>
    </row>
    <row r="53" spans="1:8" ht="15" customHeight="1">
      <c r="A53" s="307" t="s">
        <v>7750</v>
      </c>
      <c r="B53" s="308"/>
      <c r="C53" s="308"/>
      <c r="D53" s="308"/>
      <c r="E53" s="308"/>
      <c r="F53" s="308"/>
      <c r="G53" s="308"/>
      <c r="H53" s="308"/>
    </row>
    <row r="54" spans="1:8" ht="15" customHeight="1">
      <c r="A54" s="309" t="s">
        <v>6620</v>
      </c>
      <c r="B54" s="309" t="s">
        <v>469</v>
      </c>
      <c r="C54" s="309" t="s">
        <v>14</v>
      </c>
      <c r="D54" s="309" t="s">
        <v>7696</v>
      </c>
      <c r="E54" s="309" t="s">
        <v>6621</v>
      </c>
      <c r="F54" s="309" t="s">
        <v>7567</v>
      </c>
      <c r="G54" s="309" t="s">
        <v>7547</v>
      </c>
      <c r="H54" s="309" t="s">
        <v>1864</v>
      </c>
    </row>
    <row r="55" spans="1:8" ht="27.75" customHeight="1">
      <c r="A55" s="23" t="s">
        <v>812</v>
      </c>
      <c r="B55" s="23" t="s">
        <v>6669</v>
      </c>
      <c r="C55" s="23" t="s">
        <v>7697</v>
      </c>
      <c r="D55" s="23" t="s">
        <v>7747</v>
      </c>
      <c r="E55" s="23">
        <v>25</v>
      </c>
      <c r="F55" s="23" t="s">
        <v>6866</v>
      </c>
      <c r="G55" s="23" t="s">
        <v>6868</v>
      </c>
      <c r="H55" s="23" t="s">
        <v>7751</v>
      </c>
    </row>
    <row r="56" spans="1:8" ht="27.75" customHeight="1">
      <c r="A56" s="23" t="s">
        <v>6676</v>
      </c>
      <c r="B56" s="23" t="s">
        <v>6677</v>
      </c>
      <c r="C56" s="23" t="s">
        <v>7697</v>
      </c>
      <c r="D56" s="23" t="s">
        <v>1526</v>
      </c>
      <c r="E56" s="23">
        <v>18</v>
      </c>
      <c r="F56" s="23" t="s">
        <v>6874</v>
      </c>
      <c r="G56" s="23" t="s">
        <v>6872</v>
      </c>
      <c r="H56" s="23" t="s">
        <v>7752</v>
      </c>
    </row>
    <row r="57" spans="1:8" ht="27.75" customHeight="1">
      <c r="A57" s="23" t="s">
        <v>6716</v>
      </c>
      <c r="B57" s="23" t="s">
        <v>6717</v>
      </c>
      <c r="C57" s="23" t="s">
        <v>7697</v>
      </c>
      <c r="D57" s="23" t="s">
        <v>1526</v>
      </c>
      <c r="E57" s="23">
        <v>9</v>
      </c>
      <c r="F57" s="23" t="s">
        <v>3383</v>
      </c>
      <c r="G57" s="23" t="s">
        <v>6881</v>
      </c>
      <c r="H57" s="23" t="s">
        <v>7753</v>
      </c>
    </row>
    <row r="58" spans="1:8" ht="15" customHeight="1">
      <c r="A58" s="23" t="s">
        <v>6712</v>
      </c>
      <c r="B58" s="23" t="s">
        <v>6713</v>
      </c>
      <c r="C58" s="23" t="s">
        <v>7697</v>
      </c>
      <c r="D58" s="23" t="s">
        <v>1526</v>
      </c>
      <c r="E58" s="23">
        <v>5</v>
      </c>
      <c r="F58" s="23" t="s">
        <v>3390</v>
      </c>
      <c r="G58" s="23" t="s">
        <v>2625</v>
      </c>
      <c r="H58" s="23" t="s">
        <v>7754</v>
      </c>
    </row>
    <row r="59" spans="1:8" ht="15" customHeight="1">
      <c r="A59" s="23"/>
      <c r="B59" s="23"/>
      <c r="C59" s="23"/>
      <c r="D59" s="23"/>
      <c r="E59" s="23"/>
      <c r="F59" s="23"/>
      <c r="G59" s="23"/>
      <c r="H59" s="23"/>
    </row>
    <row r="60" spans="1:8" ht="15" customHeight="1">
      <c r="A60" s="307" t="s">
        <v>7755</v>
      </c>
      <c r="B60" s="308"/>
      <c r="C60" s="308"/>
      <c r="D60" s="308"/>
      <c r="E60" s="308"/>
      <c r="F60" s="308"/>
      <c r="G60" s="308"/>
      <c r="H60" s="308"/>
    </row>
    <row r="61" spans="1:8" ht="15" customHeight="1">
      <c r="A61" s="309" t="s">
        <v>6620</v>
      </c>
      <c r="B61" s="309" t="s">
        <v>469</v>
      </c>
      <c r="C61" s="309" t="s">
        <v>14</v>
      </c>
      <c r="D61" s="309" t="s">
        <v>7696</v>
      </c>
      <c r="E61" s="309" t="s">
        <v>6621</v>
      </c>
      <c r="F61" s="309" t="s">
        <v>7567</v>
      </c>
      <c r="G61" s="309" t="s">
        <v>7547</v>
      </c>
      <c r="H61" s="309" t="s">
        <v>1864</v>
      </c>
    </row>
    <row r="62" spans="1:8" ht="27.75" customHeight="1">
      <c r="A62" s="23" t="s">
        <v>6719</v>
      </c>
      <c r="B62" s="23" t="s">
        <v>6720</v>
      </c>
      <c r="C62" s="23" t="s">
        <v>7697</v>
      </c>
      <c r="D62" s="23" t="s">
        <v>1526</v>
      </c>
      <c r="E62" s="23">
        <v>8</v>
      </c>
      <c r="F62" s="23" t="s">
        <v>3379</v>
      </c>
      <c r="G62" s="23" t="s">
        <v>6885</v>
      </c>
      <c r="H62" s="23" t="s">
        <v>7756</v>
      </c>
    </row>
    <row r="63" spans="1:8" ht="15" customHeight="1">
      <c r="A63" s="23" t="s">
        <v>6723</v>
      </c>
      <c r="B63" s="23" t="s">
        <v>6724</v>
      </c>
      <c r="C63" s="23" t="s">
        <v>7697</v>
      </c>
      <c r="D63" s="23" t="s">
        <v>1526</v>
      </c>
      <c r="E63" s="23">
        <v>6</v>
      </c>
      <c r="F63" s="23" t="s">
        <v>3380</v>
      </c>
      <c r="G63" s="23" t="s">
        <v>6901</v>
      </c>
      <c r="H63" s="23" t="s">
        <v>7757</v>
      </c>
    </row>
    <row r="64" spans="1:8" ht="15" customHeight="1">
      <c r="A64" s="23" t="s">
        <v>6726</v>
      </c>
      <c r="B64" s="23" t="s">
        <v>6727</v>
      </c>
      <c r="C64" s="23" t="s">
        <v>7697</v>
      </c>
      <c r="D64" s="23" t="s">
        <v>1526</v>
      </c>
      <c r="E64" s="23">
        <v>6</v>
      </c>
      <c r="F64" s="23" t="s">
        <v>7758</v>
      </c>
      <c r="G64" s="23" t="s">
        <v>2625</v>
      </c>
      <c r="H64" s="23" t="s">
        <v>7759</v>
      </c>
    </row>
    <row r="65" spans="1:8" ht="27.75" customHeight="1">
      <c r="A65" s="23" t="s">
        <v>6730</v>
      </c>
      <c r="B65" s="23" t="s">
        <v>6731</v>
      </c>
      <c r="C65" s="23" t="s">
        <v>7697</v>
      </c>
      <c r="D65" s="23" t="s">
        <v>1526</v>
      </c>
      <c r="E65" s="23">
        <v>51</v>
      </c>
      <c r="F65" s="23" t="s">
        <v>3398</v>
      </c>
      <c r="G65" s="23" t="s">
        <v>2625</v>
      </c>
      <c r="H65" s="23" t="s">
        <v>7760</v>
      </c>
    </row>
    <row r="66" spans="1:8" ht="15" customHeight="1">
      <c r="A66" s="23" t="s">
        <v>6733</v>
      </c>
      <c r="B66" s="23" t="s">
        <v>6734</v>
      </c>
      <c r="C66" s="23" t="s">
        <v>7697</v>
      </c>
      <c r="D66" s="23" t="s">
        <v>1526</v>
      </c>
      <c r="E66" s="23">
        <v>7</v>
      </c>
      <c r="F66" s="23" t="s">
        <v>7761</v>
      </c>
      <c r="G66" s="23" t="s">
        <v>2625</v>
      </c>
      <c r="H66" s="23" t="s">
        <v>7762</v>
      </c>
    </row>
    <row r="67" spans="1:8" ht="15" customHeight="1">
      <c r="A67" s="23"/>
      <c r="B67" s="23"/>
      <c r="C67" s="23"/>
      <c r="D67" s="23"/>
      <c r="E67" s="23"/>
      <c r="F67" s="23"/>
      <c r="G67" s="23"/>
      <c r="H67" s="23"/>
    </row>
    <row r="68" spans="1:8" ht="15" customHeight="1">
      <c r="A68" s="307" t="s">
        <v>7763</v>
      </c>
      <c r="B68" s="308"/>
      <c r="C68" s="308"/>
      <c r="D68" s="308"/>
      <c r="E68" s="308"/>
      <c r="F68" s="308"/>
      <c r="G68" s="308"/>
      <c r="H68" s="308"/>
    </row>
    <row r="69" spans="1:8" ht="15" customHeight="1">
      <c r="A69" s="309" t="s">
        <v>6620</v>
      </c>
      <c r="B69" s="309" t="s">
        <v>469</v>
      </c>
      <c r="C69" s="309" t="s">
        <v>14</v>
      </c>
      <c r="D69" s="309" t="s">
        <v>7696</v>
      </c>
      <c r="E69" s="309" t="s">
        <v>6621</v>
      </c>
      <c r="F69" s="309" t="s">
        <v>7567</v>
      </c>
      <c r="G69" s="309" t="s">
        <v>763</v>
      </c>
      <c r="H69" s="309" t="s">
        <v>1864</v>
      </c>
    </row>
    <row r="70" spans="1:8" ht="27.75" customHeight="1">
      <c r="A70" s="23" t="s">
        <v>6708</v>
      </c>
      <c r="B70" s="23" t="s">
        <v>6709</v>
      </c>
      <c r="C70" s="23" t="s">
        <v>7697</v>
      </c>
      <c r="D70" s="23" t="s">
        <v>1526</v>
      </c>
      <c r="E70" s="23">
        <v>14</v>
      </c>
      <c r="F70" s="23" t="s">
        <v>3375</v>
      </c>
      <c r="G70" s="23" t="s">
        <v>7764</v>
      </c>
      <c r="H70" s="23" t="s">
        <v>7765</v>
      </c>
    </row>
    <row r="71" spans="1:8" ht="27.75" customHeight="1">
      <c r="A71" s="23" t="s">
        <v>6761</v>
      </c>
      <c r="B71" s="23" t="s">
        <v>6762</v>
      </c>
      <c r="C71" s="23" t="s">
        <v>7697</v>
      </c>
      <c r="D71" s="23" t="s">
        <v>1526</v>
      </c>
      <c r="E71" s="23">
        <v>4</v>
      </c>
      <c r="F71" s="23" t="s">
        <v>3395</v>
      </c>
      <c r="G71" s="23" t="s">
        <v>7766</v>
      </c>
      <c r="H71" s="23" t="s">
        <v>7767</v>
      </c>
    </row>
    <row r="72" spans="1:8" ht="27.75" customHeight="1">
      <c r="A72" s="23" t="s">
        <v>6764</v>
      </c>
      <c r="B72" s="23" t="s">
        <v>6765</v>
      </c>
      <c r="C72" s="23" t="s">
        <v>7697</v>
      </c>
      <c r="D72" s="23" t="s">
        <v>1526</v>
      </c>
      <c r="E72" s="23">
        <v>4</v>
      </c>
      <c r="F72" s="23" t="s">
        <v>3387</v>
      </c>
      <c r="G72" s="23" t="s">
        <v>7768</v>
      </c>
      <c r="H72" s="23" t="s">
        <v>7769</v>
      </c>
    </row>
    <row r="73" spans="1:8" ht="27.75" customHeight="1">
      <c r="A73" s="23" t="s">
        <v>6767</v>
      </c>
      <c r="B73" s="23" t="s">
        <v>6768</v>
      </c>
      <c r="C73" s="23" t="s">
        <v>7697</v>
      </c>
      <c r="D73" s="23" t="s">
        <v>1526</v>
      </c>
      <c r="E73" s="23">
        <v>5</v>
      </c>
      <c r="F73" s="23" t="s">
        <v>7770</v>
      </c>
      <c r="G73" s="23" t="s">
        <v>6674</v>
      </c>
      <c r="H73" s="23" t="s">
        <v>7771</v>
      </c>
    </row>
    <row r="74" spans="1:8" ht="27.75" customHeight="1">
      <c r="A74" s="23" t="s">
        <v>3366</v>
      </c>
      <c r="B74" s="23" t="s">
        <v>6795</v>
      </c>
      <c r="C74" s="23" t="s">
        <v>7697</v>
      </c>
      <c r="D74" s="23" t="s">
        <v>1526</v>
      </c>
      <c r="E74" s="23">
        <v>5</v>
      </c>
      <c r="F74" s="23" t="s">
        <v>3393</v>
      </c>
      <c r="G74" s="23" t="s">
        <v>7772</v>
      </c>
      <c r="H74" s="23" t="s">
        <v>7773</v>
      </c>
    </row>
    <row r="75" spans="1:8" ht="15" customHeight="1">
      <c r="A75" s="23"/>
      <c r="B75" s="23"/>
      <c r="C75" s="23"/>
      <c r="D75" s="23"/>
      <c r="E75" s="23"/>
      <c r="F75" s="23"/>
      <c r="G75" s="23"/>
      <c r="H75" s="23"/>
    </row>
    <row r="76" spans="1:8" ht="15" customHeight="1">
      <c r="A76" s="307" t="s">
        <v>7774</v>
      </c>
      <c r="B76" s="308"/>
      <c r="C76" s="308"/>
      <c r="D76" s="308"/>
      <c r="E76" s="308"/>
      <c r="F76" s="308"/>
      <c r="G76" s="308"/>
      <c r="H76" s="308"/>
    </row>
    <row r="77" spans="1:8" ht="15" customHeight="1">
      <c r="A77" s="309" t="s">
        <v>6620</v>
      </c>
      <c r="B77" s="309" t="s">
        <v>469</v>
      </c>
      <c r="C77" s="309" t="s">
        <v>14</v>
      </c>
      <c r="D77" s="309" t="s">
        <v>7696</v>
      </c>
      <c r="E77" s="309" t="s">
        <v>6621</v>
      </c>
      <c r="F77" s="309" t="s">
        <v>7567</v>
      </c>
      <c r="G77" s="309" t="s">
        <v>541</v>
      </c>
      <c r="H77" s="309" t="s">
        <v>1864</v>
      </c>
    </row>
    <row r="78" spans="1:8" ht="15" customHeight="1">
      <c r="A78" s="23" t="s">
        <v>6659</v>
      </c>
      <c r="B78" s="23" t="s">
        <v>6660</v>
      </c>
      <c r="C78" s="23" t="s">
        <v>7697</v>
      </c>
      <c r="D78" s="23" t="s">
        <v>1526</v>
      </c>
      <c r="E78" s="23">
        <v>3</v>
      </c>
      <c r="F78" s="23" t="s">
        <v>7775</v>
      </c>
      <c r="G78" s="23" t="s">
        <v>7723</v>
      </c>
      <c r="H78" s="23" t="s">
        <v>7776</v>
      </c>
    </row>
    <row r="79" spans="1:8" ht="15" customHeight="1">
      <c r="A79" s="23" t="s">
        <v>6663</v>
      </c>
      <c r="B79" s="23" t="s">
        <v>6664</v>
      </c>
      <c r="C79" s="23" t="s">
        <v>7697</v>
      </c>
      <c r="D79" s="23" t="s">
        <v>7648</v>
      </c>
      <c r="E79" s="23">
        <v>3</v>
      </c>
      <c r="F79" s="23" t="s">
        <v>7726</v>
      </c>
      <c r="G79" s="23" t="s">
        <v>7777</v>
      </c>
      <c r="H79" s="23" t="s">
        <v>7778</v>
      </c>
    </row>
    <row r="80" spans="1:8" ht="27.75" customHeight="1">
      <c r="A80" s="23" t="s">
        <v>6666</v>
      </c>
      <c r="B80" s="23" t="s">
        <v>6667</v>
      </c>
      <c r="C80" s="23" t="s">
        <v>7697</v>
      </c>
      <c r="D80" s="23" t="s">
        <v>7648</v>
      </c>
      <c r="E80" s="23">
        <v>3</v>
      </c>
      <c r="F80" s="23" t="s">
        <v>7726</v>
      </c>
      <c r="G80" s="23" t="s">
        <v>7779</v>
      </c>
      <c r="H80" s="23" t="s">
        <v>7780</v>
      </c>
    </row>
    <row r="81" spans="1:8" ht="15" customHeight="1">
      <c r="A81" s="23" t="s">
        <v>6736</v>
      </c>
      <c r="B81" s="23" t="s">
        <v>6737</v>
      </c>
      <c r="C81" s="23" t="s">
        <v>7697</v>
      </c>
      <c r="D81" s="23" t="s">
        <v>1526</v>
      </c>
      <c r="E81" s="23">
        <v>5</v>
      </c>
      <c r="F81" s="23" t="s">
        <v>3381</v>
      </c>
      <c r="G81" s="23" t="s">
        <v>7723</v>
      </c>
      <c r="H81" s="23" t="s">
        <v>7781</v>
      </c>
    </row>
    <row r="82" spans="1:8" ht="15" customHeight="1">
      <c r="A82" s="23"/>
      <c r="B82" s="23"/>
      <c r="C82" s="23"/>
      <c r="D82" s="23"/>
      <c r="E82" s="23"/>
      <c r="F82" s="23"/>
      <c r="G82" s="23"/>
      <c r="H82" s="23"/>
    </row>
    <row r="83" spans="1:8" ht="15" customHeight="1">
      <c r="A83" s="307" t="s">
        <v>7782</v>
      </c>
      <c r="B83" s="308"/>
      <c r="C83" s="308"/>
      <c r="D83" s="308"/>
      <c r="E83" s="308"/>
      <c r="F83" s="308"/>
      <c r="G83" s="308"/>
      <c r="H83" s="308"/>
    </row>
    <row r="84" spans="1:8" ht="15" customHeight="1">
      <c r="A84" s="309" t="s">
        <v>6620</v>
      </c>
      <c r="B84" s="309" t="s">
        <v>469</v>
      </c>
      <c r="C84" s="309" t="s">
        <v>14</v>
      </c>
      <c r="D84" s="309" t="s">
        <v>7696</v>
      </c>
      <c r="E84" s="309" t="s">
        <v>6621</v>
      </c>
      <c r="F84" s="309" t="s">
        <v>7567</v>
      </c>
      <c r="G84" s="309" t="s">
        <v>7596</v>
      </c>
      <c r="H84" s="309" t="s">
        <v>1864</v>
      </c>
    </row>
    <row r="85" spans="1:8" ht="27.75" customHeight="1">
      <c r="A85" s="23" t="s">
        <v>6780</v>
      </c>
      <c r="B85" s="23" t="s">
        <v>6781</v>
      </c>
      <c r="C85" s="23" t="s">
        <v>7697</v>
      </c>
      <c r="D85" s="23" t="s">
        <v>1526</v>
      </c>
      <c r="E85" s="23">
        <v>3</v>
      </c>
      <c r="F85" s="23" t="s">
        <v>7783</v>
      </c>
      <c r="G85" s="23" t="s">
        <v>7599</v>
      </c>
      <c r="H85" s="23" t="s">
        <v>7784</v>
      </c>
    </row>
    <row r="86" spans="1:8" ht="27.75" customHeight="1">
      <c r="A86" s="23" t="s">
        <v>6776</v>
      </c>
      <c r="B86" s="23" t="s">
        <v>6777</v>
      </c>
      <c r="C86" s="23" t="s">
        <v>7697</v>
      </c>
      <c r="D86" s="23" t="s">
        <v>1526</v>
      </c>
      <c r="E86" s="23">
        <v>6</v>
      </c>
      <c r="F86" s="23" t="s">
        <v>7785</v>
      </c>
      <c r="G86" s="23" t="s">
        <v>7786</v>
      </c>
      <c r="H86" s="23" t="s">
        <v>7787</v>
      </c>
    </row>
    <row r="87" spans="1:8" ht="27.75" customHeight="1">
      <c r="A87" s="23" t="s">
        <v>6783</v>
      </c>
      <c r="B87" s="23" t="s">
        <v>6784</v>
      </c>
      <c r="C87" s="23" t="s">
        <v>7697</v>
      </c>
      <c r="D87" s="23" t="s">
        <v>1526</v>
      </c>
      <c r="E87" s="23">
        <v>9</v>
      </c>
      <c r="F87" s="23" t="s">
        <v>7788</v>
      </c>
      <c r="G87" s="23" t="s">
        <v>7607</v>
      </c>
      <c r="H87" s="23" t="s">
        <v>7789</v>
      </c>
    </row>
    <row r="88" spans="1:8" ht="27.75" customHeight="1">
      <c r="A88" s="23" t="s">
        <v>6786</v>
      </c>
      <c r="B88" s="23" t="s">
        <v>6787</v>
      </c>
      <c r="C88" s="23" t="s">
        <v>7697</v>
      </c>
      <c r="D88" s="23" t="s">
        <v>1526</v>
      </c>
      <c r="E88" s="23">
        <v>7</v>
      </c>
      <c r="F88" s="23" t="s">
        <v>7790</v>
      </c>
      <c r="G88" s="23" t="s">
        <v>7791</v>
      </c>
      <c r="H88" s="23" t="s">
        <v>7792</v>
      </c>
    </row>
    <row r="89" spans="1:8" ht="27.75" customHeight="1">
      <c r="A89" s="23" t="s">
        <v>6789</v>
      </c>
      <c r="B89" s="23" t="s">
        <v>6790</v>
      </c>
      <c r="C89" s="23" t="s">
        <v>7697</v>
      </c>
      <c r="D89" s="23" t="s">
        <v>1526</v>
      </c>
      <c r="E89" s="23">
        <v>9</v>
      </c>
      <c r="F89" s="23" t="s">
        <v>7793</v>
      </c>
      <c r="G89" s="23" t="s">
        <v>7615</v>
      </c>
      <c r="H89" s="23" t="s">
        <v>7794</v>
      </c>
    </row>
    <row r="90" spans="1:8" ht="27.75" customHeight="1">
      <c r="A90" s="23" t="s">
        <v>6792</v>
      </c>
      <c r="B90" s="23" t="s">
        <v>6793</v>
      </c>
      <c r="C90" s="23" t="s">
        <v>7697</v>
      </c>
      <c r="D90" s="23" t="s">
        <v>7648</v>
      </c>
      <c r="E90" s="23">
        <v>7</v>
      </c>
      <c r="F90" s="23" t="s">
        <v>7726</v>
      </c>
      <c r="G90" s="23" t="s">
        <v>7795</v>
      </c>
      <c r="H90" s="23" t="s">
        <v>7796</v>
      </c>
    </row>
    <row r="91" spans="1:8" ht="15" customHeight="1">
      <c r="A91" s="23"/>
      <c r="B91" s="23"/>
      <c r="C91" s="23"/>
      <c r="D91" s="23"/>
      <c r="E91" s="23"/>
      <c r="F91" s="23"/>
      <c r="G91" s="23"/>
      <c r="H91" s="23"/>
    </row>
    <row r="92" spans="1:8" ht="15" customHeight="1">
      <c r="A92" s="307" t="s">
        <v>7797</v>
      </c>
      <c r="B92" s="308"/>
      <c r="C92" s="308"/>
      <c r="D92" s="308"/>
      <c r="E92" s="308"/>
      <c r="F92" s="308"/>
      <c r="G92" s="308"/>
      <c r="H92" s="308"/>
    </row>
    <row r="93" spans="1:8" ht="15" customHeight="1">
      <c r="A93" s="309" t="s">
        <v>6620</v>
      </c>
      <c r="B93" s="309" t="s">
        <v>469</v>
      </c>
      <c r="C93" s="309" t="s">
        <v>14</v>
      </c>
      <c r="D93" s="309" t="s">
        <v>7696</v>
      </c>
      <c r="E93" s="309" t="s">
        <v>6621</v>
      </c>
      <c r="F93" s="309" t="s">
        <v>763</v>
      </c>
      <c r="G93" s="309" t="s">
        <v>7798</v>
      </c>
      <c r="H93" s="309" t="s">
        <v>1864</v>
      </c>
    </row>
    <row r="94" spans="1:8" ht="15" customHeight="1">
      <c r="A94" s="23" t="s">
        <v>6744</v>
      </c>
      <c r="B94" s="23" t="s">
        <v>6745</v>
      </c>
      <c r="C94" s="23" t="s">
        <v>7697</v>
      </c>
      <c r="D94" s="23" t="s">
        <v>7799</v>
      </c>
      <c r="E94" s="23">
        <v>2</v>
      </c>
      <c r="F94" s="23" t="s">
        <v>7800</v>
      </c>
      <c r="G94" s="23" t="s">
        <v>7801</v>
      </c>
      <c r="H94" s="23" t="s">
        <v>7802</v>
      </c>
    </row>
    <row r="95" spans="1:8" ht="15" customHeight="1">
      <c r="A95" s="23" t="s">
        <v>6748</v>
      </c>
      <c r="B95" s="23" t="s">
        <v>6749</v>
      </c>
      <c r="C95" s="23" t="s">
        <v>7697</v>
      </c>
      <c r="D95" s="23" t="s">
        <v>7799</v>
      </c>
      <c r="E95" s="23">
        <v>3</v>
      </c>
      <c r="F95" s="23" t="s">
        <v>7803</v>
      </c>
      <c r="G95" s="23" t="s">
        <v>7801</v>
      </c>
      <c r="H95" s="23" t="s">
        <v>7804</v>
      </c>
    </row>
    <row r="96" spans="1:8" ht="15" customHeight="1">
      <c r="A96" s="23" t="s">
        <v>6751</v>
      </c>
      <c r="B96" s="23" t="s">
        <v>6752</v>
      </c>
      <c r="C96" s="23" t="s">
        <v>7697</v>
      </c>
      <c r="D96" s="23" t="s">
        <v>7799</v>
      </c>
      <c r="E96" s="23">
        <v>2</v>
      </c>
      <c r="F96" s="23" t="s">
        <v>7805</v>
      </c>
      <c r="G96" s="23" t="s">
        <v>7801</v>
      </c>
      <c r="H96" s="23" t="s">
        <v>7806</v>
      </c>
    </row>
    <row r="97" spans="1:8" ht="15" customHeight="1">
      <c r="A97" s="23"/>
      <c r="B97" s="23"/>
      <c r="C97" s="23"/>
      <c r="D97" s="23"/>
      <c r="E97" s="23"/>
      <c r="F97" s="23"/>
      <c r="G97" s="23"/>
      <c r="H97" s="23"/>
    </row>
    <row r="98" spans="1:8" ht="15" customHeight="1">
      <c r="A98" s="315" t="s">
        <v>7807</v>
      </c>
      <c r="B98" s="316"/>
      <c r="C98" s="316"/>
      <c r="D98" s="316"/>
      <c r="E98" s="316"/>
      <c r="F98" s="316"/>
      <c r="G98" s="316"/>
      <c r="H98" s="316"/>
    </row>
    <row r="99" spans="1:8" ht="15" customHeight="1">
      <c r="A99" s="309" t="s">
        <v>6620</v>
      </c>
      <c r="B99" s="309" t="s">
        <v>469</v>
      </c>
      <c r="C99" s="309" t="s">
        <v>14</v>
      </c>
      <c r="D99" s="309" t="s">
        <v>188</v>
      </c>
      <c r="E99" s="309" t="s">
        <v>6621</v>
      </c>
      <c r="F99" s="309" t="s">
        <v>7808</v>
      </c>
      <c r="G99" s="309" t="s">
        <v>7809</v>
      </c>
      <c r="H99" s="309" t="s">
        <v>7810</v>
      </c>
    </row>
    <row r="100" spans="1:8" ht="15" customHeight="1">
      <c r="A100" s="317" t="s">
        <v>6797</v>
      </c>
      <c r="B100" s="317" t="s">
        <v>6798</v>
      </c>
      <c r="C100" s="318" t="s">
        <v>7811</v>
      </c>
      <c r="D100" s="23" t="s">
        <v>314</v>
      </c>
      <c r="E100" s="23">
        <v>3</v>
      </c>
      <c r="F100" s="23" t="s">
        <v>2625</v>
      </c>
      <c r="G100" s="23" t="s">
        <v>1734</v>
      </c>
      <c r="H100" s="23" t="s">
        <v>7812</v>
      </c>
    </row>
    <row r="101" spans="1:8" ht="15" customHeight="1">
      <c r="A101" s="317" t="s">
        <v>6801</v>
      </c>
      <c r="B101" s="317" t="s">
        <v>6802</v>
      </c>
      <c r="C101" s="318" t="s">
        <v>7813</v>
      </c>
      <c r="D101" s="23" t="s">
        <v>6742</v>
      </c>
      <c r="E101" s="23">
        <v>15</v>
      </c>
      <c r="F101" s="23" t="s">
        <v>4510</v>
      </c>
      <c r="G101" s="23" t="s">
        <v>7814</v>
      </c>
      <c r="H101" s="23" t="s">
        <v>7815</v>
      </c>
    </row>
    <row r="102" spans="1:8" ht="15" customHeight="1">
      <c r="A102" s="317" t="s">
        <v>6805</v>
      </c>
      <c r="B102" s="317" t="s">
        <v>6806</v>
      </c>
      <c r="C102" s="318" t="s">
        <v>7813</v>
      </c>
      <c r="D102" s="23" t="s">
        <v>6807</v>
      </c>
      <c r="E102" s="23">
        <v>2</v>
      </c>
      <c r="F102" s="23" t="s">
        <v>4510</v>
      </c>
      <c r="G102" s="23" t="s">
        <v>2625</v>
      </c>
      <c r="H102" s="23" t="s">
        <v>7816</v>
      </c>
    </row>
    <row r="103" spans="1:8" ht="15" customHeight="1">
      <c r="A103" s="317" t="s">
        <v>6809</v>
      </c>
      <c r="B103" s="317" t="s">
        <v>6810</v>
      </c>
      <c r="C103" s="318" t="s">
        <v>7813</v>
      </c>
      <c r="D103" s="23" t="s">
        <v>6742</v>
      </c>
      <c r="E103" s="23">
        <v>12</v>
      </c>
      <c r="F103" s="23" t="s">
        <v>4510</v>
      </c>
      <c r="G103" s="23" t="s">
        <v>7814</v>
      </c>
      <c r="H103" s="23" t="s">
        <v>7817</v>
      </c>
    </row>
    <row r="104" spans="1:8" ht="15" customHeight="1">
      <c r="A104" s="317" t="s">
        <v>6812</v>
      </c>
      <c r="B104" s="317" t="s">
        <v>6813</v>
      </c>
      <c r="C104" s="318" t="s">
        <v>7813</v>
      </c>
      <c r="D104" s="23" t="s">
        <v>314</v>
      </c>
      <c r="E104" s="23">
        <v>2</v>
      </c>
      <c r="F104" s="23" t="s">
        <v>4510</v>
      </c>
      <c r="G104" s="23" t="s">
        <v>7818</v>
      </c>
      <c r="H104" s="23" t="s">
        <v>7819</v>
      </c>
    </row>
    <row r="105" spans="1:8" ht="15" customHeight="1">
      <c r="A105" s="317" t="s">
        <v>6815</v>
      </c>
      <c r="B105" s="317" t="s">
        <v>6816</v>
      </c>
      <c r="C105" s="318" t="s">
        <v>7813</v>
      </c>
      <c r="D105" s="23" t="s">
        <v>314</v>
      </c>
      <c r="E105" s="23">
        <v>3</v>
      </c>
      <c r="F105" s="23" t="s">
        <v>4510</v>
      </c>
      <c r="G105" s="23" t="s">
        <v>7820</v>
      </c>
      <c r="H105" s="23" t="s">
        <v>7821</v>
      </c>
    </row>
    <row r="106" spans="1:8" ht="15" customHeight="1">
      <c r="A106" s="317" t="s">
        <v>6818</v>
      </c>
      <c r="B106" s="317" t="s">
        <v>6819</v>
      </c>
      <c r="C106" s="318" t="s">
        <v>7813</v>
      </c>
      <c r="D106" s="23" t="s">
        <v>6820</v>
      </c>
      <c r="E106" s="23">
        <v>3</v>
      </c>
      <c r="F106" s="23" t="s">
        <v>4510</v>
      </c>
      <c r="G106" s="23" t="s">
        <v>2440</v>
      </c>
      <c r="H106" s="23" t="s">
        <v>7822</v>
      </c>
    </row>
    <row r="107" spans="1:8" ht="15" customHeight="1">
      <c r="A107" s="317" t="s">
        <v>6822</v>
      </c>
      <c r="B107" s="317" t="s">
        <v>6823</v>
      </c>
      <c r="C107" s="318" t="s">
        <v>7813</v>
      </c>
      <c r="D107" s="23" t="s">
        <v>314</v>
      </c>
      <c r="E107" s="23">
        <v>3</v>
      </c>
      <c r="F107" s="23" t="s">
        <v>4510</v>
      </c>
      <c r="G107" s="23" t="s">
        <v>1734</v>
      </c>
      <c r="H107" s="23" t="s">
        <v>7823</v>
      </c>
    </row>
    <row r="108" spans="1:8" ht="15" customHeight="1">
      <c r="A108" s="317" t="s">
        <v>6825</v>
      </c>
      <c r="B108" s="317" t="s">
        <v>6826</v>
      </c>
      <c r="C108" s="318" t="s">
        <v>7813</v>
      </c>
      <c r="D108" s="23" t="s">
        <v>314</v>
      </c>
      <c r="E108" s="23">
        <v>3</v>
      </c>
      <c r="F108" s="23" t="s">
        <v>4510</v>
      </c>
      <c r="G108" s="23" t="s">
        <v>1734</v>
      </c>
      <c r="H108" s="23" t="s">
        <v>7824</v>
      </c>
    </row>
    <row r="109" spans="1:8" ht="15" customHeight="1">
      <c r="A109" s="317" t="s">
        <v>6828</v>
      </c>
      <c r="B109" s="317" t="s">
        <v>6829</v>
      </c>
      <c r="C109" s="318" t="s">
        <v>7813</v>
      </c>
      <c r="D109" s="23" t="s">
        <v>6728</v>
      </c>
      <c r="E109" s="23">
        <v>7</v>
      </c>
      <c r="F109" s="23" t="s">
        <v>4510</v>
      </c>
      <c r="G109" s="23" t="s">
        <v>7825</v>
      </c>
      <c r="H109" s="23" t="s">
        <v>7826</v>
      </c>
    </row>
    <row r="110" spans="1:8" ht="15" customHeight="1">
      <c r="A110" s="317" t="s">
        <v>6831</v>
      </c>
      <c r="B110" s="317" t="s">
        <v>6832</v>
      </c>
      <c r="C110" s="318" t="s">
        <v>7813</v>
      </c>
      <c r="D110" s="23" t="s">
        <v>6820</v>
      </c>
      <c r="E110" s="23">
        <v>5</v>
      </c>
      <c r="F110" s="23" t="s">
        <v>4510</v>
      </c>
      <c r="G110" s="23" t="s">
        <v>7827</v>
      </c>
      <c r="H110" s="23" t="s">
        <v>7828</v>
      </c>
    </row>
    <row r="111" spans="1:8" ht="15" customHeight="1">
      <c r="A111" s="317" t="s">
        <v>6834</v>
      </c>
      <c r="B111" s="317" t="s">
        <v>6835</v>
      </c>
      <c r="C111" s="318" t="s">
        <v>7813</v>
      </c>
      <c r="D111" s="23" t="s">
        <v>314</v>
      </c>
      <c r="E111" s="23">
        <v>3</v>
      </c>
      <c r="F111" s="23" t="s">
        <v>4510</v>
      </c>
      <c r="G111" s="23" t="s">
        <v>1734</v>
      </c>
      <c r="H111" s="23" t="s">
        <v>7829</v>
      </c>
    </row>
    <row r="112" spans="1:8" ht="15" customHeight="1">
      <c r="A112" s="317" t="s">
        <v>6837</v>
      </c>
      <c r="B112" s="317" t="s">
        <v>6838</v>
      </c>
      <c r="C112" s="318" t="s">
        <v>7813</v>
      </c>
      <c r="D112" s="23" t="s">
        <v>314</v>
      </c>
      <c r="E112" s="23">
        <v>6</v>
      </c>
      <c r="F112" s="23" t="s">
        <v>4510</v>
      </c>
      <c r="G112" s="23" t="s">
        <v>1734</v>
      </c>
      <c r="H112" s="23" t="s">
        <v>7830</v>
      </c>
    </row>
    <row r="113" spans="1:8" ht="15" customHeight="1">
      <c r="A113" s="23"/>
      <c r="B113" s="23"/>
      <c r="C113" s="23"/>
      <c r="D113" s="23"/>
      <c r="E113" s="23"/>
      <c r="F113" s="23"/>
      <c r="G113" s="23"/>
      <c r="H113" s="23"/>
    </row>
    <row r="114" spans="1:8" ht="15" customHeight="1">
      <c r="A114" s="310" t="s">
        <v>7831</v>
      </c>
      <c r="B114" s="305"/>
      <c r="C114" s="305"/>
      <c r="D114" s="305"/>
      <c r="E114" s="305"/>
      <c r="F114" s="305"/>
      <c r="G114" s="305"/>
      <c r="H114" s="305"/>
    </row>
    <row r="115" spans="1:8" ht="15" customHeight="1">
      <c r="A115" s="319" t="s">
        <v>188</v>
      </c>
      <c r="B115" s="319" t="s">
        <v>7832</v>
      </c>
      <c r="C115" s="320" t="s">
        <v>7833</v>
      </c>
      <c r="D115" s="309" t="s">
        <v>7834</v>
      </c>
      <c r="E115" s="23"/>
      <c r="F115" s="23"/>
      <c r="G115" s="23"/>
      <c r="H115" s="23"/>
    </row>
    <row r="116" spans="1:8" ht="15" customHeight="1">
      <c r="A116" s="23" t="s">
        <v>6623</v>
      </c>
      <c r="B116" s="23">
        <v>2</v>
      </c>
      <c r="C116" s="23">
        <v>32</v>
      </c>
      <c r="D116" s="23" t="s">
        <v>7835</v>
      </c>
      <c r="E116" s="23"/>
      <c r="F116" s="23"/>
      <c r="G116" s="23"/>
      <c r="H116" s="23"/>
    </row>
    <row r="117" spans="1:8" ht="15" customHeight="1">
      <c r="A117" s="23" t="s">
        <v>3692</v>
      </c>
      <c r="B117" s="23">
        <v>9</v>
      </c>
      <c r="C117" s="23" t="s">
        <v>3276</v>
      </c>
      <c r="D117" s="23" t="s">
        <v>7836</v>
      </c>
      <c r="E117" s="23"/>
      <c r="F117" s="23"/>
      <c r="G117" s="23"/>
      <c r="H117" s="23"/>
    </row>
    <row r="118" spans="1:8" ht="15" customHeight="1">
      <c r="A118" s="23" t="s">
        <v>7837</v>
      </c>
      <c r="B118" s="23">
        <v>8</v>
      </c>
      <c r="C118" s="23" t="s">
        <v>7838</v>
      </c>
      <c r="D118" s="23" t="s">
        <v>7839</v>
      </c>
      <c r="E118" s="23"/>
      <c r="F118" s="23"/>
      <c r="G118" s="23"/>
      <c r="H118" s="23"/>
    </row>
    <row r="119" spans="1:8" ht="15" customHeight="1">
      <c r="A119" s="23" t="s">
        <v>7840</v>
      </c>
      <c r="B119" s="23">
        <v>7</v>
      </c>
      <c r="C119" s="23" t="s">
        <v>7841</v>
      </c>
      <c r="D119" s="23" t="s">
        <v>7842</v>
      </c>
      <c r="E119" s="23"/>
      <c r="F119" s="23"/>
      <c r="G119" s="23"/>
      <c r="H119" s="23"/>
    </row>
    <row r="120" spans="1:8" ht="15" customHeight="1">
      <c r="A120" s="23" t="s">
        <v>7843</v>
      </c>
      <c r="B120" s="23">
        <v>4</v>
      </c>
      <c r="C120" s="23" t="s">
        <v>7844</v>
      </c>
      <c r="D120" s="23" t="s">
        <v>7845</v>
      </c>
      <c r="E120" s="23"/>
      <c r="F120" s="23"/>
      <c r="G120" s="23"/>
      <c r="H120" s="23"/>
    </row>
    <row r="121" spans="1:8" ht="15" customHeight="1">
      <c r="A121" s="23" t="s">
        <v>7846</v>
      </c>
      <c r="B121" s="23">
        <v>5</v>
      </c>
      <c r="C121" s="23" t="s">
        <v>7847</v>
      </c>
      <c r="D121" s="23" t="s">
        <v>7848</v>
      </c>
      <c r="E121" s="23"/>
      <c r="F121" s="23"/>
      <c r="G121" s="23"/>
      <c r="H121" s="23"/>
    </row>
    <row r="122" spans="1:8" ht="15" customHeight="1">
      <c r="A122" s="23" t="s">
        <v>7849</v>
      </c>
      <c r="B122" s="23">
        <v>5</v>
      </c>
      <c r="C122" s="23" t="s">
        <v>7850</v>
      </c>
      <c r="D122" s="23" t="s">
        <v>7851</v>
      </c>
      <c r="E122" s="23"/>
      <c r="F122" s="23"/>
      <c r="G122" s="23"/>
      <c r="H122" s="23"/>
    </row>
    <row r="123" spans="1:8" ht="15" customHeight="1">
      <c r="A123" s="23" t="s">
        <v>7852</v>
      </c>
      <c r="B123" s="23">
        <v>4</v>
      </c>
      <c r="C123" s="23" t="s">
        <v>7853</v>
      </c>
      <c r="D123" s="23" t="s">
        <v>7854</v>
      </c>
      <c r="E123" s="23"/>
      <c r="F123" s="23"/>
      <c r="G123" s="23"/>
      <c r="H123" s="23"/>
    </row>
    <row r="124" spans="1:8" ht="15" customHeight="1">
      <c r="A124" s="23" t="s">
        <v>7855</v>
      </c>
      <c r="B124" s="23">
        <v>6</v>
      </c>
      <c r="C124" s="23" t="s">
        <v>7856</v>
      </c>
      <c r="D124" s="23" t="s">
        <v>7857</v>
      </c>
      <c r="E124" s="23"/>
      <c r="F124" s="23"/>
      <c r="G124" s="23"/>
      <c r="H124" s="23"/>
    </row>
    <row r="125" spans="1:8" ht="15" customHeight="1">
      <c r="A125" s="23" t="s">
        <v>7858</v>
      </c>
      <c r="B125" s="23">
        <v>3</v>
      </c>
      <c r="C125" s="23" t="s">
        <v>7859</v>
      </c>
      <c r="D125" s="23" t="s">
        <v>7800</v>
      </c>
      <c r="E125" s="23"/>
      <c r="F125" s="23"/>
      <c r="G125" s="23"/>
      <c r="H125" s="23"/>
    </row>
    <row r="126" spans="1:8" ht="15" customHeight="1">
      <c r="A126" s="321" t="s">
        <v>7860</v>
      </c>
      <c r="B126" s="321">
        <v>54</v>
      </c>
      <c r="C126" s="321" t="s">
        <v>7861</v>
      </c>
      <c r="D126" s="321" t="s">
        <v>7862</v>
      </c>
      <c r="E126" s="23"/>
      <c r="F126" s="23"/>
      <c r="G126" s="23"/>
      <c r="H126" s="23"/>
    </row>
    <row r="128" spans="1:8" ht="15" customHeight="1">
      <c r="A128" s="17" t="s">
        <v>7863</v>
      </c>
      <c r="B128" s="312"/>
      <c r="C128" s="312"/>
      <c r="D128" s="312"/>
      <c r="E128" s="312"/>
      <c r="F128" s="312"/>
      <c r="G128" s="312"/>
      <c r="H128" s="312"/>
    </row>
    <row r="129" spans="1:8" ht="23.25" customHeight="1">
      <c r="A129" s="7" t="s">
        <v>2045</v>
      </c>
      <c r="B129" s="7" t="s">
        <v>7864</v>
      </c>
      <c r="C129" s="7" t="s">
        <v>4493</v>
      </c>
      <c r="D129" s="7" t="s">
        <v>7865</v>
      </c>
      <c r="E129" s="7"/>
      <c r="F129" s="7" t="s">
        <v>7866</v>
      </c>
    </row>
    <row r="130" spans="1:8" ht="34.5" customHeight="1">
      <c r="A130" s="7" t="s">
        <v>7867</v>
      </c>
      <c r="B130" s="7" t="s">
        <v>7868</v>
      </c>
      <c r="C130" s="7" t="s">
        <v>4493</v>
      </c>
      <c r="D130" s="7" t="s">
        <v>7869</v>
      </c>
      <c r="E130" s="7"/>
      <c r="F130" s="7" t="s">
        <v>7870</v>
      </c>
    </row>
    <row r="131" spans="1:8" ht="23.25" customHeight="1">
      <c r="A131" s="130" t="s">
        <v>7871</v>
      </c>
      <c r="B131" s="130" t="s">
        <v>7872</v>
      </c>
      <c r="C131" s="130" t="s">
        <v>4493</v>
      </c>
      <c r="D131" s="130" t="s">
        <v>1280</v>
      </c>
      <c r="E131" s="130"/>
      <c r="F131" s="130" t="s">
        <v>7873</v>
      </c>
    </row>
    <row r="133" spans="1:8" ht="15" customHeight="1">
      <c r="A133" s="17" t="s">
        <v>7874</v>
      </c>
      <c r="B133" s="135"/>
      <c r="C133" s="135"/>
      <c r="D133" s="135"/>
      <c r="E133" s="135"/>
      <c r="F133" s="135"/>
      <c r="G133" s="135"/>
      <c r="H133" s="135"/>
    </row>
    <row r="134" spans="1:8" ht="15" customHeight="1">
      <c r="A134" s="6" t="s">
        <v>6776</v>
      </c>
      <c r="B134" s="7" t="s">
        <v>6777</v>
      </c>
      <c r="C134" s="6" t="s">
        <v>4493</v>
      </c>
      <c r="D134" s="7" t="s">
        <v>7875</v>
      </c>
      <c r="F134" s="7" t="s">
        <v>7876</v>
      </c>
    </row>
    <row r="135" spans="1:8" ht="15" customHeight="1">
      <c r="A135" s="8" t="s">
        <v>6780</v>
      </c>
      <c r="B135" s="9" t="s">
        <v>6781</v>
      </c>
      <c r="C135" s="8" t="s">
        <v>4493</v>
      </c>
      <c r="D135" s="9" t="s">
        <v>7875</v>
      </c>
      <c r="F135" s="9" t="s">
        <v>3985</v>
      </c>
    </row>
    <row r="136" spans="1:8" ht="15" customHeight="1">
      <c r="A136" s="6" t="s">
        <v>6786</v>
      </c>
      <c r="B136" s="7" t="s">
        <v>6787</v>
      </c>
      <c r="C136" s="6" t="s">
        <v>4493</v>
      </c>
      <c r="D136" s="7" t="s">
        <v>1280</v>
      </c>
      <c r="F136" s="7" t="s">
        <v>7877</v>
      </c>
    </row>
    <row r="137" spans="1:8" ht="15" customHeight="1">
      <c r="A137" s="8" t="s">
        <v>6783</v>
      </c>
      <c r="B137" s="9" t="s">
        <v>6784</v>
      </c>
      <c r="C137" s="8" t="s">
        <v>4493</v>
      </c>
      <c r="D137" s="9" t="s">
        <v>1280</v>
      </c>
      <c r="F137" s="9" t="s">
        <v>7878</v>
      </c>
    </row>
    <row r="138" spans="1:8" ht="15" customHeight="1">
      <c r="A138" s="6" t="s">
        <v>6789</v>
      </c>
      <c r="B138" s="7" t="s">
        <v>6790</v>
      </c>
      <c r="C138" s="6" t="s">
        <v>4493</v>
      </c>
      <c r="D138" s="7" t="s">
        <v>1280</v>
      </c>
      <c r="F138" s="7" t="s">
        <v>7879</v>
      </c>
    </row>
    <row r="139" spans="1:8" ht="15" customHeight="1">
      <c r="A139" s="8" t="s">
        <v>6792</v>
      </c>
      <c r="B139" s="9" t="s">
        <v>7872</v>
      </c>
      <c r="C139" s="8" t="s">
        <v>4493</v>
      </c>
      <c r="D139" s="9" t="s">
        <v>1280</v>
      </c>
      <c r="F139" s="9" t="s">
        <v>7880</v>
      </c>
    </row>
    <row r="140" spans="1:8" ht="15" customHeight="1">
      <c r="A140" s="6" t="s">
        <v>7881</v>
      </c>
      <c r="B140" s="7" t="s">
        <v>7882</v>
      </c>
      <c r="C140" s="6" t="s">
        <v>4493</v>
      </c>
      <c r="D140" s="7" t="s">
        <v>1280</v>
      </c>
      <c r="F140" s="7" t="s">
        <v>7883</v>
      </c>
    </row>
    <row r="141" spans="1:8" ht="15" customHeight="1">
      <c r="A141" s="8" t="s">
        <v>7884</v>
      </c>
      <c r="B141" s="9" t="s">
        <v>7885</v>
      </c>
      <c r="C141" s="8" t="s">
        <v>4493</v>
      </c>
      <c r="D141" s="9" t="s">
        <v>1280</v>
      </c>
      <c r="F141" s="9" t="s">
        <v>7886</v>
      </c>
    </row>
    <row r="142" spans="1:8" ht="15" customHeight="1">
      <c r="A142" s="6" t="s">
        <v>5490</v>
      </c>
      <c r="B142" s="7" t="s">
        <v>6737</v>
      </c>
      <c r="C142" s="6" t="s">
        <v>4493</v>
      </c>
      <c r="D142" s="7" t="s">
        <v>1280</v>
      </c>
      <c r="F142" s="7" t="s">
        <v>7887</v>
      </c>
    </row>
    <row r="143" spans="1:8">
      <c r="A143" s="333" t="s">
        <v>7888</v>
      </c>
      <c r="B143" s="333" t="s">
        <v>7889</v>
      </c>
      <c r="C143" s="333" t="s">
        <v>3289</v>
      </c>
      <c r="D143" s="333" t="s">
        <v>7890</v>
      </c>
      <c r="E143" s="333" t="s">
        <v>472</v>
      </c>
      <c r="F143" s="333" t="s">
        <v>3671</v>
      </c>
    </row>
    <row r="144" spans="1:8">
      <c r="A144" s="333" t="s">
        <v>2039</v>
      </c>
      <c r="B144" s="333" t="s">
        <v>7891</v>
      </c>
      <c r="C144" s="333" t="s">
        <v>7892</v>
      </c>
      <c r="D144" s="333" t="s">
        <v>7893</v>
      </c>
      <c r="E144" s="333" t="s">
        <v>472</v>
      </c>
      <c r="F144" s="333" t="s">
        <v>3671</v>
      </c>
    </row>
  </sheetData>
  <pageMargins left="0.7" right="0.7" top="0.75" bottom="0.75" header="0.511811023622047" footer="0.511811023622047"/>
  <pageSetup paperSize="9" orientation="portrait" horizontalDpi="300" verticalDpi="30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F46"/>
  <sheetViews>
    <sheetView zoomScaleNormal="100" workbookViewId="0"/>
  </sheetViews>
  <sheetFormatPr defaultColWidth="8.5703125" defaultRowHeight="15"/>
  <cols>
    <col min="1" max="1" width="43.42578125" customWidth="1"/>
    <col min="2" max="2" width="12" customWidth="1"/>
    <col min="3" max="3" width="65" customWidth="1"/>
    <col min="4" max="4" width="12" customWidth="1"/>
    <col min="5" max="5" width="13.42578125" customWidth="1"/>
    <col min="6" max="6" width="29.5703125" customWidth="1"/>
  </cols>
  <sheetData>
    <row r="1" spans="1:6" ht="15" customHeight="1">
      <c r="A1" s="322" t="s">
        <v>2542</v>
      </c>
      <c r="B1" s="322" t="s">
        <v>259</v>
      </c>
      <c r="C1" s="322" t="s">
        <v>2543</v>
      </c>
      <c r="D1" s="322" t="s">
        <v>311</v>
      </c>
      <c r="E1" s="322" t="s">
        <v>2364</v>
      </c>
      <c r="F1" s="322" t="s">
        <v>14</v>
      </c>
    </row>
    <row r="2" spans="1:6" ht="15" customHeight="1">
      <c r="A2" s="23">
        <v>8</v>
      </c>
      <c r="B2" s="23" t="s">
        <v>7894</v>
      </c>
      <c r="C2" s="23" t="s">
        <v>7895</v>
      </c>
      <c r="D2" s="23">
        <v>1462</v>
      </c>
      <c r="E2" s="23" t="s">
        <v>7896</v>
      </c>
      <c r="F2" s="23" t="s">
        <v>2094</v>
      </c>
    </row>
    <row r="3" spans="1:6" ht="15" customHeight="1">
      <c r="A3" s="23">
        <v>9</v>
      </c>
      <c r="B3" s="23" t="s">
        <v>7897</v>
      </c>
      <c r="C3" s="23" t="s">
        <v>7898</v>
      </c>
      <c r="D3" s="23">
        <v>1474</v>
      </c>
      <c r="E3" s="23" t="s">
        <v>7899</v>
      </c>
      <c r="F3" s="23" t="s">
        <v>7900</v>
      </c>
    </row>
    <row r="4" spans="1:6" ht="15" customHeight="1">
      <c r="A4" s="23" t="s">
        <v>2277</v>
      </c>
      <c r="B4" s="23" t="s">
        <v>7901</v>
      </c>
      <c r="C4" s="23" t="s">
        <v>7902</v>
      </c>
      <c r="D4" s="23">
        <v>1462</v>
      </c>
      <c r="E4" s="23" t="s">
        <v>7903</v>
      </c>
      <c r="F4" s="23" t="s">
        <v>7904</v>
      </c>
    </row>
    <row r="5" spans="1:6" ht="15" customHeight="1">
      <c r="A5" s="23">
        <v>10</v>
      </c>
      <c r="B5" s="23" t="s">
        <v>7905</v>
      </c>
      <c r="C5" s="23" t="s">
        <v>7906</v>
      </c>
      <c r="D5" s="23">
        <v>1468</v>
      </c>
      <c r="E5" s="23" t="s">
        <v>7907</v>
      </c>
      <c r="F5" s="23" t="s">
        <v>2094</v>
      </c>
    </row>
    <row r="6" spans="1:6" ht="27.75" customHeight="1">
      <c r="A6" s="23">
        <v>11</v>
      </c>
      <c r="B6" s="23" t="s">
        <v>7908</v>
      </c>
      <c r="C6" s="23" t="s">
        <v>7909</v>
      </c>
      <c r="D6" s="23">
        <v>1477</v>
      </c>
      <c r="E6" s="23" t="s">
        <v>7910</v>
      </c>
      <c r="F6" s="23" t="s">
        <v>2094</v>
      </c>
    </row>
    <row r="7" spans="1:6" ht="27.75" customHeight="1">
      <c r="A7" s="23">
        <v>12</v>
      </c>
      <c r="B7" s="23" t="s">
        <v>7911</v>
      </c>
      <c r="C7" s="23" t="s">
        <v>7912</v>
      </c>
      <c r="D7" s="23">
        <v>1470</v>
      </c>
      <c r="E7" s="23" t="s">
        <v>7913</v>
      </c>
      <c r="F7" s="23" t="s">
        <v>2094</v>
      </c>
    </row>
    <row r="8" spans="1:6" ht="27.75" customHeight="1">
      <c r="A8" s="23">
        <v>13</v>
      </c>
      <c r="B8" s="23" t="s">
        <v>7914</v>
      </c>
      <c r="C8" s="23" t="s">
        <v>7915</v>
      </c>
      <c r="D8" s="23">
        <v>1486</v>
      </c>
      <c r="E8" s="23" t="s">
        <v>7916</v>
      </c>
      <c r="F8" s="23" t="s">
        <v>2094</v>
      </c>
    </row>
    <row r="9" spans="1:6" ht="15" customHeight="1">
      <c r="A9" s="23">
        <v>13</v>
      </c>
      <c r="B9" s="23" t="s">
        <v>7914</v>
      </c>
      <c r="C9" s="23" t="s">
        <v>7917</v>
      </c>
      <c r="D9" s="23">
        <v>1486</v>
      </c>
      <c r="E9" s="23" t="s">
        <v>7916</v>
      </c>
      <c r="F9" s="23" t="s">
        <v>2094</v>
      </c>
    </row>
    <row r="10" spans="1:6" ht="15" customHeight="1">
      <c r="A10" s="23">
        <v>14</v>
      </c>
      <c r="B10" s="23" t="s">
        <v>7918</v>
      </c>
      <c r="C10" s="23" t="s">
        <v>7919</v>
      </c>
      <c r="D10" s="23">
        <v>1486</v>
      </c>
      <c r="E10" s="23" t="s">
        <v>7920</v>
      </c>
      <c r="F10" s="23" t="s">
        <v>2094</v>
      </c>
    </row>
    <row r="11" spans="1:6" ht="15" customHeight="1">
      <c r="A11" s="23">
        <v>15</v>
      </c>
      <c r="B11" s="23" t="s">
        <v>7921</v>
      </c>
      <c r="C11" s="23" t="s">
        <v>7922</v>
      </c>
      <c r="D11" s="23">
        <v>1486</v>
      </c>
      <c r="E11" s="23" t="s">
        <v>7923</v>
      </c>
      <c r="F11" s="23" t="s">
        <v>2094</v>
      </c>
    </row>
    <row r="12" spans="1:6" ht="15" customHeight="1">
      <c r="A12" s="23">
        <v>16</v>
      </c>
      <c r="B12" s="23" t="s">
        <v>7924</v>
      </c>
      <c r="C12" s="23" t="s">
        <v>7925</v>
      </c>
      <c r="D12" s="23">
        <v>1486</v>
      </c>
      <c r="E12" s="23" t="s">
        <v>7926</v>
      </c>
      <c r="F12" s="23" t="s">
        <v>2094</v>
      </c>
    </row>
    <row r="13" spans="1:6" ht="15" customHeight="1">
      <c r="A13" s="23">
        <v>17</v>
      </c>
      <c r="B13" s="23" t="s">
        <v>7927</v>
      </c>
      <c r="C13" s="23" t="s">
        <v>7928</v>
      </c>
      <c r="D13" s="23">
        <v>1488</v>
      </c>
      <c r="E13" s="23" t="s">
        <v>7929</v>
      </c>
      <c r="F13" s="23" t="s">
        <v>2094</v>
      </c>
    </row>
    <row r="14" spans="1:6" ht="15" customHeight="1">
      <c r="A14" s="23">
        <v>18</v>
      </c>
      <c r="B14" s="23" t="s">
        <v>7930</v>
      </c>
      <c r="C14" s="23" t="s">
        <v>7931</v>
      </c>
      <c r="D14" s="23">
        <v>1488</v>
      </c>
      <c r="E14" s="23" t="s">
        <v>7932</v>
      </c>
      <c r="F14" s="23" t="s">
        <v>2094</v>
      </c>
    </row>
    <row r="15" spans="1:6" ht="15" customHeight="1">
      <c r="A15" s="23">
        <v>19</v>
      </c>
      <c r="B15" s="23" t="s">
        <v>7933</v>
      </c>
      <c r="C15" s="23" t="s">
        <v>7934</v>
      </c>
      <c r="D15" s="23">
        <v>1493</v>
      </c>
      <c r="E15" s="23" t="s">
        <v>7935</v>
      </c>
      <c r="F15" s="23" t="s">
        <v>2094</v>
      </c>
    </row>
    <row r="16" spans="1:6" ht="15" customHeight="1">
      <c r="A16" s="23">
        <v>20</v>
      </c>
      <c r="B16" s="23"/>
      <c r="C16" s="23" t="s">
        <v>7936</v>
      </c>
      <c r="D16" s="23">
        <v>1493</v>
      </c>
      <c r="E16" s="23"/>
      <c r="F16" s="23" t="s">
        <v>7937</v>
      </c>
    </row>
    <row r="17" spans="1:6" ht="15" customHeight="1">
      <c r="A17" s="23">
        <v>21</v>
      </c>
      <c r="B17" s="23"/>
      <c r="C17" s="23" t="s">
        <v>7938</v>
      </c>
      <c r="D17" s="23">
        <v>1493</v>
      </c>
      <c r="E17" s="23"/>
      <c r="F17" s="23" t="s">
        <v>7937</v>
      </c>
    </row>
    <row r="18" spans="1:6" ht="15" customHeight="1">
      <c r="A18" s="23">
        <v>20</v>
      </c>
      <c r="B18" s="23" t="s">
        <v>7939</v>
      </c>
      <c r="C18" s="23" t="s">
        <v>7940</v>
      </c>
      <c r="D18" s="23">
        <v>1518</v>
      </c>
      <c r="E18" s="23" t="s">
        <v>7941</v>
      </c>
      <c r="F18" s="23" t="s">
        <v>2094</v>
      </c>
    </row>
    <row r="19" spans="1:6" ht="15" customHeight="1">
      <c r="A19" s="23">
        <v>21</v>
      </c>
      <c r="B19" s="23" t="s">
        <v>7942</v>
      </c>
      <c r="C19" s="23" t="s">
        <v>7943</v>
      </c>
      <c r="D19" s="23">
        <v>1520</v>
      </c>
      <c r="E19" s="23" t="s">
        <v>7944</v>
      </c>
      <c r="F19" s="23" t="s">
        <v>7945</v>
      </c>
    </row>
    <row r="20" spans="1:6" ht="15" customHeight="1">
      <c r="A20" s="23">
        <v>22</v>
      </c>
      <c r="B20" s="23" t="s">
        <v>7946</v>
      </c>
      <c r="C20" s="23" t="s">
        <v>7947</v>
      </c>
      <c r="D20" s="23">
        <v>1520</v>
      </c>
      <c r="E20" s="23" t="s">
        <v>7944</v>
      </c>
      <c r="F20" s="23" t="s">
        <v>2094</v>
      </c>
    </row>
    <row r="21" spans="1:6" ht="15" customHeight="1">
      <c r="A21" s="23"/>
      <c r="B21" s="23"/>
      <c r="C21" s="23"/>
      <c r="D21" s="23"/>
      <c r="E21" s="23"/>
      <c r="F21" s="23"/>
    </row>
    <row r="22" spans="1:6" ht="15" customHeight="1">
      <c r="A22" s="323" t="s">
        <v>7948</v>
      </c>
      <c r="B22" s="23"/>
      <c r="C22" s="23"/>
      <c r="D22" s="23"/>
      <c r="E22" s="23"/>
      <c r="F22" s="23"/>
    </row>
    <row r="23" spans="1:6" ht="15" customHeight="1">
      <c r="A23" s="324">
        <v>23</v>
      </c>
      <c r="B23" s="324" t="s">
        <v>7949</v>
      </c>
      <c r="C23" s="324" t="s">
        <v>7950</v>
      </c>
      <c r="D23" s="324">
        <v>1520</v>
      </c>
      <c r="E23" s="324" t="s">
        <v>7951</v>
      </c>
      <c r="F23" s="325" t="s">
        <v>2094</v>
      </c>
    </row>
    <row r="24" spans="1:6" ht="15" customHeight="1">
      <c r="A24" s="324">
        <v>24</v>
      </c>
      <c r="B24" s="324" t="s">
        <v>7952</v>
      </c>
      <c r="C24" s="324" t="s">
        <v>7953</v>
      </c>
      <c r="D24" s="324">
        <v>1628</v>
      </c>
      <c r="E24" s="324" t="s">
        <v>7954</v>
      </c>
      <c r="F24" s="325" t="s">
        <v>2094</v>
      </c>
    </row>
    <row r="25" spans="1:6" ht="15" customHeight="1">
      <c r="A25" s="324">
        <v>25</v>
      </c>
      <c r="B25" s="324" t="s">
        <v>7955</v>
      </c>
      <c r="C25" s="324" t="s">
        <v>7956</v>
      </c>
      <c r="D25" s="324">
        <v>1628</v>
      </c>
      <c r="E25" s="324" t="s">
        <v>7957</v>
      </c>
      <c r="F25" s="325" t="s">
        <v>2094</v>
      </c>
    </row>
    <row r="26" spans="1:6" ht="15" customHeight="1">
      <c r="A26" s="324">
        <v>26</v>
      </c>
      <c r="B26" s="324" t="s">
        <v>7958</v>
      </c>
      <c r="C26" s="324" t="s">
        <v>7959</v>
      </c>
      <c r="D26" s="324">
        <v>1628</v>
      </c>
      <c r="E26" s="324"/>
      <c r="F26" s="326" t="s">
        <v>3359</v>
      </c>
    </row>
    <row r="27" spans="1:6" ht="15" customHeight="1">
      <c r="A27" s="324">
        <v>27</v>
      </c>
      <c r="B27" s="324" t="s">
        <v>7960</v>
      </c>
      <c r="C27" s="324" t="s">
        <v>7961</v>
      </c>
      <c r="D27" s="324">
        <v>1568</v>
      </c>
      <c r="E27" s="324" t="s">
        <v>7962</v>
      </c>
      <c r="F27" s="325" t="s">
        <v>2094</v>
      </c>
    </row>
    <row r="28" spans="1:6" ht="15" customHeight="1">
      <c r="A28" s="324">
        <v>28</v>
      </c>
      <c r="B28" s="324" t="s">
        <v>7963</v>
      </c>
      <c r="C28" s="324" t="s">
        <v>7964</v>
      </c>
      <c r="D28" s="324">
        <v>1568</v>
      </c>
      <c r="E28" s="324" t="s">
        <v>7965</v>
      </c>
      <c r="F28" s="325" t="s">
        <v>2094</v>
      </c>
    </row>
    <row r="29" spans="1:6" ht="15" customHeight="1">
      <c r="A29" s="324">
        <v>29</v>
      </c>
      <c r="B29" s="324" t="s">
        <v>7966</v>
      </c>
      <c r="C29" s="324" t="s">
        <v>7967</v>
      </c>
      <c r="D29" s="324">
        <v>1568</v>
      </c>
      <c r="E29" s="324" t="s">
        <v>7968</v>
      </c>
      <c r="F29" s="325" t="s">
        <v>2094</v>
      </c>
    </row>
    <row r="30" spans="1:6" ht="15" customHeight="1">
      <c r="A30" s="324">
        <v>30</v>
      </c>
      <c r="B30" s="324" t="s">
        <v>7969</v>
      </c>
      <c r="C30" s="324" t="s">
        <v>7970</v>
      </c>
      <c r="D30" s="324">
        <v>1597</v>
      </c>
      <c r="E30" s="324" t="s">
        <v>7971</v>
      </c>
      <c r="F30" s="325" t="s">
        <v>2094</v>
      </c>
    </row>
    <row r="31" spans="1:6" ht="15" customHeight="1">
      <c r="A31" s="324">
        <v>31</v>
      </c>
      <c r="B31" s="324" t="s">
        <v>7972</v>
      </c>
      <c r="C31" s="324" t="s">
        <v>7973</v>
      </c>
      <c r="D31" s="324">
        <v>1597</v>
      </c>
      <c r="E31" s="324" t="s">
        <v>7974</v>
      </c>
      <c r="F31" s="325" t="s">
        <v>2094</v>
      </c>
    </row>
    <row r="32" spans="1:6" ht="15" customHeight="1">
      <c r="A32" s="324">
        <v>32</v>
      </c>
      <c r="B32" s="324" t="s">
        <v>7975</v>
      </c>
      <c r="C32" s="324" t="s">
        <v>7976</v>
      </c>
      <c r="D32" s="324">
        <v>1597</v>
      </c>
      <c r="E32" s="324" t="s">
        <v>7977</v>
      </c>
      <c r="F32" s="325" t="s">
        <v>2094</v>
      </c>
    </row>
    <row r="33" spans="1:6" ht="15" customHeight="1">
      <c r="A33" s="324">
        <v>33</v>
      </c>
      <c r="B33" s="324" t="s">
        <v>7978</v>
      </c>
      <c r="C33" s="324" t="s">
        <v>7979</v>
      </c>
      <c r="D33" s="324">
        <v>1597</v>
      </c>
      <c r="E33" s="324" t="s">
        <v>7980</v>
      </c>
      <c r="F33" s="325" t="s">
        <v>2094</v>
      </c>
    </row>
    <row r="34" spans="1:6" ht="15" customHeight="1">
      <c r="A34" s="324">
        <v>34</v>
      </c>
      <c r="B34" s="324" t="s">
        <v>7981</v>
      </c>
      <c r="C34" s="324" t="s">
        <v>7982</v>
      </c>
      <c r="D34" s="324">
        <v>1597</v>
      </c>
      <c r="E34" s="324" t="s">
        <v>7983</v>
      </c>
      <c r="F34" s="325" t="s">
        <v>2094</v>
      </c>
    </row>
    <row r="35" spans="1:6" ht="15" customHeight="1">
      <c r="A35" s="324">
        <v>35</v>
      </c>
      <c r="B35" s="324" t="s">
        <v>7984</v>
      </c>
      <c r="C35" s="324" t="s">
        <v>7985</v>
      </c>
      <c r="D35" s="324">
        <v>1597</v>
      </c>
      <c r="E35" s="324" t="s">
        <v>7986</v>
      </c>
      <c r="F35" s="325" t="s">
        <v>2094</v>
      </c>
    </row>
    <row r="36" spans="1:6" ht="23.25" customHeight="1">
      <c r="A36" s="324">
        <v>36</v>
      </c>
      <c r="B36" s="324" t="s">
        <v>7987</v>
      </c>
      <c r="C36" s="324" t="s">
        <v>7988</v>
      </c>
      <c r="D36" s="324">
        <v>1597</v>
      </c>
      <c r="E36" s="324" t="s">
        <v>7989</v>
      </c>
      <c r="F36" s="325" t="s">
        <v>2094</v>
      </c>
    </row>
    <row r="37" spans="1:6" ht="23.25" customHeight="1">
      <c r="A37" s="324">
        <v>37</v>
      </c>
      <c r="B37" s="324" t="s">
        <v>7990</v>
      </c>
      <c r="C37" s="324" t="s">
        <v>7991</v>
      </c>
      <c r="D37" s="324">
        <v>1616</v>
      </c>
      <c r="E37" s="324" t="s">
        <v>7992</v>
      </c>
      <c r="F37" s="325" t="s">
        <v>2094</v>
      </c>
    </row>
    <row r="38" spans="1:6" ht="15" customHeight="1">
      <c r="A38" s="324">
        <v>38</v>
      </c>
      <c r="B38" s="324" t="s">
        <v>7993</v>
      </c>
      <c r="C38" s="324" t="s">
        <v>7994</v>
      </c>
      <c r="D38" s="324">
        <v>1619</v>
      </c>
      <c r="E38" s="324" t="s">
        <v>7995</v>
      </c>
      <c r="F38" s="325" t="s">
        <v>2094</v>
      </c>
    </row>
    <row r="39" spans="1:6" ht="15" customHeight="1">
      <c r="A39" s="324">
        <v>39</v>
      </c>
      <c r="B39" s="324" t="s">
        <v>7996</v>
      </c>
      <c r="C39" s="324" t="s">
        <v>7997</v>
      </c>
      <c r="D39" s="324">
        <v>1622</v>
      </c>
      <c r="E39" s="324" t="s">
        <v>7998</v>
      </c>
      <c r="F39" s="325" t="s">
        <v>2094</v>
      </c>
    </row>
    <row r="40" spans="1:6" ht="15" customHeight="1">
      <c r="A40" s="324">
        <v>40</v>
      </c>
      <c r="B40" s="324" t="s">
        <v>7999</v>
      </c>
      <c r="C40" s="324" t="s">
        <v>8000</v>
      </c>
      <c r="D40" s="324">
        <v>1625</v>
      </c>
      <c r="E40" s="324" t="s">
        <v>8001</v>
      </c>
      <c r="F40" s="325" t="s">
        <v>2094</v>
      </c>
    </row>
    <row r="41" spans="1:6" ht="15" customHeight="1">
      <c r="A41" s="324">
        <v>41</v>
      </c>
      <c r="B41" s="324" t="s">
        <v>8002</v>
      </c>
      <c r="C41" s="324" t="s">
        <v>8003</v>
      </c>
      <c r="D41" s="324">
        <v>1625</v>
      </c>
      <c r="E41" s="324" t="s">
        <v>8004</v>
      </c>
      <c r="F41" s="325" t="s">
        <v>2094</v>
      </c>
    </row>
    <row r="42" spans="1:6" ht="15" customHeight="1">
      <c r="A42" s="324">
        <v>42</v>
      </c>
      <c r="B42" s="324" t="s">
        <v>8005</v>
      </c>
      <c r="C42" s="324" t="s">
        <v>8006</v>
      </c>
      <c r="D42" s="324">
        <v>1628</v>
      </c>
      <c r="E42" s="324" t="s">
        <v>8007</v>
      </c>
      <c r="F42" s="325" t="s">
        <v>2094</v>
      </c>
    </row>
    <row r="43" spans="1:6" ht="15" customHeight="1">
      <c r="A43" s="324">
        <v>43</v>
      </c>
      <c r="B43" s="324" t="s">
        <v>8008</v>
      </c>
      <c r="C43" s="324" t="s">
        <v>8009</v>
      </c>
      <c r="D43" s="324">
        <v>1628</v>
      </c>
      <c r="E43" s="324" t="s">
        <v>8010</v>
      </c>
      <c r="F43" s="325" t="s">
        <v>2094</v>
      </c>
    </row>
    <row r="44" spans="1:6" ht="15" customHeight="1">
      <c r="A44" s="324">
        <v>44</v>
      </c>
      <c r="B44" s="324" t="s">
        <v>8011</v>
      </c>
      <c r="C44" s="324" t="s">
        <v>8012</v>
      </c>
      <c r="D44" s="324">
        <v>1628</v>
      </c>
      <c r="E44" s="324" t="s">
        <v>8013</v>
      </c>
      <c r="F44" s="325" t="s">
        <v>2094</v>
      </c>
    </row>
    <row r="45" spans="1:6" ht="15" customHeight="1">
      <c r="A45" s="324">
        <v>45</v>
      </c>
      <c r="B45" s="324" t="s">
        <v>8014</v>
      </c>
      <c r="C45" s="324" t="s">
        <v>8015</v>
      </c>
      <c r="D45" s="324">
        <v>1628</v>
      </c>
      <c r="E45" s="324" t="s">
        <v>8016</v>
      </c>
      <c r="F45" s="325" t="s">
        <v>2094</v>
      </c>
    </row>
    <row r="46" spans="1:6" ht="15" customHeight="1">
      <c r="A46" s="324">
        <v>46</v>
      </c>
      <c r="B46" s="324" t="s">
        <v>8017</v>
      </c>
      <c r="C46" s="324" t="s">
        <v>8018</v>
      </c>
      <c r="D46" s="324">
        <v>1628</v>
      </c>
      <c r="E46" s="324" t="s">
        <v>8016</v>
      </c>
      <c r="F46" s="325" t="s">
        <v>2094</v>
      </c>
    </row>
  </sheetData>
  <pageMargins left="0.75" right="0.75" top="1" bottom="1" header="0.511811023622047" footer="0.511811023622047"/>
  <pageSetup paperSize="9" orientation="portrait"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F8"/>
  <sheetViews>
    <sheetView zoomScaleNormal="100" workbookViewId="0"/>
  </sheetViews>
  <sheetFormatPr defaultColWidth="8.5703125" defaultRowHeight="15"/>
  <cols>
    <col min="1" max="2" width="12" customWidth="1"/>
    <col min="3" max="3" width="65" customWidth="1"/>
    <col min="4" max="4" width="12" customWidth="1"/>
    <col min="5" max="5" width="13.42578125" customWidth="1"/>
    <col min="6" max="6" width="12" customWidth="1"/>
  </cols>
  <sheetData>
    <row r="1" spans="1:6" ht="15" customHeight="1">
      <c r="A1" s="322" t="s">
        <v>2542</v>
      </c>
      <c r="B1" s="322" t="s">
        <v>259</v>
      </c>
      <c r="C1" s="322" t="s">
        <v>2543</v>
      </c>
      <c r="D1" s="322" t="s">
        <v>311</v>
      </c>
      <c r="E1" s="322" t="s">
        <v>2364</v>
      </c>
      <c r="F1" s="322" t="s">
        <v>14</v>
      </c>
    </row>
    <row r="2" spans="1:6" ht="15" customHeight="1">
      <c r="A2" s="23">
        <v>1</v>
      </c>
      <c r="B2" s="23" t="s">
        <v>8019</v>
      </c>
      <c r="C2" s="23" t="s">
        <v>8020</v>
      </c>
      <c r="D2" s="23">
        <v>1427</v>
      </c>
      <c r="E2" s="23" t="s">
        <v>8021</v>
      </c>
      <c r="F2" s="23" t="s">
        <v>2094</v>
      </c>
    </row>
    <row r="3" spans="1:6" ht="15" customHeight="1">
      <c r="A3" s="23">
        <v>2</v>
      </c>
      <c r="B3" s="23" t="s">
        <v>8022</v>
      </c>
      <c r="C3" s="23" t="s">
        <v>8023</v>
      </c>
      <c r="D3" s="23">
        <v>1468</v>
      </c>
      <c r="E3" s="23" t="s">
        <v>8024</v>
      </c>
      <c r="F3" s="23" t="s">
        <v>2094</v>
      </c>
    </row>
    <row r="4" spans="1:6" ht="15" customHeight="1">
      <c r="A4" s="23">
        <v>3</v>
      </c>
      <c r="B4" s="23" t="s">
        <v>8025</v>
      </c>
      <c r="C4" s="23" t="s">
        <v>8026</v>
      </c>
      <c r="D4" s="23">
        <v>1492</v>
      </c>
      <c r="E4" s="23" t="s">
        <v>8027</v>
      </c>
      <c r="F4" s="23" t="s">
        <v>2094</v>
      </c>
    </row>
    <row r="5" spans="1:6" ht="15" customHeight="1">
      <c r="A5" s="23">
        <v>4</v>
      </c>
      <c r="B5" s="23" t="s">
        <v>8028</v>
      </c>
      <c r="C5" s="23" t="s">
        <v>8029</v>
      </c>
      <c r="D5" s="23">
        <v>0</v>
      </c>
      <c r="E5" s="23" t="s">
        <v>7910</v>
      </c>
      <c r="F5" s="23" t="s">
        <v>2094</v>
      </c>
    </row>
    <row r="6" spans="1:6" ht="15" customHeight="1">
      <c r="A6" s="23">
        <v>5</v>
      </c>
      <c r="B6" s="23" t="s">
        <v>8030</v>
      </c>
      <c r="C6" s="23" t="s">
        <v>8031</v>
      </c>
      <c r="D6" s="23">
        <v>1441</v>
      </c>
      <c r="E6" s="23" t="s">
        <v>7941</v>
      </c>
      <c r="F6" s="23" t="s">
        <v>2094</v>
      </c>
    </row>
    <row r="7" spans="1:6" ht="15" customHeight="1">
      <c r="A7" s="23">
        <v>6</v>
      </c>
      <c r="B7" s="23" t="s">
        <v>8032</v>
      </c>
      <c r="C7" s="23" t="s">
        <v>8033</v>
      </c>
      <c r="D7" s="23">
        <v>1457</v>
      </c>
      <c r="E7" s="23" t="s">
        <v>8034</v>
      </c>
      <c r="F7" s="23" t="s">
        <v>2094</v>
      </c>
    </row>
    <row r="8" spans="1:6" ht="15" customHeight="1">
      <c r="A8" s="23">
        <v>7</v>
      </c>
      <c r="B8" s="23" t="s">
        <v>8035</v>
      </c>
      <c r="C8" s="23" t="s">
        <v>8036</v>
      </c>
      <c r="D8" s="23">
        <v>1462</v>
      </c>
      <c r="E8" s="23" t="s">
        <v>8037</v>
      </c>
      <c r="F8" s="23" t="s">
        <v>2094</v>
      </c>
    </row>
  </sheetData>
  <pageMargins left="0.75" right="0.75" top="1" bottom="1" header="0.511811023622047" footer="0.511811023622047"/>
  <pageSetup paperSize="9" orientation="portrait" horizontalDpi="300" verticalDpi="30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F11"/>
  <sheetViews>
    <sheetView workbookViewId="0"/>
  </sheetViews>
  <sheetFormatPr defaultRowHeight="15"/>
  <cols>
    <col min="1" max="1" width="6" customWidth="1"/>
    <col min="2" max="2" width="38" customWidth="1"/>
    <col min="3" max="3" width="12" customWidth="1"/>
    <col min="4" max="4" width="16" customWidth="1"/>
    <col min="5" max="5" width="14" customWidth="1"/>
    <col min="6" max="6" width="12" customWidth="1"/>
  </cols>
  <sheetData>
    <row r="1" spans="1:6" ht="15.75" customHeight="1">
      <c r="A1" s="525" t="s">
        <v>8038</v>
      </c>
      <c r="B1" s="494"/>
      <c r="C1" s="494"/>
      <c r="D1" s="494"/>
      <c r="E1" s="494"/>
      <c r="F1" s="494"/>
    </row>
    <row r="3" spans="1:6">
      <c r="A3" s="332" t="s">
        <v>12</v>
      </c>
      <c r="B3" s="332" t="s">
        <v>8039</v>
      </c>
      <c r="C3" s="332" t="s">
        <v>3705</v>
      </c>
      <c r="D3" s="332" t="s">
        <v>188</v>
      </c>
      <c r="E3" s="332" t="s">
        <v>2629</v>
      </c>
      <c r="F3" s="332" t="s">
        <v>8040</v>
      </c>
    </row>
    <row r="4" spans="1:6">
      <c r="A4" s="333" t="s">
        <v>8041</v>
      </c>
      <c r="B4" s="333" t="s">
        <v>8042</v>
      </c>
      <c r="C4" s="338" t="s">
        <v>1535</v>
      </c>
      <c r="D4" s="333" t="s">
        <v>8043</v>
      </c>
      <c r="E4" s="333" t="s">
        <v>2316</v>
      </c>
      <c r="F4" s="333" t="s">
        <v>8044</v>
      </c>
    </row>
    <row r="5" spans="1:6">
      <c r="A5" s="333" t="s">
        <v>8045</v>
      </c>
      <c r="B5" s="333" t="s">
        <v>8046</v>
      </c>
      <c r="C5" s="339" t="s">
        <v>1033</v>
      </c>
      <c r="D5" s="333" t="s">
        <v>8047</v>
      </c>
      <c r="E5" s="333" t="s">
        <v>2316</v>
      </c>
      <c r="F5" s="333" t="s">
        <v>8048</v>
      </c>
    </row>
    <row r="6" spans="1:6">
      <c r="A6" s="333" t="s">
        <v>8049</v>
      </c>
      <c r="B6" s="333" t="s">
        <v>8050</v>
      </c>
      <c r="C6" s="339" t="s">
        <v>1033</v>
      </c>
      <c r="D6" s="333" t="s">
        <v>8051</v>
      </c>
      <c r="E6" s="333" t="s">
        <v>2316</v>
      </c>
      <c r="F6" s="333" t="s">
        <v>8052</v>
      </c>
    </row>
    <row r="7" spans="1:6">
      <c r="A7" s="333" t="s">
        <v>8053</v>
      </c>
      <c r="B7" s="333" t="s">
        <v>8054</v>
      </c>
      <c r="C7" s="339" t="s">
        <v>1033</v>
      </c>
      <c r="D7" s="333" t="s">
        <v>8055</v>
      </c>
      <c r="E7" s="333" t="s">
        <v>2316</v>
      </c>
      <c r="F7" s="333" t="s">
        <v>8056</v>
      </c>
    </row>
    <row r="8" spans="1:6">
      <c r="A8" s="333" t="s">
        <v>8057</v>
      </c>
      <c r="B8" s="333" t="s">
        <v>8058</v>
      </c>
      <c r="C8" s="340" t="s">
        <v>1040</v>
      </c>
      <c r="D8" s="333" t="s">
        <v>8059</v>
      </c>
      <c r="E8" s="333" t="s">
        <v>828</v>
      </c>
      <c r="F8" s="333" t="s">
        <v>8048</v>
      </c>
    </row>
    <row r="9" spans="1:6">
      <c r="A9" s="333" t="s">
        <v>8060</v>
      </c>
      <c r="B9" s="333" t="s">
        <v>8061</v>
      </c>
      <c r="C9" s="339" t="s">
        <v>1033</v>
      </c>
      <c r="D9" s="333" t="s">
        <v>8062</v>
      </c>
      <c r="E9" s="333" t="s">
        <v>2316</v>
      </c>
      <c r="F9" s="333" t="s">
        <v>8063</v>
      </c>
    </row>
    <row r="10" spans="1:6">
      <c r="A10" s="333" t="s">
        <v>8064</v>
      </c>
      <c r="B10" s="333" t="s">
        <v>8065</v>
      </c>
      <c r="C10" s="340" t="s">
        <v>1040</v>
      </c>
      <c r="D10" s="333" t="s">
        <v>8051</v>
      </c>
      <c r="E10" s="333" t="s">
        <v>2316</v>
      </c>
      <c r="F10" s="333" t="s">
        <v>8044</v>
      </c>
    </row>
    <row r="11" spans="1:6">
      <c r="A11" s="333" t="s">
        <v>8066</v>
      </c>
      <c r="B11" s="333" t="s">
        <v>8067</v>
      </c>
      <c r="C11" s="338" t="s">
        <v>1535</v>
      </c>
      <c r="D11" s="333" t="s">
        <v>686</v>
      </c>
      <c r="E11" s="333" t="s">
        <v>8068</v>
      </c>
      <c r="F11" s="333" t="s">
        <v>8069</v>
      </c>
    </row>
  </sheetData>
  <mergeCells count="1">
    <mergeCell ref="A1:F1"/>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H9"/>
  <sheetViews>
    <sheetView workbookViewId="0"/>
  </sheetViews>
  <sheetFormatPr defaultRowHeight="15"/>
  <cols>
    <col min="1" max="6" width="10" customWidth="1"/>
    <col min="7" max="7" width="12" customWidth="1"/>
    <col min="8" max="8" width="8" customWidth="1"/>
  </cols>
  <sheetData>
    <row r="1" spans="1:8" ht="15.75" customHeight="1">
      <c r="A1" s="525" t="s">
        <v>8070</v>
      </c>
      <c r="B1" s="494"/>
      <c r="C1" s="494"/>
      <c r="D1" s="494"/>
      <c r="E1" s="494"/>
      <c r="F1" s="494"/>
      <c r="G1" s="494"/>
      <c r="H1" s="494"/>
    </row>
    <row r="2" spans="1:8">
      <c r="A2" s="341" t="s">
        <v>8071</v>
      </c>
    </row>
    <row r="4" spans="1:8">
      <c r="A4" s="332" t="s">
        <v>8072</v>
      </c>
      <c r="B4" s="332" t="s">
        <v>8073</v>
      </c>
      <c r="C4" s="332" t="s">
        <v>8074</v>
      </c>
      <c r="D4" s="332" t="s">
        <v>8075</v>
      </c>
      <c r="E4" s="332" t="s">
        <v>8076</v>
      </c>
      <c r="F4" s="332" t="s">
        <v>8077</v>
      </c>
      <c r="G4" s="332" t="s">
        <v>8078</v>
      </c>
      <c r="H4" s="332" t="s">
        <v>8079</v>
      </c>
    </row>
    <row r="5" spans="1:8">
      <c r="A5" s="333" t="s">
        <v>8080</v>
      </c>
      <c r="B5" s="333" t="s">
        <v>8081</v>
      </c>
      <c r="C5" s="335" t="s">
        <v>8082</v>
      </c>
      <c r="D5" s="333" t="s">
        <v>8083</v>
      </c>
      <c r="E5" s="333" t="s">
        <v>8084</v>
      </c>
      <c r="F5" s="333" t="s">
        <v>8085</v>
      </c>
      <c r="G5" s="333" t="s">
        <v>8086</v>
      </c>
      <c r="H5" s="333" t="s">
        <v>8087</v>
      </c>
    </row>
    <row r="6" spans="1:8">
      <c r="A6" s="333" t="s">
        <v>8088</v>
      </c>
      <c r="B6" s="333" t="s">
        <v>8089</v>
      </c>
      <c r="C6" s="335" t="s">
        <v>8082</v>
      </c>
      <c r="D6" s="333" t="s">
        <v>8090</v>
      </c>
      <c r="E6" s="333" t="s">
        <v>8091</v>
      </c>
      <c r="F6" s="333" t="s">
        <v>8092</v>
      </c>
      <c r="G6" s="333" t="s">
        <v>8093</v>
      </c>
      <c r="H6" s="333" t="s">
        <v>8087</v>
      </c>
    </row>
    <row r="8" spans="1:8">
      <c r="A8" s="331" t="s">
        <v>8094</v>
      </c>
    </row>
    <row r="9" spans="1:8">
      <c r="A9" s="342" t="s">
        <v>8095</v>
      </c>
    </row>
  </sheetData>
  <mergeCells count="1">
    <mergeCell ref="A1:H1"/>
  </mergeCell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E19"/>
  <sheetViews>
    <sheetView workbookViewId="0"/>
  </sheetViews>
  <sheetFormatPr defaultRowHeight="15"/>
  <cols>
    <col min="1" max="1" width="5" customWidth="1"/>
    <col min="2" max="2" width="22" customWidth="1"/>
    <col min="3" max="3" width="12" customWidth="1"/>
    <col min="4" max="4" width="42" customWidth="1"/>
    <col min="5" max="5" width="36" customWidth="1"/>
  </cols>
  <sheetData>
    <row r="1" spans="1:5" ht="15.75" customHeight="1">
      <c r="A1" s="525" t="s">
        <v>8096</v>
      </c>
      <c r="B1" s="494"/>
      <c r="C1" s="494"/>
      <c r="D1" s="494"/>
      <c r="E1" s="494"/>
    </row>
    <row r="2" spans="1:5">
      <c r="A2" s="351" t="s">
        <v>8097</v>
      </c>
    </row>
    <row r="4" spans="1:5">
      <c r="A4" s="332" t="s">
        <v>12</v>
      </c>
      <c r="B4" s="332" t="s">
        <v>2837</v>
      </c>
      <c r="C4" s="332" t="s">
        <v>14</v>
      </c>
      <c r="D4" s="332" t="s">
        <v>598</v>
      </c>
      <c r="E4" s="332" t="s">
        <v>8098</v>
      </c>
    </row>
    <row r="5" spans="1:5">
      <c r="A5" s="333" t="s">
        <v>15</v>
      </c>
      <c r="B5" s="333" t="s">
        <v>3373</v>
      </c>
      <c r="C5" s="352" t="s">
        <v>813</v>
      </c>
      <c r="D5" s="333" t="s">
        <v>8099</v>
      </c>
      <c r="E5" s="333"/>
    </row>
    <row r="6" spans="1:5">
      <c r="A6" s="333" t="s">
        <v>18</v>
      </c>
      <c r="B6" s="333" t="s">
        <v>8100</v>
      </c>
      <c r="C6" s="352" t="s">
        <v>813</v>
      </c>
      <c r="D6" s="333" t="s">
        <v>8101</v>
      </c>
      <c r="E6" s="333"/>
    </row>
    <row r="7" spans="1:5">
      <c r="A7" s="333" t="s">
        <v>20</v>
      </c>
      <c r="B7" s="333" t="s">
        <v>3384</v>
      </c>
      <c r="C7" s="353" t="s">
        <v>5356</v>
      </c>
      <c r="D7" s="333" t="s">
        <v>8102</v>
      </c>
      <c r="E7" s="333" t="s">
        <v>8103</v>
      </c>
    </row>
    <row r="8" spans="1:5">
      <c r="A8" s="333" t="s">
        <v>22</v>
      </c>
      <c r="B8" s="333" t="s">
        <v>8104</v>
      </c>
      <c r="C8" s="352" t="s">
        <v>813</v>
      </c>
      <c r="D8" s="333" t="s">
        <v>8105</v>
      </c>
      <c r="E8" s="333"/>
    </row>
    <row r="9" spans="1:5">
      <c r="A9" s="333" t="s">
        <v>24</v>
      </c>
      <c r="B9" s="333" t="s">
        <v>3375</v>
      </c>
      <c r="C9" s="352" t="s">
        <v>813</v>
      </c>
      <c r="D9" s="333" t="s">
        <v>8106</v>
      </c>
      <c r="E9" s="333"/>
    </row>
    <row r="10" spans="1:5">
      <c r="A10" s="333" t="s">
        <v>26</v>
      </c>
      <c r="B10" s="333" t="s">
        <v>8107</v>
      </c>
      <c r="C10" s="352" t="s">
        <v>813</v>
      </c>
      <c r="D10" s="333" t="s">
        <v>8108</v>
      </c>
      <c r="E10" s="333"/>
    </row>
    <row r="11" spans="1:5">
      <c r="A11" s="333" t="s">
        <v>28</v>
      </c>
      <c r="B11" s="333" t="s">
        <v>3378</v>
      </c>
      <c r="C11" s="352" t="s">
        <v>813</v>
      </c>
      <c r="D11" s="333" t="s">
        <v>8109</v>
      </c>
      <c r="E11" s="333"/>
    </row>
    <row r="12" spans="1:5">
      <c r="A12" s="333" t="s">
        <v>30</v>
      </c>
      <c r="B12" s="333" t="s">
        <v>8110</v>
      </c>
      <c r="C12" s="353" t="s">
        <v>5356</v>
      </c>
      <c r="D12" s="333" t="s">
        <v>8102</v>
      </c>
      <c r="E12" s="333" t="s">
        <v>8103</v>
      </c>
    </row>
    <row r="13" spans="1:5">
      <c r="A13" s="333" t="s">
        <v>32</v>
      </c>
      <c r="B13" s="333" t="s">
        <v>3376</v>
      </c>
      <c r="C13" s="352" t="s">
        <v>813</v>
      </c>
      <c r="D13" s="333" t="s">
        <v>8111</v>
      </c>
      <c r="E13" s="333"/>
    </row>
    <row r="14" spans="1:5">
      <c r="A14" s="333" t="s">
        <v>34</v>
      </c>
      <c r="B14" s="333" t="s">
        <v>3392</v>
      </c>
      <c r="C14" s="352" t="s">
        <v>813</v>
      </c>
      <c r="D14" s="333" t="s">
        <v>8112</v>
      </c>
      <c r="E14" s="333"/>
    </row>
    <row r="15" spans="1:5">
      <c r="A15" s="333" t="s">
        <v>36</v>
      </c>
      <c r="B15" s="333" t="s">
        <v>7790</v>
      </c>
      <c r="C15" s="354" t="s">
        <v>3370</v>
      </c>
      <c r="D15" s="333" t="s">
        <v>8113</v>
      </c>
      <c r="E15" s="333" t="s">
        <v>8114</v>
      </c>
    </row>
    <row r="16" spans="1:5">
      <c r="A16" s="333" t="s">
        <v>38</v>
      </c>
      <c r="B16" s="333" t="s">
        <v>7788</v>
      </c>
      <c r="C16" s="354" t="s">
        <v>3370</v>
      </c>
      <c r="D16" s="333" t="s">
        <v>8113</v>
      </c>
      <c r="E16" s="333" t="s">
        <v>8114</v>
      </c>
    </row>
    <row r="17" spans="1:5">
      <c r="A17" s="333" t="s">
        <v>40</v>
      </c>
      <c r="B17" s="333" t="s">
        <v>8115</v>
      </c>
      <c r="C17" s="354" t="s">
        <v>3370</v>
      </c>
      <c r="D17" s="333" t="s">
        <v>8113</v>
      </c>
      <c r="E17" s="333" t="s">
        <v>8114</v>
      </c>
    </row>
    <row r="19" spans="1:5">
      <c r="A19" s="331" t="s">
        <v>8116</v>
      </c>
      <c r="B19" s="342" t="s">
        <v>8117</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75</vt:i4>
      </vt:variant>
    </vt:vector>
  </HeadingPairs>
  <TitlesOfParts>
    <vt:vector size="75" baseType="lpstr">
      <vt:lpstr>S-103 Session Output</vt:lpstr>
      <vt:lpstr>S-102c Session Output</vt:lpstr>
      <vt:lpstr>S-102 Session Output</vt:lpstr>
      <vt:lpstr>S-101 Session Output</vt:lpstr>
      <vt:lpstr>S-100 Session Output</vt:lpstr>
      <vt:lpstr>S-097 Session Output</vt:lpstr>
      <vt:lpstr>S-097 IDIQ Vehicles</vt:lpstr>
      <vt:lpstr>S-095 Session Output</vt:lpstr>
      <vt:lpstr>S-093 QA Audit</vt:lpstr>
      <vt:lpstr>S-092 Session Output</vt:lpstr>
      <vt:lpstr>S-091 Session Output</vt:lpstr>
      <vt:lpstr>S-091 Final Updates</vt:lpstr>
      <vt:lpstr>S-091 QA Audit</vt:lpstr>
      <vt:lpstr>S-090 Session Output</vt:lpstr>
      <vt:lpstr>S-089 Session Output</vt:lpstr>
      <vt:lpstr>SESSION START - READ FIRST</vt:lpstr>
      <vt:lpstr>PLATFORM SPECS - MUST HAVES</vt:lpstr>
      <vt:lpstr>DATABASE SCHEMA</vt:lpstr>
      <vt:lpstr>WORKFLOW RULES</vt:lpstr>
      <vt:lpstr>CURRENT STATUS 3-24-2026</vt:lpstr>
      <vt:lpstr>SHAWNS RULES</vt:lpstr>
      <vt:lpstr>CAPTURE INTEL (VoicedIQ)</vt:lpstr>
      <vt:lpstr>GOVTRIBE MCP REFERENCE</vt:lpstr>
      <vt:lpstr>S-085 Web Deploy Log</vt:lpstr>
      <vt:lpstr>S-085 Session Output</vt:lpstr>
      <vt:lpstr>S-086 Backlog</vt:lpstr>
      <vt:lpstr>S-084 Deploy Log</vt:lpstr>
      <vt:lpstr>S-085 Backlog</vt:lpstr>
      <vt:lpstr>S-083 Session Output</vt:lpstr>
      <vt:lpstr>S-082 Deploy Log</vt:lpstr>
      <vt:lpstr>S-083 Backlog</vt:lpstr>
      <vt:lpstr>S-081 Session Output</vt:lpstr>
      <vt:lpstr>S-082 Backlog</vt:lpstr>
      <vt:lpstr>S-080 Deploy Log</vt:lpstr>
      <vt:lpstr>S-081 Backlog</vt:lpstr>
      <vt:lpstr>S-079 Deploy Log</vt:lpstr>
      <vt:lpstr>S-080 Backlog</vt:lpstr>
      <vt:lpstr>S-078 Session Output</vt:lpstr>
      <vt:lpstr>S-079 Backlog</vt:lpstr>
      <vt:lpstr>S-078 Components</vt:lpstr>
      <vt:lpstr>S-078 Deploy Log</vt:lpstr>
      <vt:lpstr>Department Hierarchy</vt:lpstr>
      <vt:lpstr>Strategic Roadmap</vt:lpstr>
      <vt:lpstr>S-078 Backlog</vt:lpstr>
      <vt:lpstr>S-077 Backlog</vt:lpstr>
      <vt:lpstr>S-077 Session Output</vt:lpstr>
      <vt:lpstr>S-077 Deploy Log</vt:lpstr>
      <vt:lpstr>S-071 Deploy Log</vt:lpstr>
      <vt:lpstr>S-067 E2E Findings</vt: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lpstr>S-070 Deploy Log</vt:lpstr>
      <vt:lpstr>S-069 Deploy Log</vt:lpstr>
      <vt:lpstr>S-077 Risks Seeded</vt:lpstr>
      <vt:lpstr>S-077 Trade Signals</vt:lpstr>
      <vt:lpstr>S-077 E2E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cp:revision>0</cp:revision>
  <dcterms:created xsi:type="dcterms:W3CDTF">2026-03-07T21:20:20Z</dcterms:created>
  <dcterms:modified xsi:type="dcterms:W3CDTF">2026-03-26T03:47:18Z</dcterms:modified>
  <dc:language>en-US</dc:language>
</cp:coreProperties>
</file>