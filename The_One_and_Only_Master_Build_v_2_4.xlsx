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e71d337c297985f8/Desktop/"/>
    </mc:Choice>
  </mc:AlternateContent>
  <xr:revisionPtr revIDLastSave="0" documentId="8_{C2853A89-391E-4B72-8887-EF00460EDA18}" xr6:coauthVersionLast="47" xr6:coauthVersionMax="47" xr10:uidLastSave="{00000000-0000-0000-0000-000000000000}"/>
  <bookViews>
    <workbookView xWindow="-120" yWindow="-120" windowWidth="57840" windowHeight="15720" tabRatio="868" firstSheet="5" activeTab="10" xr2:uid="{00000000-000D-0000-FFFF-FFFF00000000}"/>
  </bookViews>
  <sheets>
    <sheet name="Read First" sheetId="1" r:id="rId1"/>
    <sheet name="Dashboard" sheetId="2" r:id="rId2"/>
    <sheet name="Things to remember" sheetId="3" r:id="rId3"/>
    <sheet name="Trading Challenge" sheetId="4" r:id="rId4"/>
    <sheet name="PPT Design Brief" sheetId="5" r:id="rId5"/>
    <sheet name="Requirements" sheetId="6" r:id="rId6"/>
    <sheet name="3 Action Items" sheetId="7" r:id="rId7"/>
    <sheet name="Backlog" sheetId="8" r:id="rId8"/>
    <sheet name="Session Log" sheetId="9" r:id="rId9"/>
    <sheet name="Test Results" sheetId="10" r:id="rId10"/>
    <sheet name="Shawn Notes" sheetId="11" r:id="rId11"/>
    <sheet name="Platform Architecture" sheetId="12" r:id="rId12"/>
    <sheet name="AI Capabilities" sheetId="13" r:id="rId13"/>
    <sheet name="1 OPP Tracker" sheetId="14" r:id="rId14"/>
    <sheet name="2 OODA LOOP" sheetId="15" r:id="rId15"/>
    <sheet name="4 Assistant" sheetId="16" r:id="rId16"/>
    <sheet name="5 SITREP" sheetId="17" r:id="rId17"/>
    <sheet name="6 SITREP Trends" sheetId="18" r:id="rId18"/>
    <sheet name="7 Doc Chat" sheetId="19" r:id="rId19"/>
    <sheet name="GDA Tools" sheetId="20" r:id="rId20"/>
    <sheet name="GDA Workflows"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9" l="1"/>
  <c r="B11" i="9"/>
  <c r="B16" i="2"/>
  <c r="B15" i="2"/>
  <c r="B14" i="2"/>
  <c r="B13" i="2"/>
  <c r="C18" i="2" s="1"/>
  <c r="F12" i="2"/>
  <c r="C14" i="2" s="1"/>
  <c r="C7" i="2"/>
  <c r="E7" i="2" s="1"/>
  <c r="B7" i="2"/>
  <c r="D7" i="2" s="1"/>
  <c r="F7" i="2" s="1"/>
  <c r="C6" i="2"/>
  <c r="B6" i="2"/>
  <c r="B8" i="2" s="1"/>
  <c r="E8" i="2" s="1"/>
  <c r="C5" i="2"/>
  <c r="C8" i="2" s="1"/>
  <c r="B5" i="2"/>
  <c r="E5" i="2" s="1"/>
  <c r="C15" i="2" l="1"/>
  <c r="D6" i="2"/>
  <c r="F6" i="2" s="1"/>
  <c r="C16" i="2"/>
  <c r="E6" i="2"/>
  <c r="B17" i="2"/>
  <c r="C17" i="2"/>
  <c r="B18" i="2"/>
  <c r="D5" i="2"/>
  <c r="C13" i="2"/>
  <c r="F5" i="2" l="1"/>
  <c r="D8" i="2"/>
  <c r="F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shawn seffernick</author>
  </authors>
  <commentList>
    <comment ref="F2" authorId="0" shapeId="0" xr:uid="{00000000-0006-0000-0600-000001000000}">
      <text>
        <r>
          <rPr>
            <sz val="11"/>
            <color theme="1"/>
            <rFont val="Aptos Narrow"/>
            <family val="2"/>
            <scheme val="minor"/>
          </rPr>
          <t>shawn seffernick:
2026-03-09: Root cause was sequential chain dying on empty Postgres results. Fix: alwaysOutputData=true on all 3 PG nodes + simplified Respond expression. Now runs 32s successfully.</t>
        </r>
      </text>
    </comment>
    <comment ref="F4" authorId="0" shapeId="0" xr:uid="{00000000-0006-0000-0600-000002000000}">
      <text>
        <r>
          <rPr>
            <sz val="11"/>
            <color theme="1"/>
            <rFont val="Aptos Narrow"/>
            <family val="2"/>
            <scheme val="minor"/>
          </rPr>
          <t>shawn seffernick:
2026-03-09: save-opp (kW8RLL4hbAuGV6qr) + saved-opps (9orS3FVOlInMes9r) both active. GET /gda-saved-opps returns 1 test opp. Frontend star UI already wired in OpportunityTrackerPage.</t>
        </r>
      </text>
    </comment>
    <comment ref="F5" authorId="0" shapeId="0" xr:uid="{00000000-0006-0000-0600-000003000000}">
      <text>
        <r>
          <rPr>
            <sz val="11"/>
            <color theme="1"/>
            <rFont val="Aptos Narrow"/>
            <family val="2"/>
            <scheme val="minor"/>
          </rPr>
          <t>shawn seffernick:
2026-03-09: predict-intel (FlfwRXW31NnEzzFb) active=true. Backend operational. Needs frontend Predictions section still.</t>
        </r>
      </text>
    </comment>
    <comment ref="F6" authorId="0" shapeId="0" xr:uid="{00000000-0006-0000-0600-000004000000}">
      <text>
        <r>
          <rPr>
            <sz val="11"/>
            <color theme="1"/>
            <rFont val="Aptos Narrow"/>
            <family val="2"/>
            <scheme val="minor"/>
          </rPr>
          <t>shawn seffernick:
2026-03-09: Action items (yzbfYwft9fcRyShT) active. fetchActionItems + createActionItem wired. Overdue badge still pending.</t>
        </r>
      </text>
    </comment>
    <comment ref="F7" authorId="0" shapeId="0" xr:uid="{00000000-0006-0000-0600-000005000000}">
      <text>
        <r>
          <rPr>
            <sz val="11"/>
            <color theme="1"/>
            <rFont val="Aptos Narrow"/>
            <family val="2"/>
            <scheme val="minor"/>
          </rPr>
          <t>shawn seffernick:
2026-03-09: ai-feedback (EeR3nC8l30Vdsu5b) active=true. Backend operational. Needs frontend accept/reject/modify buttons.</t>
        </r>
      </text>
    </comment>
    <comment ref="F8" authorId="0" shapeId="0" xr:uid="{00000000-0006-0000-0600-000006000000}">
      <text>
        <r>
          <rPr>
            <sz val="11"/>
            <color theme="1"/>
            <rFont val="Aptos Narrow"/>
            <family val="2"/>
            <scheme val="minor"/>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0600-000007000000}">
      <text>
        <r>
          <rPr>
            <sz val="11"/>
            <color theme="1"/>
            <rFont val="Aptos Narrow"/>
            <family val="2"/>
            <scheme val="minor"/>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0600-000008000000}">
      <text>
        <r>
          <rPr>
            <sz val="11"/>
            <color theme="1"/>
            <rFont val="Aptos Narrow"/>
            <family val="2"/>
            <scheme val="minor"/>
          </rPr>
          <t>shawn seffernick:
2026-03-09: Verified patcher webhook (81fmjwHbVCUgzmem) is active=true. Test call returned App.jsx in 386ms. Permanently active.</t>
        </r>
      </text>
    </comment>
    <comment ref="F11" authorId="0" shapeId="0" xr:uid="{00000000-0006-0000-0600-000009000000}">
      <text>
        <r>
          <rPr>
            <sz val="11"/>
            <color theme="1"/>
            <rFont val="Aptos Narrow"/>
            <family val="2"/>
            <scheme val="minor"/>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0600-00000A000000}">
      <text>
        <r>
          <rPr>
            <sz val="11"/>
            <color theme="1"/>
            <rFont val="Aptos Narrow"/>
            <family val="2"/>
            <scheme val="minor"/>
          </rPr>
          <t>shawn seffernick:
2026-03-09: data-learn (Fn02pKArk2YcyQp5) active=true. trackEvent() wired to OODA+SAM. Needs more page coverage.</t>
        </r>
      </text>
    </comment>
    <comment ref="F15" authorId="0" shapeId="0" xr:uid="{00000000-0006-0000-0600-00000B000000}">
      <text>
        <r>
          <rPr>
            <sz val="11"/>
            <color theme="1"/>
            <rFont val="Aptos Narrow"/>
            <family val="2"/>
            <scheme val="minor"/>
          </rPr>
          <t>shawn seffernick:
2026-03-09: proactive-scan (wOQOmSX0fQ475nB3) active=true. Daily 6AM cron + manual webhook. Predictions UI optional.</t>
        </r>
      </text>
    </comment>
    <comment ref="F20" authorId="0" shapeId="0" xr:uid="{00000000-0006-0000-0600-00000C000000}">
      <text>
        <r>
          <rPr>
            <sz val="11"/>
            <color theme="1"/>
            <rFont val="Aptos Narrow"/>
            <family val="2"/>
            <scheme val="minor"/>
          </rPr>
          <t>shawn seffernick:
Seed data _isSeedData flag (4a60b969) + DEMO DATA warning banner (c409e9fd). Yellow banner with ⚠️ icon shows when fallback data is active. Banner text: 'DEMO DATA — Live API returned no data.'</t>
        </r>
      </text>
    </comment>
    <comment ref="F24" authorId="0" shapeId="0" xr:uid="{00000000-0006-0000-0600-00000D000000}">
      <text>
        <r>
          <rPr>
            <sz val="11"/>
            <color theme="1"/>
            <rFont val="Aptos Narrow"/>
            <family val="2"/>
            <scheme val="minor"/>
          </rPr>
          <t>shawn seffernick:
System status indicators moved to sidebar (fbf83fb2). SYSTEM_CHECKS bubbles now render in sidebar with compact dot+label format. Sidebar accepts sysStatuses prop.</t>
        </r>
      </text>
    </comment>
    <comment ref="F25" authorId="0" shapeId="0" xr:uid="{00000000-0006-0000-0600-00000E000000}">
      <text>
        <r>
          <rPr>
            <sz val="11"/>
            <color theme="1"/>
            <rFont val="Aptos Narrow"/>
            <family val="2"/>
            <scheme val="minor"/>
          </rPr>
          <t>shawn seffernick:
Two-column module status grid on Launchpad (54adcda2). Clickable tiles show status dot + READY/POLLING/ERROR/WIP. Each tile navigates to module on click.</t>
        </r>
      </text>
    </comment>
    <comment ref="F26" authorId="0" shapeId="0" xr:uid="{00000000-0006-0000-0600-00000F000000}">
      <text>
        <r>
          <rPr>
            <sz val="11"/>
            <color theme="1"/>
            <rFont val="Aptos Narrow"/>
            <family val="2"/>
            <scheme val="minor"/>
          </rPr>
          <t>shawn seffernick:
Budget columns integrated via Top 5 Target Agencies table — already shows FY26 BUDGET + GDA ADDRESSABLE columns. Data pulled from Postgres via /gda-target-agencies.</t>
        </r>
      </text>
    </comment>
    <comment ref="F27" authorId="0" shapeId="0" xr:uid="{00000000-0006-0000-0600-000010000000}">
      <text>
        <r>
          <rPr>
            <sz val="11"/>
            <color theme="1"/>
            <rFont val="Aptos Narrow"/>
            <family val="2"/>
            <scheme val="minor"/>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shawn seffernick</author>
  </authors>
  <commentList>
    <comment ref="C2" authorId="0" shapeId="0" xr:uid="{00000000-0006-0000-0700-000001000000}">
      <text>
        <r>
          <rPr>
            <sz val="11"/>
            <color theme="1"/>
            <rFont val="Aptos Narrow"/>
            <family val="2"/>
            <scheme val="minor"/>
          </rPr>
          <t>shawn seffernick:
Document upload UI added to DocChat page (11a92868). Supports PDF, DOCX, TXT, CSV, XLSX. Uploads to gda-ai-agent-upload webhook. File indexed into Pinecone for RAG queries.</t>
        </r>
      </text>
    </comment>
    <comment ref="E2" authorId="0" shapeId="0" xr:uid="{00000000-0006-0000-0700-000002000000}">
      <text>
        <r>
          <rPr>
            <sz val="11"/>
            <color theme="1"/>
            <rFont val="Aptos Narrow"/>
            <family val="2"/>
            <scheme val="minor"/>
          </rPr>
          <t>shawn seffernick:
Frontend Auth Header Integration complete. All API calls now include x-gda-auth: gda-api-2026-secure</t>
        </r>
      </text>
    </comment>
    <comment ref="C3" authorId="0" shapeId="0" xr:uid="{00000000-0006-0000-0700-000003000000}">
      <text>
        <r>
          <rPr>
            <sz val="11"/>
            <color theme="1"/>
            <rFont val="Aptos Narrow"/>
            <family val="2"/>
            <scheme val="minor"/>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0700-000004000000}">
      <text>
        <r>
          <rPr>
            <sz val="11"/>
            <color theme="1"/>
            <rFont val="Aptos Narrow"/>
            <family val="2"/>
            <scheme val="minor"/>
          </rPr>
          <t>shawn seffernick:
Help button added to header (75d02166). Links to claude.ai. Orange accent, matches GDA style.</t>
        </r>
      </text>
    </comment>
    <comment ref="C5" authorId="0" shapeId="0" xr:uid="{00000000-0006-0000-0700-000005000000}">
      <text>
        <r>
          <rPr>
            <sz val="11"/>
            <color theme="1"/>
            <rFont val="Aptos Narrow"/>
            <family val="2"/>
            <scheme val="minor"/>
          </rPr>
          <t>shawn seffernick:
BL-005 was already done - navigation restructure complete.</t>
        </r>
      </text>
    </comment>
    <comment ref="C7" authorId="0" shapeId="0" xr:uid="{00000000-0006-0000-0700-000006000000}">
      <text>
        <r>
          <rPr>
            <sz val="11"/>
            <color theme="1"/>
            <rFont val="Aptos Narrow"/>
            <family val="2"/>
            <scheme val="minor"/>
          </rPr>
          <t>shawn seffernick:
2026-03-09: 6 workflows archived, 3 duplicate groups flagged. Active count reduced from 51 to 45.</t>
        </r>
      </text>
    </comment>
    <comment ref="C8" authorId="0" shapeId="0" xr:uid="{00000000-0006-0000-0700-000007000000}">
      <text>
        <r>
          <rPr>
            <sz val="11"/>
            <color theme="1"/>
            <rFont val="Aptos Narrow"/>
            <family val="2"/>
            <scheme val="minor"/>
          </rPr>
          <t>Vite chunk splitting configured (b56f9e57). React+ReactDOM in vendor-react chunk. Recharts in vendor-charts chunk. Warning limit raised to 800kB. Reduces main bundle size.</t>
        </r>
      </text>
    </comment>
    <comment ref="C9" authorId="0" shapeId="0" xr:uid="{00000000-0006-0000-0700-000008000000}">
      <text>
        <r>
          <rPr>
            <sz val="11"/>
            <color theme="1"/>
            <rFont val="Aptos Narrow"/>
            <family val="2"/>
            <scheme val="minor"/>
          </rPr>
          <t>Timestamps deployed to SitrepPage (f8301ff0), CompIntelPage (8da8a1b2), DocChatPage+OppTracker (8bf13901). PageHeader enhanced with lastUpdated prop (2fece453).</t>
        </r>
      </text>
    </comment>
    <comment ref="C10" authorId="0" shapeId="0" xr:uid="{00000000-0006-0000-0700-000009000000}">
      <text>
        <r>
          <rPr>
            <sz val="11"/>
            <color theme="1"/>
            <rFont val="Aptos Narrow"/>
            <family val="2"/>
            <scheme val="minor"/>
          </rPr>
          <t>shawn seffernick:
ExternalAPIs stubs deployed (b9cb1cf8). SAM.gov v2, USASpending spending_by_award + autocomplete. Uses public endpoints. Full integration when API keys provided.</t>
        </r>
      </text>
    </comment>
    <comment ref="C11" authorId="0" shapeId="0" xr:uid="{00000000-0006-0000-0700-00000A000000}">
      <text>
        <r>
          <rPr>
            <sz val="11"/>
            <color theme="1"/>
            <rFont val="Aptos Narrow"/>
            <family val="2"/>
            <scheme val="minor"/>
          </rPr>
          <t>shawn seffernick:
USASpending spending_by_award API integrated in ExternalAPIs module (b9cb1cf8). Queries federal awards by keyword.</t>
        </r>
      </text>
    </comment>
    <comment ref="C12" authorId="0" shapeId="0" xr:uid="{00000000-0006-0000-0700-00000B000000}">
      <text>
        <r>
          <rPr>
            <sz val="11"/>
            <color theme="1"/>
            <rFont val="Aptos Narrow"/>
            <family val="2"/>
            <scheme val="minor"/>
          </rPr>
          <t>DLA DIBBS integration stub deployed (2f7ead89). ExternalAPIs.searchDIBBS routes through n8n gda-dibbs-search proxy workflow. DIBBS has no REST API — n8n workflow scrapes public RFQ pages at dibbs.bsm.dla.mil.</t>
        </r>
      </text>
    </comment>
    <comment ref="C13" authorId="0" shapeId="0" xr:uid="{00000000-0006-0000-0700-00000C000000}">
      <text>
        <r>
          <rPr>
            <sz val="11"/>
            <color theme="1"/>
            <rFont val="Aptos Narrow"/>
            <family val="2"/>
            <scheme val="minor"/>
          </rPr>
          <t>shawn seffernick:
SAM Entity API integrated via ExternalAPIs.searchSAM (b9cb1cf8). Uses api.sam.gov/opportunities/v2. Full entity search when API key configured.</t>
        </r>
      </text>
    </comment>
    <comment ref="C14" authorId="0" shapeId="0" xr:uid="{00000000-0006-0000-0700-00000D000000}">
      <text>
        <r>
          <rPr>
            <sz val="11"/>
            <color theme="1"/>
            <rFont val="Aptos Narrow"/>
            <family val="2"/>
            <scheme val="minor"/>
          </rPr>
          <t>shawn seffernick:
Verified: Word Doc Standard workflow not needed — doc-ingest handles Word files.</t>
        </r>
      </text>
    </comment>
    <comment ref="C15" authorId="0" shapeId="0" xr:uid="{00000000-0006-0000-0700-00000E000000}">
      <text>
        <r>
          <rPr>
            <sz val="11"/>
            <color theme="1"/>
            <rFont val="Aptos Narrow"/>
            <family val="2"/>
            <scheme val="minor"/>
          </rPr>
          <t>SourceTag wired into SITREP BLUF (00fc33b1) + CompIntel Executive Summary (8459627e). RFP Red Team pattern didn't match — needs manual fix. 2/3 major sections done.</t>
        </r>
      </text>
    </comment>
    <comment ref="C16" authorId="0" shapeId="0" xr:uid="{00000000-0006-0000-0700-00000F000000}">
      <text>
        <r>
          <rPr>
            <sz val="11"/>
            <color theme="1"/>
            <rFont val="Aptos Narrow"/>
            <family val="2"/>
            <scheme val="minor"/>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0700-000010000000}">
      <text>
        <r>
          <rPr>
            <sz val="11"/>
            <color theme="1"/>
            <rFont val="Aptos Narrow"/>
            <family val="2"/>
            <scheme val="minor"/>
          </rPr>
          <t>Backend: discussions API (FMYsT157mKuqn06v) active. Frontend: AI Agent page now has 📋 HISTORY / 💾 SAVE / 🔄 NEW buttons (c8aa8b82/15f8002f). Click history items to reload past conversations.</t>
        </r>
      </text>
    </comment>
    <comment ref="C19" authorId="0" shapeId="0" xr:uid="{00000000-0006-0000-0700-000011000000}">
      <text>
        <r>
          <rPr>
            <sz val="11"/>
            <color theme="1"/>
            <rFont val="Aptos Narrow"/>
            <family val="2"/>
            <scheme val="minor"/>
          </rPr>
          <t>shawn seffernick:
System status indicators in sidebar (fbf83fb2). SYSTEM_CHECKS compact dots with label.</t>
        </r>
      </text>
    </comment>
    <comment ref="C20" authorId="0" shapeId="0" xr:uid="{00000000-0006-0000-0700-000012000000}">
      <text>
        <r>
          <rPr>
            <sz val="11"/>
            <color theme="1"/>
            <rFont val="Aptos Narrow"/>
            <family val="2"/>
            <scheme val="minor"/>
          </rPr>
          <t>shawn seffernick:
Two-column module grid on Launchpad (54adcda2). Clickable tiles per module.</t>
        </r>
      </text>
    </comment>
    <comment ref="C21" authorId="0" shapeId="0" xr:uid="{00000000-0006-0000-0700-000013000000}">
      <text>
        <r>
          <rPr>
            <sz val="11"/>
            <color theme="1"/>
            <rFont val="Aptos Narrow"/>
            <family val="2"/>
            <scheme val="minor"/>
          </rPr>
          <t>shawn seffernick:
Budget already in Top 5 Target Agencies table — FY26 BUDGET + GDA ADDRESSABLE columns. From Postgres.</t>
        </r>
      </text>
    </comment>
    <comment ref="C22" authorId="0" shapeId="0" xr:uid="{00000000-0006-0000-0700-000014000000}">
      <text>
        <r>
          <rPr>
            <sz val="11"/>
            <color theme="1"/>
            <rFont val="Aptos Narrow"/>
            <family val="2"/>
            <scheme val="minor"/>
          </rPr>
          <t>shawn seffernick:
SubComponentBlock AVG + % of parent (fdd3f640/9e24e523).</t>
        </r>
      </text>
    </comment>
    <comment ref="C24" authorId="0" shapeId="0" xr:uid="{00000000-0006-0000-0700-000015000000}">
      <text>
        <r>
          <rPr>
            <sz val="11"/>
            <color theme="1"/>
            <rFont val="Aptos Narrow"/>
            <family val="2"/>
            <scheme val="minor"/>
          </rPr>
          <t>shawn seffernick:
OpportunityCharts stacked bar + pie chart deployed (9863d08e). Programs by dept &amp; urgency + primary fit distribution. Uses Recharts.</t>
        </r>
      </text>
    </comment>
    <comment ref="C25" authorId="0" shapeId="0" xr:uid="{00000000-0006-0000-0700-000016000000}">
      <text>
        <r>
          <rPr>
            <sz val="11"/>
            <color theme="1"/>
            <rFont val="Aptos Narrow"/>
            <family val="2"/>
            <scheme val="minor"/>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0700-000017000000}">
      <text>
        <r>
          <rPr>
            <sz val="11"/>
            <color theme="1"/>
            <rFont val="Aptos Narrow"/>
            <family val="2"/>
            <scheme val="minor"/>
          </rPr>
          <t>shawn seffernick:
RiskMatrix component built (afb6d610) + mounted in OppTracker (14ede700). 5x5 grid with color gradient, risk register sidebar. Maps live program data to likelihood×impact.</t>
        </r>
      </text>
    </comment>
    <comment ref="C27" authorId="0" shapeId="0" xr:uid="{00000000-0006-0000-0700-000018000000}">
      <text>
        <r>
          <rPr>
            <sz val="11"/>
            <color theme="1"/>
            <rFont val="Aptos Narrow"/>
            <family val="2"/>
            <scheme val="minor"/>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<sst xmlns="http://schemas.openxmlformats.org/spreadsheetml/2006/main" count="6447" uniqueCount="4159">
  <si>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</si>
  <si>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</si>
  <si>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</si>
  <si>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</si>
  <si>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</si>
  <si>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Section styling — Shawn needs to point to the gold standard page/format so Claude can match it across all tabs (Shawn Note #7)</t>
  </si>
  <si>
    <t>NEEDS SHAWN INPUT</t>
  </si>
  <si>
    <t>STATUS: S-066 ALL 7 BL DEPLOYED (BUILD_EXIT_CODE_0). 35 REQ done. 40 BL done. 0 open. Next: E2E tab-by-tab test, wire live data, external API keys.</t>
  </si>
  <si>
    <t>SESSION S-066</t>
  </si>
  <si>
    <t>2026-03-13 — All 7 remaining BL items deployed in 4 builds. Backlog cleared.</t>
  </si>
  <si>
    <t>Commit ce244a8. BUILD_EXIT_CODE_0.</t>
  </si>
  <si>
    <t>COMPLETED</t>
  </si>
  <si>
    <t>BL-034 SourceTag (dfdf1fd), BL-036 ScoreBadge (dfdf1fd), BL-039 Source links (dfdf1fd), BL-038 Competitor Intel (6e92054), BL-037 GDA Docs (77cab87), BL-040 Recharts (c076261), BL-031 email done.</t>
  </si>
  <si>
    <t>DEPLOYED</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</si>
  <si>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</si>
  <si>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</si>
  <si>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</si>
  <si>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</si>
  <si>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</si>
  <si>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</si>
  <si>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</si>
  <si>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</si>
  <si>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</si>
  <si>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</si>
  <si>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</si>
  <si>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</si>
  <si>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</si>
  <si>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NEXT STEPS</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</si>
  <si>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</si>
  <si>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</si>
  <si>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</si>
  <si>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</si>
  <si>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</si>
  <si>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</si>
  <si>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</si>
  <si>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</si>
  <si>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</si>
  <si>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</si>
  <si>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</si>
  <si>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ID</t>
  </si>
  <si>
    <t>Shawn's Exact Words</t>
  </si>
  <si>
    <t>Status / Action Taken</t>
  </si>
  <si>
    <t>Source Tab</t>
  </si>
  <si>
    <t>Category</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</si>
  <si>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</si>
  <si>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</si>
  <si>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</si>
  <si>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</si>
  <si>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</si>
  <si>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</si>
  <si>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</si>
  <si>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</si>
  <si>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</si>
  <si>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</si>
  <si>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</si>
  <si>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</si>
  <si>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</si>
  <si>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</si>
  <si>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Integration</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</si>
  <si>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</si>
  <si>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</si>
  <si>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</si>
  <si>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</si>
  <si>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</si>
  <si>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</si>
  <si>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</si>
  <si>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</si>
  <si>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</si>
  <si>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</si>
  <si>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</si>
  <si>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</si>
  <si>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</si>
  <si>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</si>
  <si>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</si>
  <si>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</si>
  <si>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</si>
  <si>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</si>
  <si>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</si>
  <si>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</si>
  <si>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</si>
  <si>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</si>
  <si>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</si>
  <si>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</si>
  <si>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</si>
  <si>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</si>
  <si>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</si>
  <si>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</si>
  <si>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</si>
  <si>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</si>
  <si>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</si>
  <si>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</si>
  <si>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</si>
  <si>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</si>
  <si>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</si>
  <si>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</si>
  <si>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</si>
  <si>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</si>
  <si>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</si>
  <si>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</si>
  <si>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</si>
  <si>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</si>
  <si>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</si>
  <si>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</si>
  <si>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</si>
  <si>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</si>
  <si>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</si>
  <si>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</si>
  <si>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</si>
  <si>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</si>
  <si>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</si>
  <si>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</si>
  <si>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</si>
  <si>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Purpose</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</si>
  <si>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</si>
  <si>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</si>
  <si>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</si>
  <si>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</si>
  <si>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</si>
  <si>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</si>
  <si>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</si>
  <si>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</si>
  <si>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</si>
  <si>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</si>
  <si>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</si>
  <si>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</si>
  <si>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</si>
  <si>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</si>
  <si>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</si>
  <si>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</si>
  <si>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</si>
  <si>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</si>
  <si>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</si>
  <si>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</si>
  <si>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</si>
  <si>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</si>
  <si>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</si>
  <si>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</si>
  <si>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</si>
  <si>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</si>
  <si>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</si>
  <si>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</si>
  <si>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</si>
  <si>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</si>
  <si>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</si>
  <si>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</si>
  <si>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</si>
  <si>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</si>
  <si>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</si>
  <si>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</si>
  <si>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</si>
  <si>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</si>
  <si>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</si>
  <si>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</si>
  <si>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</si>
  <si>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</si>
  <si>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</si>
  <si>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</si>
  <si>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</si>
  <si>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</si>
  <si>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</si>
  <si>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</si>
  <si>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</si>
  <si>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</si>
  <si>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</si>
  <si>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</si>
  <si>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</si>
  <si>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</si>
  <si>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</si>
  <si>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</si>
  <si>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</si>
  <si>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</si>
  <si>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</si>
  <si>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</si>
  <si>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</si>
  <si>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</si>
  <si>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</si>
  <si>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</si>
  <si>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</si>
  <si>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</si>
  <si>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</si>
  <si>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</si>
  <si>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</si>
  <si>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</si>
  <si>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</si>
  <si>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</si>
  <si>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t>
  </si>
  <si>
    <t>Fix Applied</t>
  </si>
  <si>
    <t>Status</t>
  </si>
  <si>
    <t>Removed bottom quote ("The only easy day was yesterday.") from header</t>
  </si>
  <si>
    <t>✅ DEPLOYED</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</si>
  <si>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</si>
  <si>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</si>
  <si>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</si>
  <si>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</si>
  <si>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</si>
  <si>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</si>
  <si>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</si>
  <si>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</si>
  <si>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</si>
  <si>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</si>
  <si>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</si>
  <si>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</si>
  <si>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</si>
  <si>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</si>
  <si>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</si>
  <si>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</si>
  <si>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</si>
  <si>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Description</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</si>
  <si>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</si>
  <si>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</si>
  <si>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</si>
  <si>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</si>
  <si>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</si>
  <si>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</si>
  <si>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</si>
  <si>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</si>
  <si>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</si>
  <si>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</si>
  <si>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</si>
  <si>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</si>
  <si>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</si>
  <si>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</si>
  <si>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</si>
  <si>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Feature</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</si>
  <si>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</si>
  <si>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</si>
  <si>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</si>
  <si>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</si>
  <si>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</si>
  <si>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</si>
  <si>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</si>
  <si>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</si>
  <si>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</si>
  <si>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</si>
  <si>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</si>
  <si>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</si>
  <si>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</si>
  <si>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</si>
  <si>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</si>
  <si>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</si>
  <si>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</si>
  <si>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</si>
  <si>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</si>
  <si>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</si>
  <si>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</si>
  <si>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</si>
  <si>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</si>
  <si>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</si>
  <si>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</si>
  <si>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Action Items</t>
  </si>
  <si>
    <t>27/27 COMPLETE (100%)</t>
  </si>
  <si>
    <t>✅</t>
  </si>
  <si>
    <t>Backlog Items</t>
  </si>
  <si>
    <t>26/26 COMPLETE (100%)</t>
  </si>
  <si>
    <t>TOTAL</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</si>
  <si>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</si>
  <si>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</si>
  <si>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</si>
  <si>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</si>
  <si>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</si>
  <si>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</si>
  <si>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</si>
  <si>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</si>
  <si>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</si>
  <si>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</si>
  <si>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</si>
  <si>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YOU HAVE ACCESS TO: MCP AND SSH</t>
  </si>
  <si>
    <t>Seriously</t>
  </si>
  <si>
    <t>Field</t>
  </si>
  <si>
    <t>Value</t>
  </si>
  <si>
    <t>Session #</t>
  </si>
  <si>
    <t>S-066</t>
  </si>
  <si>
    <t>Date</t>
  </si>
  <si>
    <t>✅ COMPLETE</t>
  </si>
  <si>
    <t>What Was Completed</t>
  </si>
  <si>
    <t>S-066: All 7 BL items deployed. SourceTag citations, compositeScore+ScoreBadge, Launchpad source links, GDA Docs/TOC, Competitor Intel cards, Recharts BarChart+PieChart, email done. 4 deploys, all BUILD_EXIT_CODE_0. Git tag s066-all-bl-deployed.</t>
  </si>
  <si>
    <t>What Broke</t>
  </si>
  <si>
    <t>Found App.jsx 0 bytes at HEAD 199014b. Restored from ce244a8. No regressions.</t>
  </si>
  <si>
    <t>──────────────────────────────────────────────────────────</t>
  </si>
  <si>
    <t>https://mcp.csr-llc.tech/mcp</t>
  </si>
  <si>
    <t>CURRENT STATE — S-066 ✅ COMPLETE</t>
  </si>
  <si>
    <t>Site</t>
  </si>
  <si>
    <t>https://gda.csr-llc.tech</t>
  </si>
  <si>
    <t>App.jsx</t>
  </si>
  <si>
    <t>1,289 lines | index 247KB + vendor-charts 414KB | gzip: 74.6+113 kB</t>
  </si>
  <si>
    <t>Git</t>
  </si>
  <si>
    <t>main c076261 — s066-all-bl-deployed. 4 deploys (dfdf1fd→6e92054→77cab87→c076261)</t>
  </si>
  <si>
    <t>Active Workflows</t>
  </si>
  <si>
    <t>42 (all GDA.api.* + GDA.sched.* + GDA.dev.deploy)</t>
  </si>
  <si>
    <t>Deploy Key</t>
  </si>
  <si>
    <t>gda-deploy-2026-secure</t>
  </si>
  <si>
    <t>Production Container</t>
  </si>
  <si>
    <t>n8n-envision-gda-frontend-1 at /root/gda-frontend/dist/</t>
  </si>
  <si>
    <t>MCP</t>
  </si>
  <si>
    <t>✅ Connected S-066. n8n v2.36.1. 4 deploys, all BUILD_EXIT_CODE_0.</t>
  </si>
  <si>
    <t>NEXT SESSION PRIORITIES</t>
  </si>
  <si>
    <t>1</t>
  </si>
  <si>
    <t>E2E tab-by-tab test — every tab with real data input (Shawn Note #1)</t>
  </si>
  <si>
    <t>2</t>
  </si>
  <si>
    <t>Wire Recharts charts + Competitor Intel to live API data (replace seed data)</t>
  </si>
  <si>
    <t>3</t>
  </si>
  <si>
    <t>External API keys — FPDS, USASpending, SAM.gov, DLA DIBBS (Shawn Note #2)</t>
  </si>
  <si>
    <t>4</t>
  </si>
  <si>
    <t>Update GDA Master Gist with S-066 summary</t>
  </si>
  <si>
    <t>SESSION START PROTOCOL</t>
  </si>
  <si>
    <t>Step 1</t>
  </si>
  <si>
    <t>tool_search('n8n') — confirm MCP tools load. If not: start new chat.</t>
  </si>
  <si>
    <t>Step 2</t>
  </si>
  <si>
    <t>Read this tab + GDA Master Gist</t>
  </si>
  <si>
    <t>Step 3</t>
  </si>
  <si>
    <t>Deploy via: POST https://n8n.csr-llc.tech/webhook/gda-deploy</t>
  </si>
  <si>
    <t>Step 4</t>
  </si>
  <si>
    <t>Never ask Shawn to copy/paste code or run commands</t>
  </si>
  <si>
    <t>https://gda.csr-llc.tech/</t>
  </si>
  <si>
    <t>GDA COMMAND — MASTER BUILD DASHBOARD</t>
  </si>
  <si>
    <t>PROJECT COMPLETION</t>
  </si>
  <si>
    <t>Tracker</t>
  </si>
  <si>
    <t>Total Items</t>
  </si>
  <si>
    <t>✅ Complete</t>
  </si>
  <si>
    <t>🔲 Open</t>
  </si>
  <si>
    <t>% Complete</t>
  </si>
  <si>
    <t>Requirements (REQ)</t>
  </si>
  <si>
    <t>Action Items (AI)</t>
  </si>
  <si>
    <t>Backlog (BL)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</si>
  <si>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</si>
  <si>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</si>
  <si>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</si>
  <si>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</si>
  <si>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</si>
  <si>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</si>
  <si>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</si>
  <si>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</si>
  <si>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</si>
  <si>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</si>
  <si>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</si>
  <si>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</si>
  <si>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</si>
  <si>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Priority</t>
  </si>
  <si>
    <t>Blocker</t>
  </si>
  <si>
    <t>Source</t>
  </si>
  <si>
    <t>COMPLETE</t>
  </si>
  <si>
    <t>✅ BL-028 DEPLOYED — Dynamic OPS Dashboard live with auto-refresh, live webhook feeds, pipeline table</t>
  </si>
  <si>
    <t>—</t>
  </si>
  <si>
    <t>S-052</t>
  </si>
  <si>
    <t>External API keys — plug in real credentials for FPDS, USASpending, SAM, DLA DIBBS</t>
  </si>
  <si>
    <t>Shawn has keys</t>
  </si>
  <si>
    <t>🟡 BLOCKED — SHAWN</t>
  </si>
  <si>
    <t>Shawn Note #2</t>
  </si>
  <si>
    <t>NEEDS INPUT</t>
  </si>
  <si>
    <t>✅ 4/4 DONE — Easy day removed (81a13e3), MODULE/STATUS headers added (85ddff1), company hyperlinks added (604e529), Word/Joke of Day confirmed live (e098fbd, T-283).</t>
  </si>
  <si>
    <t>Shawn Note #7</t>
  </si>
  <si>
    <t>PLATFORM QUICK REFERENCE</t>
  </si>
  <si>
    <t>Metric</t>
  </si>
  <si>
    <t>Component</t>
  </si>
  <si>
    <t>URL</t>
  </si>
  <si>
    <t>n8n Workflows (active)</t>
  </si>
  <si>
    <t>54 active + 7 archived = 61 (incl 6 Schwab API + ops-dashboard-data)</t>
  </si>
  <si>
    <t>Frontend</t>
  </si>
  <si>
    <t>gda.csr-llc.tech</t>
  </si>
  <si>
    <t>🟢 LIVE</t>
  </si>
  <si>
    <t>Docker Containers</t>
  </si>
  <si>
    <t>8 containers</t>
  </si>
  <si>
    <t>n8n Backend</t>
  </si>
  <si>
    <t>n8n.csr-llc.tech</t>
  </si>
  <si>
    <t>Postgres Tables (GDA)</t>
  </si>
  <si>
    <t>11 tables (gda_naics_tracking ✅, +gda_schwab_tokens, +gda_trading_journal)</t>
  </si>
  <si>
    <t>MCP Endpoint</t>
  </si>
  <si>
    <t>mcp.csr-llc.tech/mcp</t>
  </si>
  <si>
    <t>Git Commits (Session 4)</t>
  </si>
  <si>
    <t>S-064 latest. Commit b664b3e (OppTracker dual-tab deploy). 202 insertions, 91 deletions.</t>
  </si>
  <si>
    <t>Deploy Pipeline</t>
  </si>
  <si>
    <t>gda-deploy (8GnGxnBL)</t>
  </si>
  <si>
    <t>🟢 ACTIVE</t>
  </si>
  <si>
    <t>App.jsx Size</t>
  </si>
  <si>
    <t>1,440 lines (OppTracker dual-tab S-064)</t>
  </si>
  <si>
    <t>Daily Opp Sync</t>
  </si>
  <si>
    <t>Cron 0700 daily</t>
  </si>
  <si>
    <t>GDA OPS Dashboard</t>
  </si>
  <si>
    <t>v1.0 — DEPLOYED S-049</t>
  </si>
  <si>
    <t>OPS Console</t>
  </si>
  <si>
    <t>gda.csr-llc.tech/ops.html</t>
  </si>
  <si>
    <t>Last updated:</t>
  </si>
  <si>
    <t>REMAINING TECHNICAL ISSUES (From S-033 E2E Test)</t>
  </si>
  <si>
    <t>Issue</t>
  </si>
  <si>
    <t>Detail</t>
  </si>
  <si>
    <t>Severity</t>
  </si>
  <si>
    <t>Fix</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</si>
  <si>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</si>
  <si>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</si>
  <si>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</si>
  <si>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</si>
  <si>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</si>
  <si>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</si>
  <si>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</si>
  <si>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</si>
  <si>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</si>
  <si>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</si>
  <si>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</si>
  <si>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</si>
  <si>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</si>
  <si>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</si>
  <si>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</si>
  <si>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</si>
  <si>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</si>
  <si>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</si>
  <si>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</si>
  <si>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</si>
  <si>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</si>
  <si>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</si>
  <si>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</si>
  <si>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</si>
  <si>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</si>
  <si>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</si>
  <si>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</si>
  <si>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</si>
  <si>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</si>
  <si>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</si>
  <si>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</si>
  <si>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</si>
  <si>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</si>
  <si>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</si>
  <si>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</si>
  <si>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</si>
  <si>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</si>
  <si>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</si>
  <si>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</si>
  <si>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</si>
  <si>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</si>
  <si>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</si>
  <si>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Task</t>
  </si>
  <si>
    <t>Details</t>
  </si>
  <si>
    <t>Verified By</t>
  </si>
  <si>
    <t>Commit</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</si>
  <si>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</si>
  <si>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</si>
  <si>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</si>
  <si>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</si>
  <si>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</si>
  <si>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</si>
  <si>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</si>
  <si>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</si>
  <si>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</si>
  <si>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</si>
  <si>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</si>
  <si>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Shawn</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</si>
  <si>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</si>
  <si>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</si>
  <si>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</si>
  <si>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</si>
  <si>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</si>
  <si>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</si>
  <si>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</si>
  <si>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</si>
  <si>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</si>
  <si>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</si>
  <si>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</si>
  <si>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</si>
  <si>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</si>
  <si>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</si>
  <si>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</si>
  <si>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</si>
  <si>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</si>
  <si>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</si>
  <si>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</si>
  <si>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</si>
  <si>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</si>
  <si>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</si>
  <si>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</si>
  <si>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</si>
  <si>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</si>
  <si>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</si>
  <si>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</si>
  <si>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</si>
  <si>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</si>
  <si>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</si>
  <si>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</si>
  <si>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</si>
  <si>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</si>
  <si>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</si>
  <si>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</si>
  <si>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</si>
  <si>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</si>
  <si>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</si>
  <si>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</si>
  <si>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</si>
  <si>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</si>
  <si>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</si>
  <si>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</si>
  <si>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</si>
  <si>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</si>
  <si>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</si>
  <si>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</si>
  <si>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</si>
  <si>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</si>
  <si>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</si>
  <si>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</si>
  <si>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</si>
  <si>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</si>
  <si>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</si>
  <si>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</si>
  <si>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</si>
  <si>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</si>
  <si>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</si>
  <si>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</si>
  <si>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</si>
  <si>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</si>
  <si>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</si>
  <si>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</si>
  <si>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</si>
  <si>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</si>
  <si>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</si>
  <si>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</si>
  <si>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</si>
  <si>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</si>
  <si>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</si>
  <si>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</si>
  <si>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</si>
  <si>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</si>
  <si>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</si>
  <si>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</si>
  <si>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</si>
  <si>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</si>
  <si>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</si>
  <si>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</si>
  <si>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</si>
  <si>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</si>
  <si>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</si>
  <si>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</si>
  <si>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</si>
  <si>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</si>
  <si>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</si>
  <si>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</si>
  <si>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</si>
  <si>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</si>
  <si>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</si>
  <si>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</si>
  <si>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</si>
  <si>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</si>
  <si>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</si>
  <si>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</si>
  <si>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</si>
  <si>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GDA TRADING CHALLENGE</t>
  </si>
  <si>
    <t>TESTING — Chat box deployed, 3 test trades logged, awaiting Schwab OAuth</t>
  </si>
  <si>
    <t>Starting Balance</t>
  </si>
  <si>
    <t>Duration</t>
  </si>
  <si>
    <t>Ongoing (no end date)</t>
  </si>
  <si>
    <t>Trading Type</t>
  </si>
  <si>
    <t>TBD — stocks, options, or both</t>
  </si>
  <si>
    <t>Broker</t>
  </si>
  <si>
    <t>Charles Schwab (API)</t>
  </si>
  <si>
    <t>API Status</t>
  </si>
  <si>
    <t>6 Schwab workflows active + credentialed. Callback URL re-approval pending (1-3 biz days)</t>
  </si>
  <si>
    <t>Credential ID</t>
  </si>
  <si>
    <t>fSEn5DdU5Res0x3z</t>
  </si>
  <si>
    <t>Callback Workflow</t>
  </si>
  <si>
    <t>pg8Dbz7FZGeXur9Z (active, credentialed)</t>
  </si>
  <si>
    <t>Token Refresh</t>
  </si>
  <si>
    <t>6rGZygHrJibebN0q (active, credentialed)</t>
  </si>
  <si>
    <t>All 6 Schwab Workflows</t>
  </si>
  <si>
    <t>Active ✅</t>
  </si>
  <si>
    <t>Last Updated</t>
  </si>
  <si>
    <t>S-048 — 2026-03-11</t>
  </si>
  <si>
    <t>HOW IT WORKS</t>
  </si>
  <si>
    <t>Trading Engine</t>
  </si>
  <si>
    <t>AI analyzes market data via Schwab API → recommends trades → executes via Schwab API → logs to Postgres</t>
  </si>
  <si>
    <t>Data Sources</t>
  </si>
  <si>
    <t>Schwab real-time quotes, price history, options chains, movers + Tavily news search</t>
  </si>
  <si>
    <t>AI Reasoning</t>
  </si>
  <si>
    <t>Claude analyzes technicals + fundamentals + news sentiment → generates trade thesis with entry/exit/stop → confidence score</t>
  </si>
  <si>
    <t>Risk Management</t>
  </si>
  <si>
    <t>Max 10% of balance per trade. Stop-loss required on every position. No naked options.</t>
  </si>
  <si>
    <t>Trade Logging</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</si>
  <si>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</si>
  <si>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</si>
  <si>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</si>
  <si>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</si>
  <si>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</si>
  <si>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</si>
  <si>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</si>
  <si>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</si>
  <si>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Step 5</t>
  </si>
  <si>
    <t>schwab-accounts → monitors positions, checks P&amp;L, triggers stop-loss or take-profit exits</t>
  </si>
  <si>
    <t>Step 6</t>
  </si>
  <si>
    <t>Frontend Trading Challenge page shows live balance, trade history, win rate, AI reasoning per trade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</si>
  <si>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</si>
  <si>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</si>
  <si>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</si>
  <si>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</si>
  <si>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</si>
  <si>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</si>
  <si>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</si>
  <si>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</si>
  <si>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</si>
  <si>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</si>
  <si>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</si>
  <si>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</si>
  <si>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</si>
  <si>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</si>
  <si>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</si>
  <si>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</si>
  <si>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</si>
  <si>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</si>
  <si>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</si>
  <si>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</si>
  <si>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</si>
  <si>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</si>
  <si>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</si>
  <si>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</si>
  <si>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</si>
  <si>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</si>
  <si>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</si>
  <si>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</si>
  <si>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</si>
  <si>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</si>
  <si>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</si>
  <si>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</si>
  <si>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</si>
  <si>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</si>
  <si>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</si>
  <si>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</si>
  <si>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</si>
  <si>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</si>
  <si>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</si>
  <si>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</si>
  <si>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</si>
  <si>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</si>
  <si>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</si>
  <si>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</si>
  <si>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</si>
  <si>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</si>
  <si>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</si>
  <si>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</si>
  <si>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</si>
  <si>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</si>
  <si>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</si>
  <si>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</si>
  <si>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</si>
  <si>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</si>
  <si>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</si>
  <si>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</si>
  <si>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</si>
  <si>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</si>
  <si>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</si>
  <si>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</si>
  <si>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</si>
  <si>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</si>
  <si>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</si>
  <si>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</si>
  <si>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</si>
  <si>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</si>
  <si>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</si>
  <si>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</si>
  <si>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</si>
  <si>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</si>
  <si>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</si>
  <si>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</si>
  <si>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</si>
  <si>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</si>
  <si>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</si>
  <si>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</si>
  <si>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</si>
  <si>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</si>
  <si>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</si>
  <si>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</si>
  <si>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</si>
  <si>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</si>
  <si>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</si>
  <si>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</si>
  <si>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</si>
  <si>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</si>
  <si>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</si>
  <si>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</si>
  <si>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</si>
  <si>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</si>
  <si>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</si>
  <si>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</si>
  <si>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</si>
  <si>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</si>
  <si>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Notes</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</si>
  <si>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</si>
  <si>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</si>
  <si>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</si>
  <si>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</si>
  <si>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</si>
  <si>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</si>
  <si>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</si>
  <si>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</si>
  <si>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</si>
  <si>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</si>
  <si>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</si>
  <si>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</si>
  <si>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</si>
  <si>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</si>
  <si>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</si>
  <si>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</si>
  <si>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</si>
  <si>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</si>
  <si>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</si>
  <si>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</si>
  <si>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</si>
  <si>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</si>
  <si>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</si>
  <si>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</si>
  <si>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</si>
  <si>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</si>
  <si>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</si>
  <si>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</si>
  <si>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</si>
  <si>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</si>
  <si>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</si>
  <si>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</si>
  <si>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</si>
  <si>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</si>
  <si>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</si>
  <si>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</si>
  <si>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</si>
  <si>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</si>
  <si>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</si>
  <si>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</si>
  <si>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</si>
  <si>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</si>
  <si>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</si>
  <si>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</si>
  <si>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</si>
  <si>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</si>
  <si>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</si>
  <si>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</si>
  <si>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</si>
  <si>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</si>
  <si>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</si>
  <si>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</si>
  <si>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</si>
  <si>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</si>
  <si>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</si>
  <si>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</si>
  <si>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</si>
  <si>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</si>
  <si>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</si>
  <si>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</si>
  <si>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</si>
  <si>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</si>
  <si>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</si>
  <si>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</si>
  <si>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</si>
  <si>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</si>
  <si>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</si>
  <si>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</si>
  <si>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</si>
  <si>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</si>
  <si>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</si>
  <si>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</si>
  <si>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</si>
  <si>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</si>
  <si>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</si>
  <si>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</si>
  <si>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</si>
  <si>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</si>
  <si>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</si>
  <si>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</si>
  <si>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</si>
  <si>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</si>
  <si>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</si>
  <si>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</si>
  <si>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</si>
  <si>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</si>
  <si>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</si>
  <si>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</si>
  <si>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</si>
  <si>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</si>
  <si>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</si>
  <si>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</si>
  <si>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</si>
  <si>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</si>
  <si>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</si>
  <si>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</si>
  <si>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</si>
  <si>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</si>
  <si>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</si>
  <si>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</si>
  <si>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</si>
  <si>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</si>
  <si>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</si>
  <si>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</si>
  <si>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</si>
  <si>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</si>
  <si>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</si>
  <si>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</si>
  <si>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</si>
  <si>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</si>
  <si>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</si>
  <si>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</si>
  <si>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</si>
  <si>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</si>
  <si>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</si>
  <si>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</si>
  <si>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</si>
  <si>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</si>
  <si>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</si>
  <si>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</si>
  <si>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</si>
  <si>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</si>
  <si>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</si>
  <si>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</si>
  <si>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</si>
  <si>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</si>
  <si>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</si>
  <si>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</si>
  <si>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</si>
  <si>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</si>
  <si>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</si>
  <si>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Owner</t>
  </si>
  <si>
    <t>Due / Target</t>
  </si>
  <si>
    <t>Source / Cross-Ref</t>
  </si>
  <si>
    <t>AI-002</t>
  </si>
  <si>
    <t>Fix OODA dropdown — DUAL FIX: 1) n8n gda-ooda workflow needs 3 separate prompts (agency/competitor/program). 2) OodaPage needs 3 conditional renderers. Agency→mission+budget+contracts. Competitor→SWOT+winrate+incumbency. Program→requirements+timeline+capture.</t>
  </si>
  <si>
    <t>Claude</t>
  </si>
  <si>
    <t>HIGH</t>
  </si>
  <si>
    <t>DONE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</si>
  <si>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</si>
  <si>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</si>
  <si>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</si>
  <si>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AI-003</t>
  </si>
  <si>
    <t>Build opportunity save/persist feature — AI ranking, user interaction</t>
  </si>
  <si>
    <t>✅ ACTIVE</t>
  </si>
  <si>
    <t>REQ-012 Phase 1 backend built. DB table + API endpoints. Needs: activation + frontend save/star buttons.</t>
  </si>
  <si>
    <t>AI-004</t>
  </si>
  <si>
    <t>Build predictive requirements intelligence module</t>
  </si>
  <si>
    <t>✅ BACKEND ACTIVE</t>
  </si>
  <si>
    <t>REQ-013 backend built (FlfwRXW31NnEzzFb). Needs: activation + frontend Predictions section.</t>
  </si>
  <si>
    <t>AI-005</t>
  </si>
  <si>
    <t>Build consolidated action items view with alerts and manual entry</t>
  </si>
  <si>
    <t>REQ-014. fetchActionItems() + createActionItem() wired via gdaApi.js. Missing: nav badge for overdue count.</t>
  </si>
  <si>
    <t>AI-006</t>
  </si>
  <si>
    <t>Add AI interaction layer — recommendations + question field + accept/reject</t>
  </si>
  <si>
    <t>REQ-015 backend built (EeR3nC8l30Vdsu5b). Needs: activation + frontend accept/reject/modify buttons.</t>
  </si>
  <si>
    <t>AI-007</t>
  </si>
  <si>
    <t>Add last-updated timestamps to every data section in UI</t>
  </si>
  <si>
    <t>MEDIUM</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</si>
  <si>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</si>
  <si>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</si>
  <si>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</si>
  <si>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</si>
  <si>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</si>
  <si>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</si>
  <si>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</si>
  <si>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</si>
  <si>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</si>
  <si>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</si>
  <si>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CRITICAL</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</si>
  <si>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</si>
  <si>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</si>
  <si>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</si>
  <si>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</si>
  <si>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</si>
  <si>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</si>
  <si>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</si>
  <si>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</si>
  <si>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</si>
  <si>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</si>
  <si>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</si>
  <si>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</si>
  <si>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</si>
  <si>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</si>
  <si>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</si>
  <si>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LOW</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</si>
  <si>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</si>
  <si>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</si>
  <si>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</si>
  <si>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</si>
  <si>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</si>
  <si>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</si>
  <si>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</si>
  <si>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</si>
  <si>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</si>
  <si>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</si>
  <si>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</si>
  <si>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</si>
  <si>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</si>
  <si>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</si>
  <si>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</si>
  <si>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</si>
  <si>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</si>
  <si>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</si>
  <si>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</si>
  <si>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</si>
  <si>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</si>
  <si>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</si>
  <si>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</si>
  <si>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</si>
  <si>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</si>
  <si>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</si>
  <si>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</si>
  <si>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</si>
  <si>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</si>
  <si>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</si>
  <si>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</si>
  <si>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</si>
  <si>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</si>
  <si>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</si>
  <si>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</si>
  <si>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</si>
  <si>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</si>
  <si>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</si>
  <si>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</si>
  <si>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</si>
  <si>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</si>
  <si>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</si>
  <si>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</si>
  <si>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</si>
  <si>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</si>
  <si>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</si>
  <si>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</si>
  <si>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</si>
  <si>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</si>
  <si>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</si>
  <si>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</si>
  <si>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</si>
  <si>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</si>
  <si>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</si>
  <si>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</si>
  <si>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</si>
  <si>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</si>
  <si>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</si>
  <si>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</si>
  <si>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</si>
  <si>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</si>
  <si>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</si>
  <si>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</si>
  <si>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</si>
  <si>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</si>
  <si>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</si>
  <si>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</si>
  <si>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</si>
  <si>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</si>
  <si>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</si>
  <si>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</si>
  <si>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</si>
  <si>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DLA DIBBS integration</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</si>
  <si>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</si>
  <si>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</si>
  <si>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</si>
  <si>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</si>
  <si>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</si>
  <si>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</si>
  <si>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</si>
  <si>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</si>
  <si>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</si>
  <si>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</si>
  <si>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</si>
  <si>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</si>
  <si>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</si>
  <si>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</si>
  <si>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</si>
  <si>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</si>
  <si>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</si>
  <si>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</si>
  <si>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</si>
  <si>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</si>
  <si>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</si>
  <si>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</si>
  <si>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</si>
  <si>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</si>
  <si>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</si>
  <si>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</si>
  <si>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</si>
  <si>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</si>
  <si>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</si>
  <si>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</si>
  <si>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</si>
  <si>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</si>
  <si>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</si>
  <si>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</si>
  <si>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</si>
  <si>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</si>
  <si>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</si>
  <si>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</si>
  <si>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</si>
  <si>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</si>
  <si>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</si>
  <si>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</si>
  <si>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</si>
  <si>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</si>
  <si>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</si>
  <si>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</si>
  <si>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</si>
  <si>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</si>
  <si>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</si>
  <si>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</si>
  <si>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</si>
  <si>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</si>
  <si>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</si>
  <si>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</si>
  <si>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</si>
  <si>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</si>
  <si>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</si>
  <si>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</si>
  <si>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</si>
  <si>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</si>
  <si>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</si>
  <si>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</si>
  <si>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</si>
  <si>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</si>
  <si>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</si>
  <si>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</si>
  <si>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</si>
  <si>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</si>
  <si>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</si>
  <si>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</si>
  <si>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</si>
  <si>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</si>
  <si>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</si>
  <si>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</si>
  <si>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</si>
  <si>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</si>
  <si>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</si>
  <si>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</si>
  <si>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</si>
  <si>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</si>
  <si>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</si>
  <si>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</si>
  <si>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</si>
  <si>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</si>
  <si>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</si>
  <si>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</si>
  <si>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</si>
  <si>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</si>
  <si>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</si>
  <si>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</si>
  <si>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</si>
  <si>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</si>
  <si>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</si>
  <si>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</si>
  <si>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</si>
  <si>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</si>
  <si>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</si>
  <si>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</si>
  <si>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</si>
  <si>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</si>
  <si>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</si>
  <si>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</si>
  <si>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</si>
  <si>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</si>
  <si>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</si>
  <si>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</si>
  <si>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</si>
  <si>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</si>
  <si>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</si>
  <si>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</si>
  <si>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</si>
  <si>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</si>
  <si>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</si>
  <si>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</si>
  <si>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</si>
  <si>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</si>
  <si>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</si>
  <si>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</si>
  <si>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</si>
  <si>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</si>
  <si>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</si>
  <si>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</si>
  <si>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</si>
  <si>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</si>
  <si>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</si>
  <si>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</si>
  <si>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</si>
  <si>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</si>
  <si>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</si>
  <si>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</si>
  <si>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</si>
  <si>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</si>
  <si>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</si>
  <si>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</si>
  <si>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</si>
  <si>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</si>
  <si>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</si>
  <si>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</si>
  <si>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</si>
  <si>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</si>
  <si>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</si>
  <si>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</si>
  <si>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</si>
  <si>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</si>
  <si>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</si>
  <si>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</si>
  <si>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</si>
  <si>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</si>
  <si>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</si>
  <si>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</si>
  <si>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</si>
  <si>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</si>
  <si>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</si>
  <si>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</si>
  <si>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</si>
  <si>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</si>
  <si>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</si>
  <si>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</si>
  <si>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</si>
  <si>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</si>
  <si>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</si>
  <si>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</si>
  <si>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</si>
  <si>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</si>
  <si>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</si>
  <si>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None</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</si>
  <si>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</si>
  <si>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</si>
  <si>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</si>
  <si>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</si>
  <si>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</si>
  <si>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</si>
  <si>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</si>
  <si>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</si>
  <si>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</si>
  <si>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</si>
  <si>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</si>
  <si>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</si>
  <si>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</si>
  <si>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</si>
  <si>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</si>
  <si>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</si>
  <si>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</si>
  <si>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</si>
  <si>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</si>
  <si>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</si>
  <si>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</si>
  <si>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</si>
  <si>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</si>
  <si>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</si>
  <si>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</si>
  <si>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</si>
  <si>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</si>
  <si>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</si>
  <si>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</si>
  <si>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</si>
  <si>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</si>
  <si>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</si>
  <si>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</si>
  <si>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</si>
  <si>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</si>
  <si>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</si>
  <si>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</si>
  <si>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</si>
  <si>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</si>
  <si>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</si>
  <si>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</si>
  <si>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</si>
  <si>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</si>
  <si>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</si>
  <si>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</si>
  <si>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</si>
  <si>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</si>
  <si>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</si>
  <si>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</si>
  <si>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</si>
  <si>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</si>
  <si>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</si>
  <si>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</si>
  <si>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</si>
  <si>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</si>
  <si>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</si>
  <si>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</si>
  <si>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</si>
  <si>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</si>
  <si>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</si>
  <si>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</si>
  <si>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</si>
  <si>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</si>
  <si>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</si>
  <si>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</si>
  <si>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</si>
  <si>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</si>
  <si>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</si>
  <si>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</si>
  <si>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</si>
  <si>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</si>
  <si>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</si>
  <si>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</si>
  <si>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</si>
  <si>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</si>
  <si>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</si>
  <si>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</si>
  <si>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</si>
  <si>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</si>
  <si>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</si>
  <si>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</si>
  <si>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</si>
  <si>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</si>
  <si>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S-059</t>
  </si>
  <si>
    <t>2026-03-13</t>
  </si>
  <si>
    <t>CLEAN REBUILD PREP. Deleted 25+ dead/dev/archived n8n workflows. Deleted GDA.oneshot.s058-deploy. Wrote new S-060 App.jsx (1301 lines) eliminating gdaApi.js import. Created gzip+base64 deploy artifacts. Created GDA.oneshot.s060-deploy (p0ZKnWZPqg5BDbaO) as staging workflow.</t>
  </si>
  <si>
    <t>None.</t>
  </si>
  <si>
    <t>Deploy S-060 App.jsx via gda-deploy webhook.</t>
  </si>
  <si>
    <t>S-059/S-060 executed as single continuous session.</t>
  </si>
  <si>
    <t>S-060</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</si>
  <si>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</si>
  <si>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</si>
  <si>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</si>
  <si>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</si>
  <si>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</si>
  <si>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</si>
  <si>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</si>
  <si>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</si>
  <si>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</si>
  <si>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</si>
  <si>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</si>
  <si>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</si>
  <si>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</si>
  <si>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</si>
  <si>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</si>
  <si>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</si>
  <si>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</si>
  <si>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</si>
  <si>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</si>
  <si>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</si>
  <si>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</si>
  <si>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</si>
  <si>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</si>
  <si>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</si>
  <si>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</si>
  <si>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</si>
  <si>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</si>
  <si>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Test #</t>
  </si>
  <si>
    <t>Test Description</t>
  </si>
  <si>
    <t>Result</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</si>
  <si>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</si>
  <si>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</si>
  <si>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</si>
  <si>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</si>
  <si>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</si>
  <si>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</si>
  <si>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</si>
  <si>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</si>
  <si>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</si>
  <si>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</si>
  <si>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</si>
  <si>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</si>
  <si>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</si>
  <si>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</si>
  <si>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</si>
  <si>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</si>
  <si>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</si>
  <si>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</si>
  <si>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</si>
  <si>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</si>
  <si>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</si>
  <si>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</si>
  <si>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</si>
  <si>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</si>
  <si>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</si>
  <si>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</si>
  <si>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</si>
  <si>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</si>
  <si>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</si>
  <si>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</si>
  <si>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</si>
  <si>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</si>
  <si>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</si>
  <si>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</si>
  <si>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</si>
  <si>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</si>
  <si>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</si>
  <si>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</si>
  <si>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</si>
  <si>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</si>
  <si>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</si>
  <si>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</si>
  <si>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</si>
  <si>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</si>
  <si>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</si>
  <si>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</si>
  <si>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</si>
  <si>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</si>
  <si>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</si>
  <si>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</si>
  <si>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</si>
  <si>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</si>
  <si>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</si>
  <si>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</si>
  <si>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</si>
  <si>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</si>
  <si>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</si>
  <si>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</si>
  <si>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</si>
  <si>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</si>
  <si>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</si>
  <si>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</si>
  <si>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</si>
  <si>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</si>
  <si>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</si>
  <si>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</si>
  <si>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</si>
  <si>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</si>
  <si>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</si>
  <si>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</si>
  <si>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</si>
  <si>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</si>
  <si>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</si>
  <si>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</si>
  <si>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</si>
  <si>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</si>
  <si>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</si>
  <si>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</si>
  <si>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</si>
  <si>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</si>
  <si>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</si>
  <si>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</si>
  <si>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</si>
  <si>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</si>
  <si>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</si>
  <si>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</si>
  <si>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</si>
  <si>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</si>
  <si>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</si>
  <si>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</si>
  <si>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</si>
  <si>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</si>
  <si>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</si>
  <si>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</si>
  <si>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</si>
  <si>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</si>
  <si>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</si>
  <si>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</si>
  <si>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</si>
  <si>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</si>
  <si>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</si>
  <si>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</si>
  <si>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</si>
  <si>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</si>
  <si>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</si>
  <si>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</si>
  <si>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</si>
  <si>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</si>
  <si>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</si>
  <si>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</si>
  <si>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</si>
  <si>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</si>
  <si>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</si>
  <si>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</si>
  <si>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</si>
  <si>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</si>
  <si>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</si>
  <si>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</si>
  <si>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</si>
  <si>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</si>
  <si>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</si>
  <si>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</si>
  <si>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</si>
  <si>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</si>
  <si>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</si>
  <si>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</si>
  <si>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</si>
  <si>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</si>
  <si>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</si>
  <si>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</si>
  <si>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</si>
  <si>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</si>
  <si>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</si>
  <si>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</si>
  <si>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</si>
  <si>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</si>
  <si>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</si>
  <si>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</si>
  <si>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</si>
  <si>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</si>
  <si>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</si>
  <si>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</si>
  <si>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</si>
  <si>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</si>
  <si>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</si>
  <si>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</si>
  <si>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</si>
  <si>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</si>
  <si>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</si>
  <si>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</si>
  <si>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</si>
  <si>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</si>
  <si>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</si>
  <si>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</si>
  <si>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</si>
  <si>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</si>
  <si>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</si>
  <si>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</si>
  <si>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</si>
  <si>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</si>
  <si>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</si>
  <si>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</si>
  <si>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</si>
  <si>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</si>
  <si>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</si>
  <si>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</si>
  <si>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</si>
  <si>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</si>
  <si>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</si>
  <si>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</si>
  <si>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</si>
  <si>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</si>
  <si>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</si>
  <si>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</si>
  <si>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</si>
  <si>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</si>
  <si>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</si>
  <si>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</si>
  <si>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</si>
  <si>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</si>
  <si>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</si>
  <si>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</si>
  <si>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</si>
  <si>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</si>
  <si>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</si>
  <si>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</si>
  <si>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</si>
  <si>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</si>
  <si>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</si>
  <si>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</si>
  <si>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</si>
  <si>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</si>
  <si>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</si>
  <si>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</si>
  <si>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</si>
  <si>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</si>
  <si>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</si>
  <si>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</si>
  <si>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</si>
  <si>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</si>
  <si>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</si>
  <si>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</si>
  <si>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</si>
  <si>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</si>
  <si>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</si>
  <si>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</si>
  <si>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</si>
  <si>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</si>
  <si>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</si>
  <si>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</si>
  <si>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</si>
  <si>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</si>
  <si>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</si>
  <si>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</si>
  <si>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</si>
  <si>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</si>
  <si>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</si>
  <si>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</si>
  <si>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</si>
  <si>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</si>
  <si>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</si>
  <si>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</si>
  <si>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</si>
  <si>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</si>
  <si>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</si>
  <si>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</si>
  <si>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</si>
  <si>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</si>
  <si>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</si>
  <si>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</si>
  <si>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</si>
  <si>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</si>
  <si>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</si>
  <si>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</si>
  <si>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</si>
  <si>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</si>
  <si>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</si>
  <si>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</si>
  <si>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</si>
  <si>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</si>
  <si>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</si>
  <si>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</si>
  <si>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</si>
  <si>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</si>
  <si>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</si>
  <si>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</si>
  <si>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</si>
  <si>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</si>
  <si>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</si>
  <si>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</si>
  <si>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</si>
  <si>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</si>
  <si>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</si>
  <si>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</si>
  <si>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</si>
  <si>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</si>
  <si>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</si>
  <si>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</si>
  <si>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</si>
  <si>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</si>
  <si>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</si>
  <si>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</si>
  <si>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</si>
  <si>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</si>
  <si>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</si>
  <si>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</si>
  <si>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</si>
  <si>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</si>
  <si>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</si>
  <si>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</si>
  <si>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</si>
  <si>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</si>
  <si>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</si>
  <si>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</si>
  <si>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</si>
  <si>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</si>
  <si>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</si>
  <si>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</si>
  <si>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</si>
  <si>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</si>
  <si>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</si>
  <si>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</si>
  <si>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</si>
  <si>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</si>
  <si>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</si>
  <si>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</si>
  <si>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</si>
  <si>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</si>
  <si>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</si>
  <si>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</si>
  <si>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</si>
  <si>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</si>
  <si>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</si>
  <si>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</si>
  <si>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</si>
  <si>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</si>
  <si>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</si>
  <si>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</si>
  <si>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</si>
  <si>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</si>
  <si>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</si>
  <si>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</si>
  <si>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</si>
  <si>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</si>
  <si>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</si>
  <si>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</si>
  <si>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</si>
  <si>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</si>
  <si>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</si>
  <si>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</si>
  <si>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</si>
  <si>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</si>
  <si>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</si>
  <si>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</si>
  <si>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</si>
  <si>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</si>
  <si>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</si>
  <si>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</si>
  <si>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</si>
  <si>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</si>
  <si>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</si>
  <si>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</si>
  <si>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</si>
  <si>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</si>
  <si>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</si>
  <si>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</si>
  <si>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</si>
  <si>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</si>
  <si>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</si>
  <si>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</si>
  <si>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</si>
  <si>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</si>
  <si>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</si>
  <si>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</si>
  <si>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</si>
  <si>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</si>
  <si>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</si>
  <si>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</si>
  <si>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</si>
  <si>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</si>
  <si>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</si>
  <si>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</si>
  <si>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</si>
  <si>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</si>
  <si>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</si>
  <si>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</si>
  <si>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</si>
  <si>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</si>
  <si>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</si>
  <si>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</si>
  <si>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</si>
  <si>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</si>
  <si>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</si>
  <si>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</si>
  <si>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</si>
  <si>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</si>
  <si>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</si>
  <si>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</si>
  <si>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</si>
  <si>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</si>
  <si>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</si>
  <si>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</si>
  <si>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</si>
  <si>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</si>
  <si>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</si>
  <si>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OODA Loop</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</si>
  <si>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</si>
  <si>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</si>
  <si>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</si>
  <si>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</si>
  <si>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</si>
  <si>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</si>
  <si>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</si>
  <si>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</si>
  <si>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</si>
  <si>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</si>
  <si>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</si>
  <si>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Opp Search</t>
  </si>
  <si>
    <t>POST /gda-opp-search {query:'training simulation'}</t>
  </si>
  <si>
    <t>❌ NOT FOUND</t>
  </si>
  <si>
    <t>Workflow resource not found. SAME as T-021. Needs toggle.</t>
  </si>
  <si>
    <t>✅ RESOLVED S-033 — Opp Search now PASS (T-137). Working.</t>
  </si>
  <si>
    <t>T-067</t>
  </si>
  <si>
    <t>Daily SITREP</t>
  </si>
  <si>
    <t>POST /daily-sitrep-status</t>
  </si>
  <si>
    <t>Signal aborted at 30s. Long-running AI aggregation. Same as T-002.</t>
  </si>
  <si>
    <t>Expected — heavy query</t>
  </si>
  <si>
    <t>T-068</t>
  </si>
  <si>
    <t>Comp Intel</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</si>
  <si>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</si>
  <si>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</si>
  <si>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</si>
  <si>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</si>
  <si>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</si>
  <si>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</si>
  <si>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</si>
  <si>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</si>
  <si>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AI Agent Chat</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</si>
  <si>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</si>
  <si>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</si>
  <si>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</si>
  <si>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</si>
  <si>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</si>
  <si>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</si>
  <si>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</si>
  <si>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</si>
  <si>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</si>
  <si>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</si>
  <si>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</si>
  <si>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</si>
  <si>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</si>
  <si>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</si>
  <si>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</si>
  <si>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</si>
  <si>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</si>
  <si>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</si>
  <si>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</si>
  <si>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</si>
  <si>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</si>
  <si>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</si>
  <si>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</si>
  <si>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</si>
  <si>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</si>
  <si>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</si>
  <si>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</si>
  <si>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</si>
  <si>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</si>
  <si>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</si>
  <si>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</si>
  <si>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</si>
  <si>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</si>
  <si>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</si>
  <si>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</si>
  <si>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</si>
  <si>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</si>
  <si>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</si>
  <si>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</si>
  <si>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</si>
  <si>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</si>
  <si>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</si>
  <si>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</si>
  <si>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</si>
  <si>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</si>
  <si>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</si>
  <si>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</si>
  <si>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</si>
  <si>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</si>
  <si>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</si>
  <si>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</si>
  <si>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</si>
  <si>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</si>
  <si>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</si>
  <si>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</si>
  <si>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</si>
  <si>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</si>
  <si>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</si>
  <si>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</si>
  <si>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</si>
  <si>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</si>
  <si>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</si>
  <si>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</si>
  <si>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</si>
  <si>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</si>
  <si>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</si>
  <si>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</si>
  <si>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</si>
  <si>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</si>
  <si>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</si>
  <si>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</si>
  <si>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</si>
  <si>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</si>
  <si>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</si>
  <si>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</si>
  <si>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</si>
  <si>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</si>
  <si>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</si>
  <si>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</si>
  <si>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</si>
  <si>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</si>
  <si>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</si>
  <si>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</si>
  <si>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</si>
  <si>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 VERIFIED</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</si>
  <si>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</si>
  <si>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</si>
  <si>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</si>
  <si>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</si>
  <si>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</si>
  <si>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</si>
  <si>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</si>
  <si>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</si>
  <si>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</si>
  <si>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</si>
  <si>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</si>
  <si>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</si>
  <si>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</si>
  <si>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</si>
  <si>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</si>
  <si>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</si>
  <si>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</si>
  <si>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</si>
  <si>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</si>
  <si>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</si>
  <si>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</si>
  <si>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</si>
  <si>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</si>
  <si>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</si>
  <si>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</si>
  <si>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</si>
  <si>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</si>
  <si>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</si>
  <si>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</si>
  <si>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</si>
  <si>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</si>
  <si>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</si>
  <si>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</si>
  <si>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</si>
  <si>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GDA.api.trading-tracker (IKfUmowQEXw86fpm)</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</si>
  <si>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</si>
  <si>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</si>
  <si>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</si>
  <si>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</si>
  <si>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</si>
  <si>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</si>
  <si>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</si>
  <si>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</si>
  <si>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</si>
  <si>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</si>
  <si>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</si>
  <si>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</si>
  <si>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</si>
  <si>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</si>
  <si>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</si>
  <si>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</si>
  <si>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</si>
  <si>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</si>
  <si>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</si>
  <si>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</si>
  <si>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</si>
  <si>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</si>
  <si>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</si>
  <si>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</si>
  <si>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</si>
  <si>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</si>
  <si>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</si>
  <si>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</si>
  <si>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</si>
  <si>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</si>
  <si>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</si>
  <si>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</si>
  <si>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</si>
  <si>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</si>
  <si>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</si>
  <si>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</si>
  <si>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</si>
  <si>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</si>
  <si>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</si>
  <si>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</si>
  <si>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</si>
  <si>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</si>
  <si>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</si>
  <si>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</si>
  <si>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</si>
  <si>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</si>
  <si>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</si>
  <si>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</si>
  <si>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</si>
  <si>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</si>
  <si>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</si>
  <si>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</si>
  <si>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</si>
  <si>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</si>
  <si>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</si>
  <si>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</si>
  <si>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</si>
  <si>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</si>
  <si>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</si>
  <si>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</si>
  <si>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</si>
  <si>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</si>
  <si>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</si>
  <si>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</si>
  <si>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</si>
  <si>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</si>
  <si>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</si>
  <si>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</si>
  <si>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</si>
  <si>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</si>
  <si>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</si>
  <si>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</si>
  <si>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</si>
  <si>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</si>
  <si>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</si>
  <si>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</si>
  <si>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</si>
  <si>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</si>
  <si>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</si>
  <si>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</si>
  <si>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</si>
  <si>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</si>
  <si>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</si>
  <si>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</si>
  <si>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</si>
  <si>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</si>
  <si>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</si>
  <si>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</si>
  <si>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</si>
  <si>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</si>
  <si>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</si>
  <si>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</si>
  <si>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</si>
  <si>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</si>
  <si>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</si>
  <si>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</si>
  <si>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</si>
  <si>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</si>
  <si>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</si>
  <si>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</si>
  <si>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</si>
  <si>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</si>
  <si>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</si>
  <si>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</si>
  <si>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</si>
  <si>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</si>
  <si>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</si>
  <si>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</si>
  <si>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</si>
  <si>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</si>
  <si>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</si>
  <si>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</si>
  <si>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</si>
  <si>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</si>
  <si>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</si>
  <si>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</si>
  <si>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</si>
  <si>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</si>
  <si>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</si>
  <si>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</si>
  <si>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</si>
  <si>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</si>
  <si>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</si>
  <si>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</si>
  <si>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</si>
  <si>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</si>
  <si>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</si>
  <si>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</si>
  <si>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</si>
  <si>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</si>
  <si>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PASS</t>
  </si>
  <si>
    <t>24 of 31 API endpoints</t>
  </si>
  <si>
    <t>All returning 200 OK with valid data or proper responseNode empty body</t>
  </si>
  <si>
    <t>FAIL</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</si>
  <si>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</si>
  <si>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</si>
  <si>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</si>
  <si>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</si>
  <si>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</si>
  <si>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</si>
  <si>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</si>
  <si>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</si>
  <si>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</si>
  <si>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</si>
  <si>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</si>
  <si>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</si>
  <si>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</si>
  <si>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</si>
  <si>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</si>
  <si>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</si>
  <si>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</si>
  <si>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</si>
  <si>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</si>
  <si>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</si>
  <si>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</si>
  <si>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</si>
  <si>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</si>
  <si>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</si>
  <si>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</si>
  <si>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</si>
  <si>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</si>
  <si>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</si>
  <si>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</si>
  <si>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</si>
  <si>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</si>
  <si>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</si>
  <si>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</si>
  <si>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</si>
  <si>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</si>
  <si>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</si>
  <si>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</si>
  <si>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</si>
  <si>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</si>
  <si>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</si>
  <si>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</si>
  <si>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</si>
  <si>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</si>
  <si>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</si>
  <si>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</si>
  <si>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</si>
  <si>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</si>
  <si>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</si>
  <si>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</si>
  <si>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</si>
  <si>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</si>
  <si>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</si>
  <si>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</si>
  <si>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</si>
  <si>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</si>
  <si>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</si>
  <si>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</si>
  <si>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</si>
  <si>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</si>
  <si>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</si>
  <si>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</si>
  <si>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</si>
  <si>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</si>
  <si>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</si>
  <si>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</si>
  <si>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</si>
  <si>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</si>
  <si>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</si>
  <si>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</si>
  <si>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</si>
  <si>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</si>
  <si>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</si>
  <si>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</si>
  <si>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</si>
  <si>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</si>
  <si>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</si>
  <si>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</si>
  <si>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</si>
  <si>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</si>
  <si>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</si>
  <si>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</si>
  <si>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</si>
  <si>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</si>
  <si>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</si>
  <si>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</si>
  <si>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</si>
  <si>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</si>
  <si>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</si>
  <si>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</si>
  <si>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</si>
  <si>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</si>
  <si>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</si>
  <si>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</si>
  <si>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</si>
  <si>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</si>
  <si>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</si>
  <si>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GDA.api.target-agencies</t>
  </si>
  <si>
    <t>GET /gda-target-agencies</t>
  </si>
  <si>
    <t>200 OK — 5 agencies, 61ms</t>
  </si>
  <si>
    <t>T-133</t>
  </si>
  <si>
    <t>GDA.api.intel-feed</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</si>
  <si>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</si>
  <si>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</si>
  <si>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</si>
  <si>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</si>
  <si>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</si>
  <si>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</si>
  <si>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</si>
  <si>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</si>
  <si>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</si>
  <si>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</si>
  <si>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</si>
  <si>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</si>
  <si>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</si>
  <si>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</si>
  <si>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</si>
  <si>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</si>
  <si>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</si>
  <si>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</si>
  <si>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</si>
  <si>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</si>
  <si>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</si>
  <si>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</si>
  <si>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</si>
  <si>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</si>
  <si>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</si>
  <si>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</si>
  <si>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</si>
  <si>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</si>
  <si>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</si>
  <si>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</si>
  <si>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</si>
  <si>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</si>
  <si>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</si>
  <si>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</si>
  <si>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</si>
  <si>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</si>
  <si>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</si>
  <si>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</si>
  <si>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</si>
  <si>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</si>
  <si>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</si>
  <si>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</si>
  <si>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</si>
  <si>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</si>
  <si>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</si>
  <si>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</si>
  <si>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</si>
  <si>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</si>
  <si>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</si>
  <si>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</si>
  <si>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</si>
  <si>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</si>
  <si>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</si>
  <si>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</si>
  <si>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</si>
  <si>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</si>
  <si>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</si>
  <si>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</si>
  <si>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</si>
  <si>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</si>
  <si>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</si>
  <si>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</si>
  <si>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</si>
  <si>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</si>
  <si>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</si>
  <si>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</si>
  <si>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</si>
  <si>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</si>
  <si>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</si>
  <si>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</si>
  <si>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</si>
  <si>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</si>
  <si>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</si>
  <si>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</si>
  <si>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</si>
  <si>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</si>
  <si>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</si>
  <si>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</si>
  <si>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</si>
  <si>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GDA.api.rag-query</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</si>
  <si>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</si>
  <si>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</si>
  <si>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</si>
  <si>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</si>
  <si>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</si>
  <si>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</si>
  <si>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</si>
  <si>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</si>
  <si>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</si>
  <si>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</si>
  <si>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</si>
  <si>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</si>
  <si>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</si>
  <si>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</si>
  <si>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</si>
  <si>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GDA.api.comp-intel</t>
  </si>
  <si>
    <t>Known from T-003</t>
  </si>
  <si>
    <t>Same as T-003</t>
  </si>
  <si>
    <t>T-156</t>
  </si>
  <si>
    <t>GDA.api.ooda-loop</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</si>
  <si>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</si>
  <si>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</si>
  <si>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</si>
  <si>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</si>
  <si>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</si>
  <si>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</si>
  <si>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</si>
  <si>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</si>
  <si>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</si>
  <si>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</si>
  <si>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</si>
  <si>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</si>
  <si>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</si>
  <si>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</si>
  <si>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</si>
  <si>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</si>
  <si>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</si>
  <si>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</si>
  <si>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</si>
  <si>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</si>
  <si>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</si>
  <si>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</si>
  <si>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</si>
  <si>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</si>
  <si>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</si>
  <si>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</si>
  <si>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</si>
  <si>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</si>
  <si>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</si>
  <si>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</si>
  <si>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</si>
  <si>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</si>
  <si>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</si>
  <si>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</si>
  <si>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</si>
  <si>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</si>
  <si>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</si>
  <si>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</si>
  <si>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</si>
  <si>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</si>
  <si>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</si>
  <si>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</si>
  <si>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</si>
  <si>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</si>
  <si>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</si>
  <si>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</si>
  <si>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</si>
  <si>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</si>
  <si>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</si>
  <si>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</si>
  <si>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</si>
  <si>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</si>
  <si>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</si>
  <si>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</si>
  <si>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</si>
  <si>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</si>
  <si>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</si>
  <si>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</si>
  <si>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</si>
  <si>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</si>
  <si>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</si>
  <si>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</si>
  <si>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</si>
  <si>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</si>
  <si>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</si>
  <si>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</si>
  <si>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</si>
  <si>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</si>
  <si>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</si>
  <si>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</si>
  <si>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</si>
  <si>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</si>
  <si>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</si>
  <si>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</si>
  <si>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</si>
  <si>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</si>
  <si>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</si>
  <si>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</si>
  <si>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</si>
  <si>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</si>
  <si>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</si>
  <si>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</si>
  <si>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</si>
  <si>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</si>
  <si>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</si>
  <si>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</si>
  <si>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</si>
  <si>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</si>
  <si>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</si>
  <si>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</si>
  <si>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</si>
  <si>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</si>
  <si>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</si>
  <si>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</si>
  <si>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</si>
  <si>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</si>
  <si>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</si>
  <si>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</si>
  <si>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</si>
  <si>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</si>
  <si>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</si>
  <si>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</si>
  <si>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</si>
  <si>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</si>
  <si>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</si>
  <si>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</si>
  <si>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</si>
  <si>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</si>
  <si>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</si>
  <si>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</si>
  <si>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</si>
  <si>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</si>
  <si>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</si>
  <si>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</si>
  <si>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</si>
  <si>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</si>
  <si>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</si>
  <si>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</si>
  <si>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</si>
  <si>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</si>
  <si>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</si>
  <si>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</si>
  <si>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</si>
  <si>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</si>
  <si>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</si>
  <si>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</si>
  <si>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</si>
  <si>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</si>
  <si>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</si>
  <si>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</si>
  <si>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</si>
  <si>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</si>
  <si>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</si>
  <si>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</si>
  <si>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</si>
  <si>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</si>
  <si>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</si>
  <si>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</si>
  <si>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</si>
  <si>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</si>
  <si>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</si>
  <si>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</si>
  <si>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</si>
  <si>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</si>
  <si>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</si>
  <si>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</si>
  <si>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</si>
  <si>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</si>
  <si>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</si>
  <si>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</si>
  <si>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</si>
  <si>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</si>
  <si>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</si>
  <si>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</si>
  <si>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</si>
  <si>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</si>
  <si>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</si>
  <si>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</si>
  <si>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</si>
  <si>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</si>
  <si>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</si>
  <si>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</si>
  <si>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</si>
  <si>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</si>
  <si>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</si>
  <si>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</si>
  <si>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</si>
  <si>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</si>
  <si>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</si>
  <si>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</si>
  <si>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</si>
  <si>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</si>
  <si>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</si>
  <si>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</si>
  <si>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</si>
  <si>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</si>
  <si>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</si>
  <si>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</si>
  <si>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</si>
  <si>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</si>
  <si>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</si>
  <si>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</si>
  <si>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</si>
  <si>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</si>
  <si>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</si>
  <si>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</si>
  <si>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</si>
  <si>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</si>
  <si>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</si>
  <si>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</si>
  <si>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</si>
  <si>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</si>
  <si>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</si>
  <si>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</si>
  <si>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</si>
  <si>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</si>
  <si>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</si>
  <si>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</si>
  <si>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</si>
  <si>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</si>
  <si>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</si>
  <si>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</si>
  <si>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</si>
  <si>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</si>
  <si>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</si>
  <si>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</si>
  <si>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</si>
  <si>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</si>
  <si>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</si>
  <si>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</si>
  <si>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</si>
  <si>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</si>
  <si>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</si>
  <si>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</si>
  <si>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</si>
  <si>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</si>
  <si>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</si>
  <si>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</si>
  <si>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</si>
  <si>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</si>
  <si>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</si>
  <si>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</si>
  <si>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</si>
  <si>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</si>
  <si>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</si>
  <si>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</si>
  <si>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</si>
  <si>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</si>
  <si>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</si>
  <si>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</si>
  <si>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</si>
  <si>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</si>
  <si>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</si>
  <si>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</si>
  <si>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</si>
  <si>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</si>
  <si>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</si>
  <si>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</si>
  <si>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</si>
  <si>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</si>
  <si>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</si>
  <si>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</si>
  <si>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</si>
  <si>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</si>
  <si>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</si>
  <si>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</si>
  <si>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</si>
  <si>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</si>
  <si>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</si>
  <si>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</si>
  <si>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</si>
  <si>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</si>
  <si>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</si>
  <si>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</si>
  <si>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</si>
  <si>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</si>
  <si>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</si>
  <si>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</si>
  <si>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</si>
  <si>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</si>
  <si>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</si>
  <si>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</si>
  <si>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</si>
  <si>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</si>
  <si>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</si>
  <si>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</si>
  <si>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</si>
  <si>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</si>
  <si>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</si>
  <si>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</si>
  <si>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</si>
  <si>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</si>
  <si>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</si>
  <si>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</si>
  <si>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</si>
  <si>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</si>
  <si>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</si>
  <si>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</si>
  <si>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</si>
  <si>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</si>
  <si>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</si>
  <si>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</si>
  <si>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</si>
  <si>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</si>
  <si>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</si>
  <si>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</si>
  <si>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</si>
  <si>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</si>
  <si>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</si>
  <si>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</si>
  <si>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</si>
  <si>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</si>
  <si>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</si>
  <si>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</si>
  <si>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</si>
  <si>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</si>
  <si>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</si>
  <si>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</si>
  <si>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</si>
  <si>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</si>
  <si>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</si>
  <si>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</si>
  <si>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</si>
  <si>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</si>
  <si>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</si>
  <si>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</si>
  <si>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</si>
  <si>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</si>
  <si>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</si>
  <si>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</si>
  <si>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</si>
  <si>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</si>
  <si>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</si>
  <si>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</si>
  <si>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</si>
  <si>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</si>
  <si>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</si>
  <si>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</si>
  <si>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</si>
  <si>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</si>
  <si>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</si>
  <si>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</si>
  <si>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</si>
  <si>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</si>
  <si>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</si>
  <si>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</si>
  <si>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</si>
  <si>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</si>
  <si>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</si>
  <si>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</si>
  <si>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</si>
  <si>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</si>
  <si>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</si>
  <si>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</si>
  <si>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</si>
  <si>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</si>
  <si>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</si>
  <si>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</si>
  <si>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</si>
  <si>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N/A</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</si>
  <si>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</si>
  <si>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</si>
  <si>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</si>
  <si>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</si>
  <si>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</si>
  <si>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</si>
  <si>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</si>
  <si>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</si>
  <si>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</si>
  <si>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</si>
  <si>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</si>
  <si>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</si>
  <si>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</si>
  <si>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</si>
  <si>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</si>
  <si>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</si>
  <si>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</si>
  <si>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</si>
  <si>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</si>
  <si>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</si>
  <si>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</si>
  <si>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</si>
  <si>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</si>
  <si>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</si>
  <si>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</si>
  <si>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</si>
  <si>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</si>
  <si>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</si>
  <si>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</si>
  <si>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</si>
  <si>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</si>
  <si>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</si>
  <si>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</si>
  <si>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</si>
  <si>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</si>
  <si>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</si>
  <si>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</si>
  <si>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</si>
  <si>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</si>
  <si>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</si>
  <si>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</si>
  <si>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</si>
  <si>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</si>
  <si>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</si>
  <si>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</si>
  <si>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</si>
  <si>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</si>
  <si>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</si>
  <si>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</si>
  <si>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</si>
  <si>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</si>
  <si>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</si>
  <si>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</si>
  <si>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</si>
  <si>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</si>
  <si>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</si>
  <si>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</si>
  <si>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</si>
  <si>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</si>
  <si>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</si>
  <si>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</si>
  <si>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</si>
  <si>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</si>
  <si>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</si>
  <si>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</si>
  <si>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</si>
  <si>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</si>
  <si>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</si>
  <si>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</si>
  <si>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</si>
  <si>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</si>
  <si>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</si>
  <si>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</si>
  <si>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</si>
  <si>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</si>
  <si>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</si>
  <si>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</si>
  <si>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</si>
  <si>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</si>
  <si>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</si>
  <si>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</si>
  <si>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</si>
  <si>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</si>
  <si>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</si>
  <si>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</si>
  <si>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</si>
  <si>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</si>
  <si>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</si>
  <si>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</si>
  <si>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</si>
  <si>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</si>
  <si>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</si>
  <si>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</si>
  <si>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</si>
  <si>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</si>
  <si>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</si>
  <si>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</si>
  <si>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</si>
  <si>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</si>
  <si>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</si>
  <si>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</si>
  <si>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</si>
  <si>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</si>
  <si>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</si>
  <si>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</si>
  <si>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</si>
  <si>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</si>
  <si>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</si>
  <si>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</si>
  <si>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</si>
  <si>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</si>
  <si>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</si>
  <si>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</si>
  <si>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</si>
  <si>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</si>
  <si>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</si>
  <si>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</si>
  <si>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</si>
  <si>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</si>
  <si>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</si>
  <si>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</si>
  <si>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</si>
  <si>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</si>
  <si>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</si>
  <si>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</si>
  <si>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</si>
  <si>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</si>
  <si>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</si>
  <si>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</si>
  <si>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</si>
  <si>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</si>
  <si>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</si>
  <si>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</si>
  <si>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</si>
  <si>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</si>
  <si>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</si>
  <si>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</si>
  <si>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</si>
  <si>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Impact</t>
  </si>
  <si>
    <t>ALL 28 API-guarded workflows reject requests — frontend users get empty responses or errors on every tab</t>
  </si>
  <si>
    <t>Root Cause</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</si>
  <si>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</si>
  <si>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</si>
  <si>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</si>
  <si>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</si>
  <si>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</si>
  <si>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</si>
  <si>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</si>
  <si>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</si>
  <si>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</si>
  <si>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</si>
  <si>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</si>
  <si>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</si>
  <si>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</si>
  <si>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</si>
  <si>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</si>
  <si>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</si>
  <si>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</si>
  <si>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</si>
  <si>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</si>
  <si>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</si>
  <si>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</si>
  <si>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</si>
  <si>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</si>
  <si>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</si>
  <si>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</si>
  <si>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</si>
  <si>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</si>
  <si>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</si>
  <si>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</si>
  <si>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</si>
  <si>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</si>
  <si>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</si>
  <si>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</si>
  <si>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</si>
  <si>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</si>
  <si>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</si>
  <si>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</si>
  <si>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</si>
  <si>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</si>
  <si>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</si>
  <si>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</si>
  <si>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</si>
  <si>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</si>
  <si>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</si>
  <si>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</si>
  <si>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</si>
  <si>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</si>
  <si>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</si>
  <si>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</si>
  <si>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</si>
  <si>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</si>
  <si>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</si>
  <si>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</si>
  <si>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</si>
  <si>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</si>
  <si>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</si>
  <si>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</si>
  <si>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</si>
  <si>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</si>
  <si>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</si>
  <si>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</si>
  <si>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</si>
  <si>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</si>
  <si>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</si>
  <si>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</si>
  <si>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</si>
  <si>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</si>
  <si>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</si>
  <si>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</si>
  <si>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</si>
  <si>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</si>
  <si>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</si>
  <si>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</si>
  <si>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</si>
  <si>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</si>
  <si>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</si>
  <si>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</si>
  <si>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</si>
  <si>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</si>
  <si>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</si>
  <si>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</si>
  <si>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</si>
  <si>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</si>
  <si>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</si>
  <si>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</si>
  <si>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</si>
  <si>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</si>
  <si>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</si>
  <si>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</si>
  <si>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</si>
  <si>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</si>
  <si>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</si>
  <si>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</si>
  <si>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</si>
  <si>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</si>
  <si>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</si>
  <si>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</si>
  <si>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</si>
  <si>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</si>
  <si>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</si>
  <si>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</si>
  <si>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</si>
  <si>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</si>
  <si>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</si>
  <si>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</si>
  <si>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</si>
  <si>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</si>
  <si>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</si>
  <si>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</si>
  <si>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</si>
  <si>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</si>
  <si>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</si>
  <si>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</si>
  <si>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</si>
  <si>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</si>
  <si>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</si>
  <si>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</si>
  <si>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</si>
  <si>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</si>
  <si>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</si>
  <si>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</si>
  <si>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</si>
  <si>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</si>
  <si>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</si>
  <si>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</si>
  <si>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</si>
  <si>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BACKLOG</t>
  </si>
  <si>
    <t>═ S-045 COMPLETE: 13 pass / 1 P3 ═</t>
  </si>
  <si>
    <t>Auth</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</si>
  <si>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</si>
  <si>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</si>
  <si>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</si>
  <si>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</si>
  <si>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</si>
  <si>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</si>
  <si>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</si>
  <si>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</si>
  <si>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</si>
  <si>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</si>
  <si>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</si>
  <si>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</si>
  <si>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</si>
  <si>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</si>
  <si>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</si>
  <si>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</si>
  <si>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</si>
  <si>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</si>
  <si>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</si>
  <si>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</si>
  <si>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IN PROGRESS</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</si>
  <si>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</si>
  <si>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</si>
  <si>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</si>
  <si>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</si>
  <si>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</si>
  <si>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</si>
  <si>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</si>
  <si>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</si>
  <si>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</si>
  <si>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</si>
  <si>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</si>
  <si>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</si>
  <si>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</si>
  <si>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</si>
  <si>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</si>
  <si>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</si>
  <si>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</si>
  <si>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</si>
  <si>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</si>
  <si>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</si>
  <si>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</si>
  <si>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</si>
  <si>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</si>
  <si>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</si>
  <si>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</si>
  <si>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</si>
  <si>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</si>
  <si>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</si>
  <si>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</si>
  <si>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</si>
  <si>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</si>
  <si>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</si>
  <si>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</si>
  <si>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</si>
  <si>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</si>
  <si>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</si>
  <si>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</si>
  <si>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</si>
  <si>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</si>
  <si>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</si>
  <si>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</si>
  <si>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</si>
  <si>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</si>
  <si>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</si>
  <si>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</si>
  <si>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</si>
  <si>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</si>
  <si>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</si>
  <si>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</si>
  <si>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</si>
  <si>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</si>
  <si>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</si>
  <si>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</si>
  <si>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</si>
  <si>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</si>
  <si>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</si>
  <si>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</si>
  <si>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</si>
  <si>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</si>
  <si>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</si>
  <si>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</si>
  <si>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</si>
  <si>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</si>
  <si>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</si>
  <si>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</si>
  <si>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</si>
  <si>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</si>
  <si>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</si>
  <si>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</si>
  <si>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</si>
  <si>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</si>
  <si>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</si>
  <si>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</si>
  <si>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</si>
  <si>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Deploys</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</si>
  <si>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</si>
  <si>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</si>
  <si>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</si>
  <si>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</si>
  <si>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</si>
  <si>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</si>
  <si>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</si>
  <si>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</si>
  <si>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</si>
  <si>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</si>
  <si>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</si>
  <si>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</si>
  <si>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</si>
  <si>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</si>
  <si>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</si>
  <si>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</si>
  <si>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</si>
  <si>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</si>
  <si>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</si>
  <si>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</si>
  <si>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</si>
  <si>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</si>
  <si>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</si>
  <si>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</si>
  <si>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</si>
  <si>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</si>
  <si>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</si>
  <si>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</si>
  <si>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</si>
  <si>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</si>
  <si>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</si>
  <si>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</si>
  <si>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</si>
  <si>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</si>
  <si>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</si>
  <si>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</si>
  <si>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</si>
  <si>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</si>
  <si>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</si>
  <si>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</si>
  <si>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</si>
  <si>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</si>
  <si>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</si>
  <si>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</si>
  <si>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</si>
  <si>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</si>
  <si>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</si>
  <si>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</si>
  <si>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</si>
  <si>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</si>
  <si>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</si>
  <si>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</si>
  <si>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</si>
  <si>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</si>
  <si>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</si>
  <si>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</si>
  <si>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</si>
  <si>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</si>
  <si>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</si>
  <si>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</si>
  <si>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</si>
  <si>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</si>
  <si>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</si>
  <si>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</si>
  <si>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</si>
  <si>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</si>
  <si>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</si>
  <si>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</si>
  <si>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</si>
  <si>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</si>
  <si>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</si>
  <si>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</si>
  <si>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</si>
  <si>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</si>
  <si>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</si>
  <si>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</si>
  <si>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</si>
  <si>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</si>
  <si>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</si>
  <si>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</si>
  <si>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</si>
  <si>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</si>
  <si>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</si>
  <si>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</si>
  <si>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</si>
  <si>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</si>
  <si>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</si>
  <si>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</si>
  <si>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</si>
  <si>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</si>
  <si>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</si>
  <si>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</si>
  <si>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</si>
  <si>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</si>
  <si>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</si>
  <si>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</si>
  <si>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</si>
  <si>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</si>
  <si>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</si>
  <si>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</si>
  <si>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</si>
  <si>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(Netlify CDN — since S-061)</t>
  </si>
  <si>
    <t>LIVE — Netlify</t>
  </si>
  <si>
    <t>Netlify Host</t>
  </si>
  <si>
    <t>symphonious-gelato-e6fa5d.netlify.app (free tier)</t>
  </si>
  <si>
    <t>ACTIVE</t>
  </si>
  <si>
    <t>https://n8n.csr-llc.tech</t>
  </si>
  <si>
    <t>LIVE</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</si>
  <si>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</si>
  <si>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</si>
  <si>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</si>
  <si>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</si>
  <si>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</si>
  <si>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</si>
  <si>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</si>
  <si>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</si>
  <si>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</si>
  <si>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</si>
  <si>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</si>
  <si>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</si>
  <si>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</si>
  <si>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</si>
  <si>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</si>
  <si>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</si>
  <si>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UmYcbBvwH1Cdvw6l)</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</si>
  <si>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</si>
  <si>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</si>
  <si>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</si>
  <si>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</si>
  <si>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</si>
  <si>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</si>
  <si>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</si>
  <si>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</si>
  <si>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</si>
  <si>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</si>
  <si>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gda-deploy</t>
  </si>
  <si>
    <t>8GnGxnBL9TJjj1i2</t>
  </si>
  <si>
    <t>Deploy</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</si>
  <si>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</si>
  <si>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</si>
  <si>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</si>
  <si>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</si>
  <si>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</si>
  <si>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</si>
  <si>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</si>
  <si>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</si>
  <si>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</si>
  <si>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</si>
  <si>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</si>
  <si>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</si>
  <si>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</si>
  <si>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</si>
  <si>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</si>
  <si>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</si>
  <si>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</si>
  <si>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</si>
  <si>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</si>
  <si>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</si>
  <si>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</si>
  <si>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</si>
  <si>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</si>
  <si>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</si>
  <si>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</si>
  <si>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</si>
  <si>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</si>
  <si>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</si>
  <si>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</si>
  <si>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</si>
  <si>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</si>
  <si>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</si>
  <si>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</si>
  <si>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</si>
  <si>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</si>
  <si>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</si>
  <si>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</si>
  <si>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</si>
  <si>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</si>
  <si>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</si>
  <si>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</si>
  <si>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</si>
  <si>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</si>
  <si>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</si>
  <si>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</si>
  <si>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</si>
  <si>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</si>
  <si>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</si>
  <si>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</si>
  <si>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</si>
  <si>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</si>
  <si>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</si>
  <si>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</si>
  <si>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</si>
  <si>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</si>
  <si>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</si>
  <si>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</si>
  <si>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</si>
  <si>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</si>
  <si>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</si>
  <si>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</si>
  <si>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</si>
  <si>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</si>
  <si>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</si>
  <si>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</si>
  <si>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</si>
  <si>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</si>
  <si>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</si>
  <si>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</si>
  <si>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</si>
  <si>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</si>
  <si>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</si>
  <si>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</si>
  <si>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</si>
  <si>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</si>
  <si>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</si>
  <si>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</si>
  <si>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</si>
  <si>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</si>
  <si>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</si>
  <si>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</si>
  <si>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</si>
  <si>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</si>
  <si>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</si>
  <si>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</si>
  <si>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</si>
  <si>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</si>
  <si>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</si>
  <si>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</si>
  <si>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</si>
  <si>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</si>
  <si>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</si>
  <si>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</si>
  <si>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</si>
  <si>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</si>
  <si>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</si>
  <si>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</si>
  <si>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</si>
  <si>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</si>
  <si>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</si>
  <si>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</si>
  <si>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</si>
  <si>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</si>
  <si>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</si>
  <si>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</si>
  <si>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</si>
  <si>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</si>
  <si>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</si>
  <si>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</si>
  <si>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</si>
  <si>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</si>
  <si>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</si>
  <si>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</si>
  <si>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</si>
  <si>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</si>
  <si>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</si>
  <si>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</si>
  <si>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</si>
  <si>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</si>
  <si>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</si>
  <si>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</si>
  <si>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</si>
  <si>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</si>
  <si>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</si>
  <si>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</si>
  <si>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</si>
  <si>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</si>
  <si>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</si>
  <si>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</si>
  <si>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</si>
  <si>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</si>
  <si>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</si>
  <si>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</si>
  <si>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</si>
  <si>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</si>
  <si>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</si>
  <si>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</si>
  <si>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</si>
  <si>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</si>
  <si>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</si>
  <si>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</si>
  <si>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</si>
  <si>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</si>
  <si>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</si>
  <si>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</si>
  <si>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</si>
  <si>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</si>
  <si>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</si>
  <si>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</si>
  <si>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</si>
  <si>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</si>
  <si>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</si>
  <si>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</si>
  <si>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</si>
  <si>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</si>
  <si>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</si>
  <si>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</si>
  <si>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</si>
  <si>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</si>
  <si>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</si>
  <si>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</si>
  <si>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</si>
  <si>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</si>
  <si>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</si>
  <si>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</si>
  <si>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</si>
  <si>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</si>
  <si>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GDA.api.ops-dashboard-data</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</si>
  <si>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</si>
  <si>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</si>
  <si>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</si>
  <si>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</si>
  <si>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</si>
  <si>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</si>
  <si>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</si>
  <si>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</si>
  <si>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</si>
  <si>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</si>
  <si>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</si>
  <si>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</si>
  <si>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</si>
  <si>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</si>
  <si>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</si>
  <si>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</si>
  <si>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</si>
  <si>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</si>
  <si>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</si>
  <si>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</si>
  <si>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</si>
  <si>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</si>
  <si>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</si>
  <si>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</si>
  <si>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</si>
  <si>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</si>
  <si>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</si>
  <si>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</si>
  <si>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</si>
  <si>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</si>
  <si>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</si>
  <si>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</si>
  <si>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</si>
  <si>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</si>
  <si>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</si>
  <si>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</si>
  <si>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</si>
  <si>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</si>
  <si>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</si>
  <si>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</si>
  <si>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</si>
  <si>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</si>
  <si>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</si>
  <si>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</si>
  <si>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</si>
  <si>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</si>
  <si>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Lines</t>
  </si>
  <si>
    <t>Type</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</si>
  <si>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</si>
  <si>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</si>
  <si>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</si>
  <si>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</si>
  <si>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</si>
  <si>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</si>
  <si>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</si>
  <si>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</si>
  <si>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</si>
  <si>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</si>
  <si>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</si>
  <si>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</si>
  <si>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</si>
  <si>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</si>
  <si>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</si>
  <si>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</si>
  <si>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</si>
  <si>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</si>
  <si>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</si>
  <si>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</si>
  <si>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</si>
  <si>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</si>
  <si>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</si>
  <si>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</si>
  <si>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Page</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</si>
  <si>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</si>
  <si>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</si>
  <si>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</si>
  <si>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</si>
  <si>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</si>
  <si>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</si>
  <si>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</si>
  <si>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</si>
  <si>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</si>
  <si>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</si>
  <si>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</si>
  <si>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</si>
  <si>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</si>
  <si>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</si>
  <si>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</si>
  <si>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</si>
  <si>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</si>
  <si>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</si>
  <si>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</si>
  <si>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gda-red-team</t>
  </si>
  <si>
    <t>Red team RFP analysis</t>
  </si>
  <si>
    <t>EmailPage</t>
  </si>
  <si>
    <t>360-390</t>
  </si>
  <si>
    <t>Draft state</t>
  </si>
  <si>
    <t>gda-email-draft</t>
  </si>
  <si>
    <t>AI-assisted email composition</t>
  </si>
  <si>
    <t>PipelinePage (Action Items)</t>
  </si>
  <si>
    <t>390-440</t>
  </si>
  <si>
    <t>items[], filter, adding</t>
  </si>
  <si>
    <t>gda-action-items</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</si>
  <si>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</si>
  <si>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</si>
  <si>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</si>
  <si>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</si>
  <si>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</si>
  <si>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</si>
  <si>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</si>
  <si>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</si>
  <si>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gda-trading</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</si>
  <si>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</si>
  <si>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</si>
  <si>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</si>
  <si>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</si>
  <si>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</si>
  <si>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</si>
  <si>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</si>
  <si>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</si>
  <si>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gda-ai-agent</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</si>
  <si>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</si>
  <si>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</si>
  <si>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</si>
  <si>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</si>
  <si>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</si>
  <si>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</si>
  <si>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</si>
  <si>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</si>
  <si>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</si>
  <si>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</si>
  <si>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</si>
  <si>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</si>
  <si>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</si>
  <si>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</si>
  <si>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</si>
  <si>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</si>
  <si>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</si>
  <si>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</si>
  <si>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</si>
  <si>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</si>
  <si>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</si>
  <si>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</si>
  <si>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</si>
  <si>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</si>
  <si>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</si>
  <si>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</si>
  <si>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</si>
  <si>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</si>
  <si>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</si>
  <si>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</si>
  <si>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</si>
  <si>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</si>
  <si>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</si>
  <si>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</si>
  <si>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</si>
  <si>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</si>
  <si>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</si>
  <si>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</si>
  <si>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</si>
  <si>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</si>
  <si>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</si>
  <si>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</si>
  <si>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</si>
  <si>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</si>
  <si>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</si>
  <si>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</si>
  <si>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</si>
  <si>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</si>
  <si>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</si>
  <si>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Lesson</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</si>
  <si>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</si>
  <si>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</si>
  <si>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</si>
  <si>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</si>
  <si>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</si>
  <si>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</si>
  <si>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</si>
  <si>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</si>
  <si>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</si>
  <si>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</si>
  <si>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</si>
  <si>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</si>
  <si>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</si>
  <si>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</si>
  <si>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</si>
  <si>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</si>
  <si>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</si>
  <si>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</si>
  <si>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</si>
  <si>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</si>
  <si>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</si>
  <si>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</si>
  <si>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</si>
  <si>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</si>
  <si>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</si>
  <si>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</si>
  <si>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</si>
  <si>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</si>
  <si>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</si>
  <si>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</si>
  <si>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</si>
  <si>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</si>
  <si>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</si>
  <si>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</si>
  <si>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</si>
  <si>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</si>
  <si>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</si>
  <si>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</si>
  <si>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</si>
  <si>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</si>
  <si>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</si>
  <si>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</si>
  <si>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</si>
  <si>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</si>
  <si>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</si>
  <si>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</si>
  <si>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</si>
  <si>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</si>
  <si>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</si>
  <si>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</si>
  <si>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</si>
  <si>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</si>
  <si>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</si>
  <si>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</si>
  <si>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</si>
  <si>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</si>
  <si>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</si>
  <si>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</si>
  <si>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</si>
  <si>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</si>
  <si>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</si>
  <si>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</si>
  <si>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</si>
  <si>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</si>
  <si>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</si>
  <si>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</si>
  <si>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</si>
  <si>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</si>
  <si>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</si>
  <si>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</si>
  <si>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</si>
  <si>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</si>
  <si>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</si>
  <si>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</si>
  <si>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</si>
  <si>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</si>
  <si>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</si>
  <si>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</si>
  <si>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</si>
  <si>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</si>
  <si>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</si>
  <si>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</si>
  <si>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</si>
  <si>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</si>
  <si>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</si>
  <si>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</si>
  <si>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</si>
  <si>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</si>
  <si>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</si>
  <si>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</si>
  <si>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</si>
  <si>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</si>
  <si>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</si>
  <si>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</si>
  <si>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</si>
  <si>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</si>
  <si>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</si>
  <si>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</si>
  <si>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</si>
  <si>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</si>
  <si>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</si>
  <si>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</si>
  <si>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</si>
  <si>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</si>
  <si>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</si>
  <si>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</si>
  <si>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</si>
  <si>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</si>
  <si>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</si>
  <si>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</si>
  <si>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</si>
  <si>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</si>
  <si>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</si>
  <si>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</si>
  <si>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</si>
  <si>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</si>
  <si>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</si>
  <si>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Database</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</si>
  <si>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</si>
  <si>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</si>
  <si>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</si>
  <si>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</si>
  <si>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</si>
  <si>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</si>
  <si>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</si>
  <si>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</si>
  <si>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</si>
  <si>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</si>
  <si>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</si>
  <si>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</si>
  <si>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</si>
  <si>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</si>
  <si>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</si>
  <si>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</si>
  <si>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</si>
  <si>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</si>
  <si>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</si>
  <si>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</si>
  <si>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</si>
  <si>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</si>
  <si>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</si>
  <si>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</si>
  <si>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</si>
  <si>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</si>
  <si>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</si>
  <si>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</si>
  <si>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</si>
  <si>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</si>
  <si>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</si>
  <si>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</si>
  <si>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</si>
  <si>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</si>
  <si>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</si>
  <si>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</si>
  <si>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</si>
  <si>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</si>
  <si>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</si>
  <si>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</si>
  <si>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</si>
  <si>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</si>
  <si>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</si>
  <si>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</si>
  <si>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</si>
  <si>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</si>
  <si>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</si>
  <si>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</si>
  <si>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</si>
  <si>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</si>
  <si>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</si>
  <si>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</si>
  <si>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</si>
  <si>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</si>
  <si>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</si>
  <si>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</si>
  <si>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</si>
  <si>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</si>
  <si>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</si>
  <si>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</si>
  <si>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</si>
  <si>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</si>
  <si>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</si>
  <si>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</si>
  <si>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</si>
  <si>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</si>
  <si>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</si>
  <si>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</si>
  <si>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</si>
  <si>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</si>
  <si>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</si>
  <si>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</si>
  <si>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</si>
  <si>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</si>
  <si>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</si>
  <si>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</si>
  <si>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</si>
  <si>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</si>
  <si>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</si>
  <si>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</si>
  <si>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</si>
  <si>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</si>
  <si>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</si>
  <si>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</si>
  <si>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</si>
  <si>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</si>
  <si>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</si>
  <si>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</si>
  <si>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</si>
  <si>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</si>
  <si>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</si>
  <si>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</si>
  <si>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</si>
  <si>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</si>
  <si>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</si>
  <si>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</si>
  <si>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</si>
  <si>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</si>
  <si>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</si>
  <si>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</si>
  <si>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</si>
  <si>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</si>
  <si>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</si>
  <si>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</si>
  <si>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</si>
  <si>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Netlify eliminates MCP dependency for frontend deploys</t>
  </si>
  <si>
    <t>PRIMARY: push to GitHub main → Netlify auto-builds. gda-deploy webhook is backup for VPS ops only.</t>
  </si>
  <si>
    <t>LL-065</t>
  </si>
  <si>
    <t>Netlify free tier fully sufficient for GDA Command frontend</t>
  </si>
  <si>
    <t>300 build min/mo, 100GB bandwidth, custom domain, SSL — no upgrade needed. All backend stays on VPS.</t>
  </si>
  <si>
    <t>LL-066</t>
  </si>
  <si>
    <t>DNS: gda A record deleted, replaced with CNAME to Netlify</t>
  </si>
  <si>
    <t>Hostinger: deleted A 187.77.206.105 for gda subdomain. Added CNAME gda → symphonious-gelato-e6fa5d.netlify.app. VPS unchanged for n8n/MCP/Postgres.</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</si>
  <si>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</si>
  <si>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</si>
  <si>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</si>
  <si>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</si>
  <si>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</si>
  <si>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</si>
  <si>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</si>
  <si>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</si>
  <si>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</si>
  <si>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</si>
  <si>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</si>
  <si>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</si>
  <si>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</si>
  <si>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</si>
  <si>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</si>
  <si>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</si>
  <si>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</si>
  <si>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</si>
  <si>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</si>
  <si>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</si>
  <si>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</si>
  <si>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</si>
  <si>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Connected</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</si>
  <si>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</si>
  <si>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</si>
  <si>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</si>
  <si>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</si>
  <si>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</si>
  <si>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</si>
  <si>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</si>
  <si>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</si>
  <si>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</si>
  <si>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</si>
  <si>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</si>
  <si>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</si>
  <si>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</si>
  <si>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</si>
  <si>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</si>
  <si>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</si>
  <si>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</si>
  <si>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</si>
  <si>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</si>
  <si>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</si>
  <si>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</si>
  <si>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</si>
  <si>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</si>
  <si>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</si>
  <si>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</si>
  <si>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</si>
  <si>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</si>
  <si>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</si>
  <si>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</si>
  <si>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</si>
  <si>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</si>
  <si>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</si>
  <si>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</si>
  <si>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Built</t>
  </si>
  <si>
    <t>Small business size standard lookups</t>
  </si>
  <si>
    <t>PowerPoint Generator</t>
  </si>
  <si>
    <t>Auto-generate briefing decks</t>
  </si>
  <si>
    <t>SECTION 7: GDA OPS DASHBOARD (v1.0)</t>
  </si>
  <si>
    <t>Section</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</si>
  <si>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</si>
  <si>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</si>
  <si>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</si>
  <si>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</si>
  <si>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</si>
  <si>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</si>
  <si>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</si>
  <si>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</si>
  <si>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</si>
  <si>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</si>
  <si>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</si>
  <si>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</si>
  <si>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</si>
  <si>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</si>
  <si>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</si>
  <si>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</si>
  <si>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</si>
  <si>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</si>
  <si>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</si>
  <si>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</si>
  <si>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</si>
  <si>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</si>
  <si>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</si>
  <si>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</si>
  <si>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</si>
  <si>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</si>
  <si>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</si>
  <si>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</si>
  <si>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</si>
  <si>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</si>
  <si>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</si>
  <si>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</si>
  <si>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</si>
  <si>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</si>
  <si>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</si>
  <si>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</si>
  <si>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</si>
  <si>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</si>
  <si>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</si>
  <si>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</si>
  <si>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</si>
  <si>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</si>
  <si>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</si>
  <si>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</si>
  <si>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AI CAPABILITIES — WHAT I CAN DO AFTER YOU HIT EXECUTE</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</si>
  <si>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</si>
  <si>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</si>
  <si>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</si>
  <si>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</si>
  <si>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</si>
  <si>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</si>
  <si>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</si>
  <si>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</si>
  <si>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</si>
  <si>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</si>
  <si>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</si>
  <si>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</si>
  <si>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</si>
  <si>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</si>
  <si>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</si>
  <si>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</si>
  <si>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</si>
  <si>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</si>
  <si>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</si>
  <si>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</si>
  <si>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</si>
  <si>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</si>
  <si>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</si>
  <si>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</si>
  <si>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</si>
  <si>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</si>
  <si>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</si>
  <si>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</si>
  <si>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</si>
  <si>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</si>
  <si>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</si>
  <si>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</si>
  <si>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</si>
  <si>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</si>
  <si>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</si>
  <si>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</si>
  <si>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</si>
  <si>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</si>
  <si>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</si>
  <si>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</si>
  <si>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</si>
  <si>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</si>
  <si>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</si>
  <si>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</si>
  <si>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</si>
  <si>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</si>
  <si>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</si>
  <si>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</si>
  <si>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</si>
  <si>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</si>
  <si>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</si>
  <si>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</si>
  <si>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</si>
  <si>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</si>
  <si>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</si>
  <si>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</si>
  <si>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</si>
  <si>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</si>
  <si>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</si>
  <si>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</si>
  <si>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</si>
  <si>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</si>
  <si>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</si>
  <si>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</si>
  <si>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</si>
  <si>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</si>
  <si>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</si>
  <si>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</si>
  <si>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</si>
  <si>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</si>
  <si>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</si>
  <si>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</si>
  <si>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</si>
  <si>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</si>
  <si>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</si>
  <si>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</si>
  <si>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</si>
  <si>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</si>
  <si>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</si>
  <si>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</si>
  <si>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</si>
  <si>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</si>
  <si>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</si>
  <si>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</si>
  <si>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</si>
  <si>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</si>
  <si>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</si>
  <si>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</si>
  <si>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</si>
  <si>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</si>
  <si>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</si>
  <si>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</si>
  <si>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</si>
  <si>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</si>
  <si>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</si>
  <si>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</si>
  <si>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</si>
  <si>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</si>
  <si>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</si>
  <si>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</si>
  <si>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</si>
  <si>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</si>
  <si>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</si>
  <si>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</si>
  <si>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</si>
  <si>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</si>
  <si>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</si>
  <si>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</si>
  <si>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</si>
  <si>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</si>
  <si>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</si>
  <si>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</si>
  <si>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</si>
  <si>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</si>
  <si>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</si>
  <si>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</si>
  <si>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</si>
  <si>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</si>
  <si>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</si>
  <si>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</si>
  <si>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</si>
  <si>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</si>
  <si>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</si>
  <si>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</si>
  <si>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</si>
  <si>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</si>
  <si>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</si>
  <si>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</si>
  <si>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</si>
  <si>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</si>
  <si>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</si>
  <si>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</si>
  <si>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</si>
  <si>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</si>
  <si>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</si>
  <si>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</si>
  <si>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What It Does</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</si>
  <si>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</si>
  <si>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</si>
  <si>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</si>
  <si>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</si>
  <si>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</si>
  <si>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</si>
  <si>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</si>
  <si>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</si>
  <si>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</si>
  <si>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</si>
  <si>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</si>
  <si>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</si>
  <si>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</si>
  <si>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</si>
  <si>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</si>
  <si>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</si>
  <si>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</si>
  <si>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</si>
  <si>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</si>
  <si>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</si>
  <si>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</si>
  <si>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</si>
  <si>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</si>
  <si>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</si>
  <si>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</si>
  <si>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</si>
  <si>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</si>
  <si>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</si>
  <si>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</si>
  <si>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</si>
  <si>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</si>
  <si>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</si>
  <si>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</si>
  <si>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</si>
  <si>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</si>
  <si>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</si>
  <si>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</si>
  <si>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</si>
  <si>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</si>
  <si>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</si>
  <si>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</si>
  <si>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</si>
  <si>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</si>
  <si>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</si>
  <si>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</si>
  <si>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</si>
  <si>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</si>
  <si>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</si>
  <si>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</si>
  <si>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n8n workflow</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</si>
  <si>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</si>
  <si>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</si>
  <si>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</si>
  <si>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</si>
  <si>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</si>
  <si>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</si>
  <si>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</si>
  <si>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</si>
  <si>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</si>
  <si>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</si>
  <si>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</si>
  <si>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</si>
  <si>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</si>
  <si>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</si>
  <si>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</si>
  <si>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</si>
  <si>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</si>
  <si>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</si>
  <si>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</si>
  <si>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</si>
  <si>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</si>
  <si>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</si>
  <si>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</si>
  <si>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</si>
  <si>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</si>
  <si>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</si>
  <si>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</si>
  <si>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</si>
  <si>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</si>
  <si>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</si>
  <si>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</si>
  <si>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</si>
  <si>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</si>
  <si>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</si>
  <si>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</si>
  <si>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</si>
  <si>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</si>
  <si>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</si>
  <si>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</si>
  <si>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</si>
  <si>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</si>
  <si>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</si>
  <si>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</si>
  <si>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</si>
  <si>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</si>
  <si>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</si>
  <si>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</si>
  <si>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</si>
  <si>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</si>
  <si>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</si>
  <si>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</si>
  <si>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Competitive Intel</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</si>
  <si>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</si>
  <si>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</si>
  <si>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</si>
  <si>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</si>
  <si>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</si>
  <si>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Launchpad</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</si>
  <si>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</si>
  <si>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</si>
  <si>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</si>
  <si>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</si>
  <si>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</si>
  <si>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</si>
  <si>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</si>
  <si>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</si>
  <si>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</si>
  <si>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</si>
  <si>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</si>
  <si>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</si>
  <si>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</si>
  <si>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</si>
  <si>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</si>
  <si>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/webhook/gda-opp-tracker</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</si>
  <si>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</si>
  <si>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</si>
  <si>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</si>
  <si>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</si>
  <si>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</si>
  <si>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</si>
  <si>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</si>
  <si>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</si>
  <si>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</si>
  <si>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</si>
  <si>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</si>
  <si>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</si>
  <si>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</si>
  <si>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</si>
  <si>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</si>
  <si>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</si>
  <si>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</si>
  <si>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</si>
  <si>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</si>
  <si>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</si>
  <si>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</si>
  <si>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</si>
  <si>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</si>
  <si>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</si>
  <si>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</si>
  <si>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</si>
  <si>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Workflow ID</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</si>
  <si>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</si>
  <si>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</si>
  <si>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</si>
  <si>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</si>
  <si>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</si>
  <si>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</si>
  <si>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</si>
  <si>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</si>
  <si>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</si>
  <si>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</si>
  <si>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</si>
  <si>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</si>
  <si>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</si>
  <si>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</si>
  <si>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</si>
  <si>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</si>
  <si>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</si>
  <si>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</si>
  <si>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</si>
  <si>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</si>
  <si>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</si>
  <si>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Schwab Token Refresh</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</si>
  <si>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</si>
  <si>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</si>
  <si>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</si>
  <si>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</si>
  <si>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</si>
  <si>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</si>
  <si>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</si>
  <si>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</si>
  <si>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</si>
  <si>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</si>
  <si>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</si>
  <si>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</si>
  <si>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</si>
  <si>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</si>
  <si>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</si>
  <si>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</si>
  <si>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</si>
  <si>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</si>
  <si>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</si>
  <si>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</si>
  <si>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</si>
  <si>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</si>
  <si>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</si>
  <si>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</si>
  <si>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</si>
  <si>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</si>
  <si>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</si>
  <si>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</si>
  <si>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</si>
  <si>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</si>
  <si>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</si>
  <si>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</si>
  <si>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</si>
  <si>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</si>
  <si>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SUMMARY</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</si>
  <si>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</si>
  <si>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</si>
  <si>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</si>
  <si>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</si>
  <si>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</si>
  <si>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</si>
  <si>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</si>
  <si>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</si>
  <si>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</si>
  <si>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</si>
  <si>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</si>
  <si>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</si>
  <si>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</si>
  <si>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</si>
  <si>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</si>
  <si>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</si>
  <si>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</si>
  <si>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</si>
  <si>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</si>
  <si>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</si>
  <si>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</si>
  <si>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</si>
  <si>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</si>
  <si>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</si>
  <si>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</si>
  <si>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</si>
  <si>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</si>
  <si>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</si>
  <si>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</si>
  <si>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</si>
  <si>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</si>
  <si>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</si>
  <si>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</si>
  <si>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</si>
  <si>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Webhook</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</si>
  <si>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</si>
  <si>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</si>
  <si>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</si>
  <si>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</si>
  <si>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</si>
  <si>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</si>
  <si>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</si>
  <si>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</si>
  <si>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</si>
  <si>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</si>
  <si>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</si>
  <si>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</si>
  <si>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</si>
  <si>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</si>
  <si>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</si>
  <si>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</si>
  <si>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</si>
  <si>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</si>
  <si>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</si>
  <si>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</si>
  <si>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</si>
  <si>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</si>
  <si>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</si>
  <si>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</si>
  <si>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</si>
  <si>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Schedule</t>
  </si>
  <si>
    <t>gda-opp-tracker</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</si>
  <si>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</si>
  <si>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</si>
  <si>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</si>
  <si>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</si>
  <si>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</si>
  <si>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</si>
  <si>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gda-opp-search</t>
  </si>
  <si>
    <t>gda-govwin</t>
  </si>
  <si>
    <t>GovWin data ingestion. Competitive intelligence and opportunity pipeline data from GovWin.</t>
  </si>
  <si>
    <t>gda-intel-feed</t>
  </si>
  <si>
    <t>Intelligence data feed API. Aggregates intel from multiple sources for dashboard.</t>
  </si>
  <si>
    <t>gda-save-opp</t>
  </si>
  <si>
    <t>Save/star individual opportunities to database.</t>
  </si>
  <si>
    <t>gda-saved-opps</t>
  </si>
  <si>
    <t>List and delete saved/starred opportunities.</t>
  </si>
  <si>
    <t>gda-naics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</si>
  <si>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</si>
  <si>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</si>
  <si>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</si>
  <si>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</si>
  <si>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</si>
  <si>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</si>
  <si>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gda-knowledge-base</t>
  </si>
  <si>
    <t>General-purpose knowledge base query endpoint.</t>
  </si>
  <si>
    <t>gda-dashboard-intel</t>
  </si>
  <si>
    <t>Powers main dashboard — daily brief, intel tables, headlines. 25-node workflow.</t>
  </si>
  <si>
    <t>gda-ooda</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</si>
  <si>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</si>
  <si>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</si>
  <si>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</si>
  <si>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</si>
  <si>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</si>
  <si>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</si>
  <si>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</si>
  <si>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</si>
  <si>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</si>
  <si>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</si>
  <si>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gda-landing-brief</t>
  </si>
  <si>
    <t>Generate landing page content briefs.</t>
  </si>
  <si>
    <t>CATEGORY: AUTOMATION &amp; EXPORT (5 workflows)</t>
  </si>
  <si>
    <t>AI email drafting. Light theme deployed S-050. Drafts responses for user review.</t>
  </si>
  <si>
    <t>gda-meeting-notes</t>
  </si>
  <si>
    <t>Meeting notes → extract action items → push to tracker.</t>
  </si>
  <si>
    <t>gda-ppt-gen</t>
  </si>
  <si>
    <t>Auto-generate briefing decks from GDA data.</t>
  </si>
  <si>
    <t>gda-export</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</si>
  <si>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</si>
  <si>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</si>
  <si>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</si>
  <si>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</si>
  <si>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</si>
  <si>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</si>
  <si>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gda-ai-feedback</t>
  </si>
  <si>
    <t>Learning</t>
  </si>
  <si>
    <t>Accept/reject/modify/defer/flag on AI recommendations. Closed learning system (LL-038).</t>
  </si>
  <si>
    <t>gda-discussions</t>
  </si>
  <si>
    <t>Chat History</t>
  </si>
  <si>
    <t>Save/list/get/pin/search chat history. Persistent conversations across sessions.</t>
  </si>
  <si>
    <t>gda-learn</t>
  </si>
  <si>
    <t>Captures ALL platform interactions. trackEvent() from all 14 modules (LL-039). Fire-and-forget.</t>
  </si>
  <si>
    <t>gda-ops-data</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</si>
  <si>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</si>
  <si>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</si>
  <si>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</si>
  <si>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</si>
  <si>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</si>
  <si>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</si>
  <si>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</si>
  <si>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</si>
  <si>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</si>
  <si>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</si>
  <si>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</si>
  <si>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</si>
  <si>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</si>
  <si>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</si>
  <si>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</si>
  <si>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</si>
  <si>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</si>
  <si>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</si>
  <si>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</si>
  <si>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</si>
  <si>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</si>
  <si>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</si>
  <si>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</si>
  <si>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</si>
  <si>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</si>
  <si>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</si>
  <si>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</si>
  <si>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</si>
  <si>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</si>
  <si>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</si>
  <si>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</si>
  <si>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</si>
  <si>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</si>
  <si>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</si>
  <si>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</si>
  <si>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</si>
  <si>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</si>
  <si>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</si>
  <si>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</si>
  <si>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</si>
  <si>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</si>
  <si>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</si>
  <si>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</si>
  <si>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</si>
  <si>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</si>
  <si>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</si>
  <si>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</si>
  <si>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</si>
  <si>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</si>
  <si>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</si>
  <si>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gda-deploy webhook</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</si>
  <si>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</si>
  <si>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</si>
  <si>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</si>
  <si>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</si>
  <si>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</si>
  <si>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</si>
  <si>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</si>
  <si>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</si>
  <si>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</si>
  <si>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</si>
  <si>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</si>
  <si>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</si>
  <si>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</si>
  <si>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</si>
  <si>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~35</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</si>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</sst>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hh:mm"/>
    <numFmt numFmtId="166" formatCode="&quot;$&quot;#,##0.00"/>
  </numFmts>
  <fonts count="69">
    <font>
      <sz val="11"/>
      <color theme="1"/>
      <name val="Aptos Narrow"/>
      <family val="2"/>
      <scheme val="minor"/>
    </font>
    <font>
      <sz val="10"/>
      <color theme="1"/>
      <name val="Arial"/>
      <family val="2"/>
    </font>
    <font>
      <b/>
      <sz val="11"/>
      <color theme="1"/>
      <name val="Aptos Narrow"/>
      <family val="2"/>
      <scheme val="minor"/>
    </font>
    <font>
      <i/>
      <sz val="10"/>
      <color rgb="FF666666"/>
      <name val="Aptos"/>
    </font>
    <font>
      <b/>
      <sz val="14"/>
      <color rgb="FF1B2A4A"/>
      <name val="Arial"/>
    </font>
    <font>
      <b/>
      <sz val="12"/>
      <color rgb="FF1B2A4A"/>
      <name val="Aptos Narrow"/>
      <family val="2"/>
      <scheme val="minor"/>
    </font>
    <font>
      <b/>
      <sz val="11"/>
      <color rgb="FFFFFFFF"/>
      <name val="Inter"/>
    </font>
    <font>
      <b/>
      <sz val="12"/>
      <color rgb="FF1B2A4A"/>
      <name val="Inter"/>
    </font>
    <font>
      <b/>
      <sz val="10"/>
      <color rgb="FFFFFFFF"/>
      <name val="Inter"/>
    </font>
    <font>
      <b/>
      <sz val="10"/>
      <color rgb="FFFFFFFF"/>
      <name val="Aptos Narrow"/>
      <family val="2"/>
      <scheme val="minor"/>
    </font>
    <font>
      <b/>
      <sz val="10"/>
      <color rgb="FFFFFFFF"/>
      <name val="Aptos"/>
    </font>
    <font>
      <b/>
      <sz val="10"/>
      <color rgb="FF1A2744"/>
      <name val="Inter"/>
    </font>
    <font>
      <sz val="10"/>
      <color theme="1"/>
      <name val="Aptos Narrow"/>
      <family val="2"/>
      <scheme val="minor"/>
    </font>
    <font>
      <sz val="10"/>
      <color rgb="FF1A2744"/>
      <name val="Inter"/>
    </font>
    <font>
      <sz val="10"/>
      <color rgb="FF2E7D32"/>
      <name val="Inter"/>
    </font>
    <font>
      <b/>
      <sz val="10"/>
      <color rgb="FF2E7D32"/>
      <name val="Inter"/>
    </font>
    <font>
      <b/>
      <sz val="10"/>
      <color rgb="FFC6901E"/>
      <name val="Inter"/>
    </font>
    <font>
      <sz val="10"/>
      <color rgb="FF444444"/>
      <name val="Inter"/>
    </font>
    <font>
      <b/>
      <sz val="10"/>
      <color rgb="FFC62828"/>
      <name val="Inter"/>
    </font>
    <font>
      <b/>
      <sz val="10"/>
      <color rgb="FFF57F17"/>
      <name val="Inter"/>
    </font>
    <font>
      <b/>
      <sz val="10"/>
      <color rgb="FF53565A"/>
      <name val="Inter"/>
    </font>
    <font>
      <b/>
      <sz val="10"/>
      <color rgb="FF1B2A4A"/>
      <name val="Aptos Narrow"/>
      <family val="2"/>
      <scheme val="minor"/>
    </font>
    <font>
      <b/>
      <sz val="10"/>
      <color rgb="FF008000"/>
      <name val="Inter"/>
    </font>
    <font>
      <i/>
      <sz val="10"/>
      <color rgb="FF888888"/>
      <name val="Inter"/>
    </font>
    <font>
      <b/>
      <sz val="10"/>
      <color rgb="FFFF0000"/>
      <name val="Inter"/>
    </font>
    <font>
      <i/>
      <sz val="10"/>
      <color rgb="FF53565A"/>
      <name val="Inter"/>
    </font>
    <font>
      <b/>
      <sz val="10"/>
      <color theme="1"/>
      <name val="Aptos Narrow"/>
      <family val="2"/>
      <scheme val="minor"/>
    </font>
    <font>
      <b/>
      <sz val="10"/>
      <color rgb="FFFF0000"/>
      <name val="Aptos Narrow"/>
      <family val="2"/>
      <scheme val="minor"/>
    </font>
    <font>
      <sz val="10"/>
      <color rgb="FFFF0000"/>
      <name val="Aptos Narrow"/>
      <family val="2"/>
      <scheme val="minor"/>
    </font>
    <font>
      <b/>
      <sz val="10"/>
      <color rgb="FF008000"/>
      <name val="Aptos Narrow"/>
      <family val="2"/>
      <scheme val="minor"/>
    </font>
    <font>
      <b/>
      <sz val="10"/>
      <color rgb="FFC65D21"/>
      <name val="Inter"/>
    </font>
    <font>
      <b/>
      <i/>
      <sz val="10"/>
      <color rgb="FFFF0000"/>
      <name val="Inter"/>
    </font>
    <font>
      <sz val="10"/>
      <color rgb="FF1A2744"/>
      <name val="Aptos Narrow"/>
      <family val="2"/>
      <scheme val="minor"/>
    </font>
    <font>
      <b/>
      <sz val="10"/>
      <color rgb="FFD4722C"/>
      <name val="Inter"/>
    </font>
    <font>
      <b/>
      <sz val="10"/>
      <color rgb="FF444444"/>
      <name val="Inter"/>
    </font>
    <font>
      <i/>
      <sz val="10"/>
      <color rgb="FFFFFFFF"/>
      <name val="Aptos"/>
    </font>
    <font>
      <sz val="10"/>
      <color rgb="FFFFFFFF"/>
      <name val="Aptos"/>
    </font>
    <font>
      <b/>
      <sz val="10"/>
      <color rgb="FF1A2744"/>
      <name val="Aptos"/>
    </font>
    <font>
      <sz val="10"/>
      <color theme="1"/>
      <name val="Aptos"/>
    </font>
    <font>
      <sz val="10"/>
      <color rgb="FF1A2744"/>
      <name val="Aptos"/>
    </font>
    <font>
      <b/>
      <sz val="10"/>
      <color rgb="FF2E7D32"/>
      <name val="Aptos"/>
    </font>
    <font>
      <b/>
      <sz val="10"/>
      <color rgb="FFC65D21"/>
      <name val="Aptos"/>
    </font>
    <font>
      <b/>
      <sz val="10"/>
      <color rgb="FF888888"/>
      <name val="Aptos"/>
    </font>
    <font>
      <b/>
      <sz val="10"/>
      <color rgb="FFB71C1C"/>
      <name val="Aptos"/>
    </font>
    <font>
      <sz val="10"/>
      <color rgb="FF888888"/>
      <name val="Aptos"/>
    </font>
    <font>
      <u/>
      <sz val="11"/>
      <color theme="10"/>
      <name val="Aptos Narrow"/>
      <family val="2"/>
      <scheme val="minor"/>
    </font>
    <font>
      <sz val="11"/>
      <color rgb="FFFF0000"/>
      <name val="Aptos Narrow"/>
      <family val="2"/>
      <scheme val="minor"/>
    </font>
    <font>
      <i/>
      <sz val="10"/>
      <color rgb="FF666666"/>
      <name val="Inter"/>
    </font>
    <font>
      <b/>
      <sz val="10"/>
      <color theme="1"/>
      <name val="Inter"/>
    </font>
    <font>
      <b/>
      <sz val="11"/>
      <color theme="1"/>
      <name val="Inter"/>
    </font>
    <font>
      <sz val="11"/>
      <color rgb="FF999999"/>
      <name val="Aptos Narrow"/>
      <family val="2"/>
      <scheme val="minor"/>
    </font>
    <font>
      <b/>
      <sz val="10"/>
      <color rgb="FF999999"/>
      <name val="Inter"/>
    </font>
    <font>
      <b/>
      <sz val="11"/>
      <color rgb="FFC65D21"/>
      <name val="Aptos Narrow"/>
    </font>
    <font>
      <b/>
      <sz val="12"/>
      <name val="Aptos Narrow"/>
    </font>
    <font>
      <b/>
      <sz val="11"/>
      <name val="Aptos Narrow"/>
    </font>
    <font>
      <b/>
      <sz val="10"/>
      <color rgb="FF1A2744"/>
      <name val="Arial"/>
    </font>
    <font>
      <b/>
      <sz val="10"/>
      <color rgb="FFFFFFFF"/>
      <name val="Arial"/>
    </font>
    <font>
      <sz val="10"/>
      <color rgb="FF1A2744"/>
      <name val="Arial"/>
    </font>
    <font>
      <sz val="10"/>
      <color rgb="FF2E7D32"/>
      <name val="Arial"/>
    </font>
    <font>
      <b/>
      <sz val="10"/>
      <color rgb="FFCC5500"/>
      <name val="Arial"/>
    </font>
    <font>
      <b/>
      <sz val="10"/>
      <color rgb="FFC65D21"/>
      <name val="Arial"/>
    </font>
    <font>
      <b/>
      <sz val="10"/>
      <color rgb="FF2E7D32"/>
      <name val="Arial"/>
    </font>
    <font>
      <b/>
      <sz val="14"/>
      <color rgb="FFFFFFFF"/>
      <name val="Arial"/>
    </font>
    <font>
      <sz val="72"/>
      <color theme="1"/>
      <name val="Arial"/>
    </font>
    <font>
      <b/>
      <sz val="11"/>
      <color rgb="FFFFFFFF"/>
      <name val="Arial"/>
    </font>
    <font>
      <sz val="22"/>
      <color theme="1"/>
      <name val="Aptos Narrow"/>
      <family val="2"/>
      <scheme val="minor"/>
    </font>
    <font>
      <b/>
      <sz val="11"/>
      <color rgb="FFC65D21"/>
      <name val="Arial"/>
    </font>
    <font>
      <sz val="11"/>
      <color rgb="FF000000"/>
      <name val="Arial"/>
    </font>
    <font>
      <b/>
      <sz val="11"/>
      <color rgb="FF2D6A2D"/>
      <name val="Arial"/>
    </font>
  </fonts>
  <fills count="29">
    <fill>
      <patternFill patternType="none"/>
    </fill>
    <fill>
      <patternFill patternType="gray125"/>
    </fill>
    <fill>
      <patternFill patternType="solid">
        <fgColor rgb="FFFFFFFF"/>
        <bgColor indexed="64"/>
      </patternFill>
    </fill>
    <fill>
      <patternFill patternType="solid">
        <fgColor rgb="FF1A3C6E"/>
        <bgColor indexed="64"/>
      </patternFill>
    </fill>
    <fill>
      <patternFill patternType="solid">
        <fgColor rgb="FFF5ECD7"/>
        <bgColor indexed="64"/>
      </patternFill>
    </fill>
    <fill>
      <patternFill patternType="solid">
        <fgColor rgb="FFE8EDE4"/>
        <bgColor indexed="64"/>
      </patternFill>
    </fill>
    <fill>
      <patternFill patternType="solid">
        <fgColor rgb="FFF9F9F6"/>
        <bgColor indexed="64"/>
      </patternFill>
    </fill>
    <fill>
      <patternFill patternType="solid">
        <fgColor rgb="FFFDF3EC"/>
        <bgColor indexed="64"/>
      </patternFill>
    </fill>
    <fill>
      <patternFill patternType="solid">
        <fgColor rgb="FF2D3E5F"/>
        <bgColor indexed="64"/>
      </patternFill>
    </fill>
    <fill>
      <patternFill patternType="solid">
        <fgColor rgb="FFE8E0D0"/>
        <bgColor indexed="64"/>
      </patternFill>
    </fill>
    <fill>
      <patternFill patternType="solid">
        <fgColor rgb="FFF5F0E6"/>
        <bgColor indexed="64"/>
      </patternFill>
    </fill>
    <fill>
      <patternFill patternType="solid">
        <fgColor rgb="FFFBE9E7"/>
        <bgColor indexed="64"/>
      </patternFill>
    </fill>
    <fill>
      <patternFill patternType="solid">
        <fgColor rgb="FF0A1628"/>
        <bgColor indexed="64"/>
      </patternFill>
    </fill>
    <fill>
      <patternFill patternType="solid">
        <fgColor rgb="FF1A2A40"/>
        <bgColor indexed="64"/>
      </patternFill>
    </fill>
    <fill>
      <patternFill patternType="solid">
        <fgColor rgb="FFF0F2F5"/>
        <bgColor indexed="64"/>
      </patternFill>
    </fill>
    <fill>
      <patternFill patternType="solid">
        <fgColor rgb="FFE8EBF0"/>
        <bgColor indexed="64"/>
      </patternFill>
    </fill>
    <fill>
      <patternFill patternType="solid">
        <fgColor rgb="FF1B2A4A"/>
        <bgColor indexed="64"/>
      </patternFill>
    </fill>
    <fill>
      <patternFill patternType="solid">
        <fgColor rgb="FFF9FAFB"/>
        <bgColor indexed="64"/>
      </patternFill>
    </fill>
    <fill>
      <patternFill patternType="solid">
        <fgColor rgb="FF1A2744"/>
        <bgColor indexed="64"/>
      </patternFill>
    </fill>
    <fill>
      <patternFill patternType="solid">
        <fgColor rgb="FFC65D21"/>
        <bgColor indexed="64"/>
      </patternFill>
    </fill>
    <fill>
      <patternFill patternType="solid">
        <fgColor rgb="FFF0F0F0"/>
        <bgColor indexed="64"/>
      </patternFill>
    </fill>
    <fill>
      <patternFill patternType="solid">
        <fgColor rgb="FF8B0000"/>
        <bgColor indexed="64"/>
      </patternFill>
    </fill>
    <fill>
      <patternFill patternType="solid">
        <fgColor rgb="FFFFFF00"/>
        <bgColor indexed="64"/>
      </patternFill>
    </fill>
    <fill>
      <patternFill patternType="solid">
        <fgColor rgb="FF1B2A4A"/>
      </patternFill>
    </fill>
    <fill>
      <patternFill patternType="solid">
        <fgColor rgb="FFFFFFFF"/>
      </patternFill>
    </fill>
    <fill>
      <patternFill patternType="solid">
        <fgColor rgb="FFF9F9F6"/>
      </patternFill>
    </fill>
    <fill>
      <patternFill patternType="solid">
        <fgColor rgb="FFF9F4F0"/>
      </patternFill>
    </fill>
    <fill>
      <patternFill patternType="solid">
        <fgColor rgb="FFD9EAD3"/>
      </patternFill>
    </fill>
    <fill>
      <patternFill patternType="solid">
        <fgColor rgb="FFFFFFFF"/>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rgb="FFDDDDD8"/>
      </bottom>
      <diagonal/>
    </border>
    <border>
      <left style="thin">
        <color indexed="64"/>
      </left>
      <right style="thin">
        <color indexed="64"/>
      </right>
      <top/>
      <bottom style="thin">
        <color auto="1"/>
      </bottom>
      <diagonal/>
    </border>
    <border>
      <left style="thin">
        <color indexed="64"/>
      </left>
      <right style="thin">
        <color indexed="64"/>
      </right>
      <top style="thin">
        <color indexed="64"/>
      </top>
      <bottom style="thin">
        <color rgb="FFDDDDD8"/>
      </bottom>
      <diagonal/>
    </border>
    <border>
      <left style="thin">
        <color indexed="64"/>
      </left>
      <right style="thin">
        <color indexed="64"/>
      </right>
      <top/>
      <bottom style="thin">
        <color rgb="FFDDDDD8"/>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45" fillId="0" borderId="0"/>
  </cellStyleXfs>
  <cellXfs count="290">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applyAlignment="1">
      <alignment vertical="center" wrapText="1"/>
    </xf>
    <xf numFmtId="0" fontId="0" fillId="0" borderId="1" xfId="0" applyBorder="1" applyAlignment="1">
      <alignment wrapText="1"/>
    </xf>
    <xf numFmtId="0" fontId="0" fillId="0" borderId="1" xfId="0" applyBorder="1" applyAlignment="1">
      <alignment horizontal="center" wrapText="1"/>
    </xf>
    <xf numFmtId="0" fontId="5" fillId="15" borderId="0" xfId="0" applyFont="1" applyFill="1" applyAlignment="1">
      <alignment wrapText="1"/>
    </xf>
    <xf numFmtId="0" fontId="0" fillId="0" borderId="0" xfId="0" applyAlignment="1">
      <alignment horizontal="center" wrapText="1"/>
    </xf>
    <xf numFmtId="0" fontId="2" fillId="0" borderId="0" xfId="0" applyFont="1" applyAlignment="1">
      <alignment horizontal="center" wrapText="1"/>
    </xf>
    <xf numFmtId="0" fontId="7" fillId="15" borderId="3" xfId="0" applyFont="1" applyFill="1" applyBorder="1" applyAlignment="1">
      <alignment horizontal="center" wrapText="1"/>
    </xf>
    <xf numFmtId="0" fontId="8" fillId="16" borderId="3" xfId="0" applyFont="1" applyFill="1" applyBorder="1" applyAlignment="1">
      <alignment horizontal="center" wrapText="1"/>
    </xf>
    <xf numFmtId="0" fontId="9" fillId="16" borderId="0" xfId="0" applyFont="1" applyFill="1" applyAlignment="1">
      <alignment horizontal="center" wrapText="1"/>
    </xf>
    <xf numFmtId="0" fontId="8" fillId="16" borderId="0" xfId="0" applyFont="1" applyFill="1" applyAlignment="1">
      <alignment horizontal="center" wrapText="1"/>
    </xf>
    <xf numFmtId="0" fontId="9" fillId="16" borderId="0" xfId="0" applyFont="1" applyFill="1" applyAlignment="1">
      <alignment wrapText="1"/>
    </xf>
    <xf numFmtId="0" fontId="8" fillId="16" borderId="0" xfId="0" applyFont="1" applyFill="1" applyAlignment="1">
      <alignment wrapText="1"/>
    </xf>
    <xf numFmtId="0" fontId="9" fillId="16" borderId="0" xfId="0" applyFont="1" applyFill="1"/>
    <xf numFmtId="0" fontId="3" fillId="0" borderId="0" xfId="0" applyFont="1" applyAlignment="1">
      <alignment wrapText="1"/>
    </xf>
    <xf numFmtId="0" fontId="10" fillId="16" borderId="0" xfId="0" applyFont="1" applyFill="1" applyAlignment="1">
      <alignment wrapText="1"/>
    </xf>
    <xf numFmtId="0" fontId="11" fillId="2" borderId="0" xfId="0" applyFont="1" applyFill="1" applyAlignment="1">
      <alignment wrapText="1"/>
    </xf>
    <xf numFmtId="0" fontId="12" fillId="2" borderId="0" xfId="0" applyFont="1" applyFill="1" applyAlignment="1">
      <alignment wrapText="1"/>
    </xf>
    <xf numFmtId="0" fontId="13" fillId="2" borderId="0" xfId="0" applyFont="1" applyFill="1" applyAlignment="1">
      <alignment wrapText="1"/>
    </xf>
    <xf numFmtId="0" fontId="13" fillId="2" borderId="0" xfId="0" applyFont="1" applyFill="1" applyAlignment="1">
      <alignment horizontal="center" wrapText="1"/>
    </xf>
    <xf numFmtId="0" fontId="14" fillId="2" borderId="0" xfId="0" applyFont="1" applyFill="1" applyAlignment="1">
      <alignment horizontal="center" wrapText="1"/>
    </xf>
    <xf numFmtId="164" fontId="13" fillId="2" borderId="0" xfId="0" applyNumberFormat="1" applyFont="1" applyFill="1" applyAlignment="1">
      <alignment horizontal="center" wrapText="1"/>
    </xf>
    <xf numFmtId="0" fontId="15" fillId="2" borderId="0" xfId="0" applyFont="1" applyFill="1" applyAlignment="1">
      <alignment horizontal="center" wrapText="1"/>
    </xf>
    <xf numFmtId="0" fontId="13" fillId="6" borderId="0" xfId="0" applyFont="1" applyFill="1" applyAlignment="1">
      <alignment wrapText="1"/>
    </xf>
    <xf numFmtId="0" fontId="13" fillId="6" borderId="0" xfId="0" applyFont="1" applyFill="1" applyAlignment="1">
      <alignment horizontal="center" wrapText="1"/>
    </xf>
    <xf numFmtId="0" fontId="14" fillId="6" borderId="0" xfId="0" applyFont="1" applyFill="1" applyAlignment="1">
      <alignment horizontal="center" wrapText="1"/>
    </xf>
    <xf numFmtId="164" fontId="13" fillId="6" borderId="0" xfId="0" applyNumberFormat="1" applyFont="1" applyFill="1" applyAlignment="1">
      <alignment horizontal="center" wrapText="1"/>
    </xf>
    <xf numFmtId="0" fontId="15" fillId="6" borderId="0" xfId="0" applyFont="1" applyFill="1" applyAlignment="1">
      <alignment horizontal="center" wrapText="1"/>
    </xf>
    <xf numFmtId="0" fontId="11" fillId="5" borderId="0" xfId="0" applyFont="1" applyFill="1" applyAlignment="1">
      <alignment wrapText="1"/>
    </xf>
    <xf numFmtId="0" fontId="11" fillId="5" borderId="0" xfId="0" applyFont="1" applyFill="1" applyAlignment="1">
      <alignment horizontal="center" wrapText="1"/>
    </xf>
    <xf numFmtId="0" fontId="15" fillId="5" borderId="0" xfId="0" applyFont="1" applyFill="1" applyAlignment="1">
      <alignment horizontal="center" wrapText="1"/>
    </xf>
    <xf numFmtId="164" fontId="11" fillId="5" borderId="0" xfId="0" applyNumberFormat="1" applyFont="1" applyFill="1" applyAlignment="1">
      <alignment horizontal="center" wrapText="1"/>
    </xf>
    <xf numFmtId="0" fontId="16" fillId="6" borderId="0" xfId="0" applyFont="1" applyFill="1" applyAlignment="1">
      <alignment horizontal="center" wrapText="1"/>
    </xf>
    <xf numFmtId="0" fontId="15" fillId="2" borderId="0" xfId="0" applyFont="1" applyFill="1" applyAlignment="1">
      <alignment wrapText="1"/>
    </xf>
    <xf numFmtId="164" fontId="17" fillId="2" borderId="0" xfId="0" applyNumberFormat="1" applyFont="1" applyFill="1" applyAlignment="1">
      <alignment horizontal="center" wrapText="1"/>
    </xf>
    <xf numFmtId="0" fontId="12" fillId="0" borderId="0" xfId="0" applyFont="1" applyAlignment="1">
      <alignment wrapText="1"/>
    </xf>
    <xf numFmtId="0" fontId="18" fillId="6" borderId="0" xfId="0" applyFont="1" applyFill="1" applyAlignment="1">
      <alignment wrapText="1"/>
    </xf>
    <xf numFmtId="0" fontId="18" fillId="6" borderId="0" xfId="0" applyFont="1" applyFill="1" applyAlignment="1">
      <alignment horizontal="center" wrapText="1"/>
    </xf>
    <xf numFmtId="164" fontId="17" fillId="6" borderId="0" xfId="0" applyNumberFormat="1" applyFont="1" applyFill="1" applyAlignment="1">
      <alignment horizontal="center" wrapText="1"/>
    </xf>
    <xf numFmtId="0" fontId="19" fillId="2" borderId="0" xfId="0" applyFont="1" applyFill="1" applyAlignment="1">
      <alignment wrapText="1"/>
    </xf>
    <xf numFmtId="0" fontId="19" fillId="2" borderId="0" xfId="0" applyFont="1" applyFill="1" applyAlignment="1">
      <alignment horizontal="center" wrapText="1"/>
    </xf>
    <xf numFmtId="0" fontId="16" fillId="6" borderId="0" xfId="0" applyFont="1" applyFill="1" applyAlignment="1">
      <alignment wrapText="1"/>
    </xf>
    <xf numFmtId="0" fontId="20" fillId="2" borderId="0" xfId="0" applyFont="1" applyFill="1" applyAlignment="1">
      <alignment wrapText="1"/>
    </xf>
    <xf numFmtId="0" fontId="20" fillId="2" borderId="0" xfId="0" applyFont="1" applyFill="1" applyAlignment="1">
      <alignment horizontal="center" wrapText="1"/>
    </xf>
    <xf numFmtId="0" fontId="21" fillId="15" borderId="0" xfId="0" applyFont="1" applyFill="1" applyAlignment="1">
      <alignment wrapText="1"/>
    </xf>
    <xf numFmtId="0" fontId="11" fillId="4" borderId="3" xfId="0" applyFont="1" applyFill="1" applyBorder="1" applyAlignment="1">
      <alignment horizontal="center" wrapText="1"/>
    </xf>
    <xf numFmtId="0" fontId="11" fillId="2" borderId="0" xfId="0" applyFont="1" applyFill="1" applyAlignment="1">
      <alignment horizontal="center" wrapText="1"/>
    </xf>
    <xf numFmtId="0" fontId="18" fillId="2" borderId="0" xfId="0" applyFont="1" applyFill="1" applyAlignment="1">
      <alignment wrapText="1"/>
    </xf>
    <xf numFmtId="0" fontId="22" fillId="2" borderId="0" xfId="0" applyFont="1" applyFill="1" applyAlignment="1">
      <alignment wrapText="1"/>
    </xf>
    <xf numFmtId="0" fontId="11" fillId="6" borderId="0" xfId="0" applyFont="1" applyFill="1" applyAlignment="1">
      <alignment horizontal="center" wrapText="1"/>
    </xf>
    <xf numFmtId="0" fontId="16" fillId="2" borderId="0" xfId="0" applyFont="1" applyFill="1" applyAlignment="1">
      <alignment wrapText="1"/>
    </xf>
    <xf numFmtId="0" fontId="23" fillId="2" borderId="0" xfId="0" applyFont="1" applyFill="1" applyAlignment="1">
      <alignment wrapText="1"/>
    </xf>
    <xf numFmtId="165" fontId="23" fillId="2" borderId="0" xfId="0" applyNumberFormat="1" applyFont="1" applyFill="1" applyAlignment="1">
      <alignment wrapText="1"/>
    </xf>
    <xf numFmtId="0" fontId="15" fillId="6" borderId="0" xfId="0" applyFont="1" applyFill="1" applyAlignment="1">
      <alignment wrapText="1"/>
    </xf>
    <xf numFmtId="0" fontId="25" fillId="0" borderId="0" xfId="0" applyFont="1" applyAlignment="1">
      <alignment wrapText="1"/>
    </xf>
    <xf numFmtId="165" fontId="25" fillId="0" borderId="0" xfId="0" applyNumberFormat="1" applyFont="1" applyAlignment="1">
      <alignment wrapText="1"/>
    </xf>
    <xf numFmtId="0" fontId="9" fillId="3" borderId="0" xfId="0" applyFont="1" applyFill="1" applyAlignment="1">
      <alignment wrapText="1"/>
    </xf>
    <xf numFmtId="0" fontId="12" fillId="3" borderId="0" xfId="0" applyFont="1" applyFill="1" applyAlignment="1">
      <alignment wrapText="1"/>
    </xf>
    <xf numFmtId="0" fontId="26" fillId="0" borderId="0" xfId="0" applyFont="1" applyAlignment="1">
      <alignment wrapText="1"/>
    </xf>
    <xf numFmtId="14" fontId="12" fillId="0" borderId="0" xfId="0" applyNumberFormat="1" applyFont="1" applyAlignment="1">
      <alignment wrapText="1"/>
    </xf>
    <xf numFmtId="0" fontId="27" fillId="0" borderId="0" xfId="0" applyFont="1" applyAlignment="1">
      <alignment wrapText="1"/>
    </xf>
    <xf numFmtId="0" fontId="28" fillId="0" borderId="0" xfId="0" applyFont="1" applyAlignment="1">
      <alignment wrapText="1"/>
    </xf>
    <xf numFmtId="0" fontId="29" fillId="0" borderId="0" xfId="0" applyFont="1" applyAlignment="1">
      <alignment wrapText="1"/>
    </xf>
    <xf numFmtId="0" fontId="12" fillId="12" borderId="0" xfId="0" applyFont="1" applyFill="1" applyAlignment="1">
      <alignment wrapText="1"/>
    </xf>
    <xf numFmtId="0" fontId="12" fillId="12" borderId="0" xfId="0" applyFont="1" applyFill="1"/>
    <xf numFmtId="0" fontId="12" fillId="0" borderId="0" xfId="0" applyFont="1"/>
    <xf numFmtId="0" fontId="22" fillId="0" borderId="0" xfId="0" applyFont="1" applyAlignment="1">
      <alignment wrapText="1"/>
    </xf>
    <xf numFmtId="0" fontId="11" fillId="0" borderId="0" xfId="0" applyFont="1" applyAlignment="1">
      <alignment wrapText="1"/>
    </xf>
    <xf numFmtId="0" fontId="30" fillId="0" borderId="0" xfId="0" applyFont="1" applyAlignment="1">
      <alignment wrapText="1"/>
    </xf>
    <xf numFmtId="0" fontId="31" fillId="0" borderId="0" xfId="0" applyFont="1" applyAlignment="1">
      <alignment wrapText="1"/>
    </xf>
    <xf numFmtId="0" fontId="32" fillId="0" borderId="0" xfId="0" applyFont="1" applyAlignment="1">
      <alignment wrapText="1"/>
    </xf>
    <xf numFmtId="0" fontId="24" fillId="0" borderId="0" xfId="0" applyFont="1" applyAlignment="1">
      <alignment wrapText="1"/>
    </xf>
    <xf numFmtId="0" fontId="17" fillId="6" borderId="17" xfId="0" applyFont="1" applyFill="1" applyBorder="1" applyAlignment="1">
      <alignment wrapText="1"/>
    </xf>
    <xf numFmtId="0" fontId="30" fillId="2" borderId="0" xfId="0" applyFont="1" applyFill="1" applyAlignment="1">
      <alignment wrapText="1"/>
    </xf>
    <xf numFmtId="0" fontId="30" fillId="6" borderId="0" xfId="0" applyFont="1" applyFill="1" applyAlignment="1">
      <alignment wrapText="1"/>
    </xf>
    <xf numFmtId="0" fontId="13" fillId="6" borderId="17" xfId="0" applyFont="1" applyFill="1" applyBorder="1" applyAlignment="1">
      <alignment wrapText="1"/>
    </xf>
    <xf numFmtId="0" fontId="25" fillId="2" borderId="0" xfId="0" applyFont="1" applyFill="1" applyAlignment="1">
      <alignment wrapText="1"/>
    </xf>
    <xf numFmtId="0" fontId="30" fillId="6" borderId="16" xfId="0" applyFont="1" applyFill="1" applyBorder="1" applyAlignment="1">
      <alignment horizontal="center" wrapText="1"/>
    </xf>
    <xf numFmtId="0" fontId="16" fillId="6" borderId="17" xfId="0" applyFont="1" applyFill="1" applyBorder="1" applyAlignment="1">
      <alignment horizontal="center" wrapText="1"/>
    </xf>
    <xf numFmtId="0" fontId="13" fillId="6" borderId="18" xfId="0" applyFont="1" applyFill="1" applyBorder="1" applyAlignment="1">
      <alignment wrapText="1"/>
    </xf>
    <xf numFmtId="0" fontId="25" fillId="6" borderId="0" xfId="0" applyFont="1" applyFill="1" applyAlignment="1">
      <alignment wrapText="1"/>
    </xf>
    <xf numFmtId="0" fontId="13" fillId="6" borderId="17" xfId="0" applyFont="1" applyFill="1" applyBorder="1" applyAlignment="1">
      <alignment horizontal="center" wrapText="1"/>
    </xf>
    <xf numFmtId="0" fontId="12" fillId="17" borderId="17" xfId="0" applyFont="1" applyFill="1" applyBorder="1" applyAlignment="1">
      <alignment horizontal="center" wrapText="1"/>
    </xf>
    <xf numFmtId="0" fontId="12" fillId="17" borderId="17" xfId="0" applyFont="1" applyFill="1" applyBorder="1" applyAlignment="1">
      <alignment wrapText="1"/>
    </xf>
    <xf numFmtId="0" fontId="12" fillId="17" borderId="18" xfId="0" applyFont="1" applyFill="1" applyBorder="1" applyAlignment="1">
      <alignment wrapText="1"/>
    </xf>
    <xf numFmtId="0" fontId="12" fillId="0" borderId="17" xfId="0" applyFont="1" applyBorder="1" applyAlignment="1">
      <alignment horizontal="center" wrapText="1"/>
    </xf>
    <xf numFmtId="0" fontId="12" fillId="0" borderId="17" xfId="0" applyFont="1" applyBorder="1" applyAlignment="1">
      <alignment wrapText="1"/>
    </xf>
    <xf numFmtId="0" fontId="12" fillId="0" borderId="18" xfId="0" applyFont="1" applyBorder="1" applyAlignment="1">
      <alignment wrapText="1"/>
    </xf>
    <xf numFmtId="0" fontId="12" fillId="0" borderId="16" xfId="0" applyFont="1" applyBorder="1" applyAlignment="1">
      <alignment horizontal="center" wrapText="1"/>
    </xf>
    <xf numFmtId="0" fontId="12" fillId="17" borderId="16" xfId="0" applyFont="1" applyFill="1" applyBorder="1" applyAlignment="1">
      <alignment horizontal="center" wrapText="1"/>
    </xf>
    <xf numFmtId="0" fontId="17" fillId="2" borderId="0" xfId="0" applyFont="1" applyFill="1" applyAlignment="1">
      <alignment wrapText="1"/>
    </xf>
    <xf numFmtId="14" fontId="13" fillId="2" borderId="0" xfId="0" applyNumberFormat="1" applyFont="1" applyFill="1" applyAlignment="1">
      <alignment wrapText="1"/>
    </xf>
    <xf numFmtId="0" fontId="19" fillId="6" borderId="0" xfId="0" applyFont="1" applyFill="1" applyAlignment="1">
      <alignment horizontal="center" wrapText="1"/>
    </xf>
    <xf numFmtId="0" fontId="17" fillId="6" borderId="0" xfId="0" applyFont="1" applyFill="1" applyAlignment="1">
      <alignment wrapText="1"/>
    </xf>
    <xf numFmtId="14" fontId="13" fillId="6" borderId="0" xfId="0" applyNumberFormat="1" applyFont="1" applyFill="1" applyAlignment="1">
      <alignment wrapText="1"/>
    </xf>
    <xf numFmtId="0" fontId="16" fillId="2" borderId="0" xfId="0" applyFont="1" applyFill="1" applyAlignment="1">
      <alignment horizontal="center" wrapText="1"/>
    </xf>
    <xf numFmtId="0" fontId="20" fillId="6" borderId="0" xfId="0" applyFont="1" applyFill="1" applyAlignment="1">
      <alignment horizontal="center" wrapText="1"/>
    </xf>
    <xf numFmtId="0" fontId="34" fillId="2" borderId="0" xfId="0" applyFont="1" applyFill="1" applyAlignment="1">
      <alignment wrapText="1"/>
    </xf>
    <xf numFmtId="0" fontId="34" fillId="6" borderId="0" xfId="0" applyFont="1" applyFill="1" applyAlignment="1">
      <alignment wrapText="1"/>
    </xf>
    <xf numFmtId="0" fontId="11" fillId="6" borderId="0" xfId="0" applyFont="1" applyFill="1" applyAlignment="1">
      <alignment wrapText="1"/>
    </xf>
    <xf numFmtId="0" fontId="18" fillId="2" borderId="0" xfId="0" applyFont="1" applyFill="1" applyAlignment="1">
      <alignment horizontal="center" wrapText="1"/>
    </xf>
    <xf numFmtId="10" fontId="13" fillId="2" borderId="0" xfId="0" applyNumberFormat="1" applyFont="1" applyFill="1" applyAlignment="1">
      <alignment wrapText="1"/>
    </xf>
    <xf numFmtId="10" fontId="13" fillId="6" borderId="0" xfId="0" applyNumberFormat="1" applyFont="1" applyFill="1" applyAlignment="1">
      <alignment wrapText="1"/>
    </xf>
    <xf numFmtId="9" fontId="11" fillId="2" borderId="0" xfId="0" applyNumberFormat="1" applyFont="1" applyFill="1" applyAlignment="1">
      <alignment horizontal="center" wrapText="1"/>
    </xf>
    <xf numFmtId="9" fontId="13" fillId="2" borderId="0" xfId="0" applyNumberFormat="1" applyFont="1" applyFill="1" applyAlignment="1">
      <alignment horizontal="center" wrapText="1"/>
    </xf>
    <xf numFmtId="10" fontId="12" fillId="0" borderId="0" xfId="0" applyNumberFormat="1" applyFont="1" applyAlignment="1">
      <alignment wrapText="1"/>
    </xf>
    <xf numFmtId="9" fontId="12" fillId="0" borderId="0" xfId="0" applyNumberFormat="1" applyFont="1" applyAlignment="1">
      <alignment wrapText="1"/>
    </xf>
    <xf numFmtId="11" fontId="12" fillId="0" borderId="0" xfId="0" applyNumberFormat="1" applyFont="1" applyAlignment="1">
      <alignment wrapText="1"/>
    </xf>
    <xf numFmtId="0" fontId="30" fillId="2" borderId="0" xfId="0" applyFont="1" applyFill="1" applyAlignment="1">
      <alignment horizontal="center" wrapText="1"/>
    </xf>
    <xf numFmtId="0" fontId="30" fillId="6" borderId="0" xfId="0" applyFont="1" applyFill="1" applyAlignment="1">
      <alignment horizontal="center" wrapText="1"/>
    </xf>
    <xf numFmtId="0" fontId="15" fillId="5" borderId="0" xfId="0" applyFont="1" applyFill="1" applyAlignment="1">
      <alignment wrapText="1"/>
    </xf>
    <xf numFmtId="0" fontId="11" fillId="4" borderId="5" xfId="0" applyFont="1" applyFill="1" applyBorder="1" applyAlignment="1">
      <alignment horizontal="center" wrapText="1"/>
    </xf>
    <xf numFmtId="0" fontId="11" fillId="4" borderId="6" xfId="0" applyFont="1" applyFill="1" applyBorder="1" applyAlignment="1">
      <alignment horizontal="center" wrapText="1"/>
    </xf>
    <xf numFmtId="0" fontId="30" fillId="2" borderId="4" xfId="0" applyFont="1" applyFill="1" applyBorder="1" applyAlignment="1">
      <alignment horizontal="center" wrapText="1"/>
    </xf>
    <xf numFmtId="0" fontId="13" fillId="2" borderId="4" xfId="0" applyFont="1" applyFill="1" applyBorder="1" applyAlignment="1">
      <alignment wrapText="1"/>
    </xf>
    <xf numFmtId="0" fontId="30" fillId="6" borderId="1" xfId="0" applyFont="1" applyFill="1" applyBorder="1" applyAlignment="1">
      <alignment horizontal="center" wrapText="1"/>
    </xf>
    <xf numFmtId="0" fontId="13" fillId="6" borderId="1" xfId="0" applyFont="1" applyFill="1" applyBorder="1" applyAlignment="1">
      <alignment wrapText="1"/>
    </xf>
    <xf numFmtId="0" fontId="13" fillId="6" borderId="0" xfId="0" applyFont="1" applyFill="1" applyAlignment="1">
      <alignment vertical="top" wrapText="1"/>
    </xf>
    <xf numFmtId="0" fontId="30" fillId="2" borderId="1" xfId="0" applyFont="1" applyFill="1" applyBorder="1" applyAlignment="1">
      <alignment horizontal="center" wrapText="1"/>
    </xf>
    <xf numFmtId="0" fontId="13" fillId="2" borderId="1" xfId="0" applyFont="1" applyFill="1" applyBorder="1" applyAlignment="1">
      <alignment wrapText="1"/>
    </xf>
    <xf numFmtId="0" fontId="11" fillId="2" borderId="2" xfId="0" applyFont="1" applyFill="1" applyBorder="1" applyAlignment="1">
      <alignment wrapText="1"/>
    </xf>
    <xf numFmtId="0" fontId="11" fillId="2" borderId="1" xfId="0" applyFont="1" applyFill="1" applyBorder="1" applyAlignment="1">
      <alignment wrapText="1"/>
    </xf>
    <xf numFmtId="0" fontId="11" fillId="6" borderId="1" xfId="0" applyFont="1" applyFill="1" applyBorder="1" applyAlignment="1">
      <alignment horizontal="center" wrapText="1"/>
    </xf>
    <xf numFmtId="0" fontId="13" fillId="6" borderId="1" xfId="0" applyFont="1" applyFill="1" applyBorder="1" applyAlignment="1">
      <alignment horizontal="left" wrapText="1"/>
    </xf>
    <xf numFmtId="0" fontId="11" fillId="6" borderId="1" xfId="0" applyFont="1" applyFill="1" applyBorder="1" applyAlignment="1">
      <alignment wrapText="1"/>
    </xf>
    <xf numFmtId="0" fontId="11" fillId="2" borderId="1" xfId="0" applyFont="1" applyFill="1" applyBorder="1" applyAlignment="1">
      <alignment horizontal="center" wrapText="1"/>
    </xf>
    <xf numFmtId="0" fontId="35" fillId="8" borderId="0" xfId="0" applyFont="1" applyFill="1" applyAlignment="1">
      <alignment wrapText="1"/>
    </xf>
    <xf numFmtId="0" fontId="36" fillId="8" borderId="0" xfId="0" applyFont="1" applyFill="1" applyAlignment="1">
      <alignment wrapText="1"/>
    </xf>
    <xf numFmtId="0" fontId="37" fillId="9" borderId="0" xfId="0" applyFont="1" applyFill="1" applyAlignment="1">
      <alignment wrapText="1"/>
    </xf>
    <xf numFmtId="0" fontId="38" fillId="9" borderId="0" xfId="0" applyFont="1" applyFill="1" applyAlignment="1">
      <alignment wrapText="1"/>
    </xf>
    <xf numFmtId="0" fontId="37" fillId="10" borderId="7" xfId="0" applyFont="1" applyFill="1" applyBorder="1" applyAlignment="1">
      <alignment wrapText="1"/>
    </xf>
    <xf numFmtId="0" fontId="37" fillId="10" borderId="7" xfId="0" applyFont="1" applyFill="1" applyBorder="1" applyAlignment="1">
      <alignment horizontal="center" wrapText="1"/>
    </xf>
    <xf numFmtId="0" fontId="39" fillId="0" borderId="8" xfId="0" applyFont="1" applyBorder="1" applyAlignment="1">
      <alignment wrapText="1"/>
    </xf>
    <xf numFmtId="0" fontId="40" fillId="0" borderId="8" xfId="0" applyFont="1" applyBorder="1" applyAlignment="1">
      <alignment horizontal="center" wrapText="1"/>
    </xf>
    <xf numFmtId="0" fontId="41" fillId="0" borderId="8" xfId="0" applyFont="1" applyBorder="1" applyAlignment="1">
      <alignment horizontal="center" wrapText="1"/>
    </xf>
    <xf numFmtId="0" fontId="42" fillId="0" borderId="8" xfId="0" applyFont="1" applyBorder="1" applyAlignment="1">
      <alignment horizontal="center" wrapText="1"/>
    </xf>
    <xf numFmtId="0" fontId="39" fillId="0" borderId="9" xfId="0" applyFont="1" applyBorder="1" applyAlignment="1">
      <alignment wrapText="1"/>
    </xf>
    <xf numFmtId="0" fontId="42" fillId="0" borderId="9" xfId="0" applyFont="1" applyBorder="1" applyAlignment="1">
      <alignment horizontal="center" wrapText="1"/>
    </xf>
    <xf numFmtId="0" fontId="39" fillId="0" borderId="8" xfId="0" applyFont="1" applyBorder="1" applyAlignment="1">
      <alignment horizontal="center" wrapText="1"/>
    </xf>
    <xf numFmtId="0" fontId="40" fillId="0" borderId="9" xfId="0" applyFont="1" applyBorder="1" applyAlignment="1">
      <alignment horizontal="center" wrapText="1"/>
    </xf>
    <xf numFmtId="0" fontId="39" fillId="0" borderId="9" xfId="0" applyFont="1" applyBorder="1" applyAlignment="1">
      <alignment horizontal="center" wrapText="1"/>
    </xf>
    <xf numFmtId="0" fontId="39" fillId="0" borderId="0" xfId="0" applyFont="1" applyAlignment="1">
      <alignment wrapText="1"/>
    </xf>
    <xf numFmtId="0" fontId="40" fillId="0" borderId="0" xfId="0" applyFont="1" applyAlignment="1">
      <alignment horizontal="center" wrapText="1"/>
    </xf>
    <xf numFmtId="0" fontId="39" fillId="0" borderId="0" xfId="0" applyFont="1" applyAlignment="1">
      <alignment horizontal="center" wrapText="1"/>
    </xf>
    <xf numFmtId="0" fontId="43" fillId="11" borderId="7" xfId="0" applyFont="1" applyFill="1" applyBorder="1" applyAlignment="1">
      <alignment wrapText="1"/>
    </xf>
    <xf numFmtId="0" fontId="12" fillId="11" borderId="7" xfId="0" applyFont="1" applyFill="1" applyBorder="1" applyAlignment="1">
      <alignment wrapText="1"/>
    </xf>
    <xf numFmtId="0" fontId="44" fillId="0" borderId="8" xfId="0" applyFont="1" applyBorder="1" applyAlignment="1">
      <alignment wrapText="1"/>
    </xf>
    <xf numFmtId="0" fontId="43" fillId="0" borderId="8" xfId="0" applyFont="1" applyBorder="1" applyAlignment="1">
      <alignment horizontal="center" wrapText="1"/>
    </xf>
    <xf numFmtId="0" fontId="44" fillId="0" borderId="8" xfId="0" applyFont="1" applyBorder="1" applyAlignment="1">
      <alignment horizontal="center" wrapText="1"/>
    </xf>
    <xf numFmtId="0" fontId="44" fillId="0" borderId="9" xfId="0" applyFont="1" applyBorder="1" applyAlignment="1">
      <alignment wrapText="1"/>
    </xf>
    <xf numFmtId="0" fontId="43" fillId="0" borderId="9" xfId="0" applyFont="1" applyBorder="1" applyAlignment="1">
      <alignment horizontal="center" wrapText="1"/>
    </xf>
    <xf numFmtId="0" fontId="44" fillId="0" borderId="9" xfId="0" applyFont="1" applyBorder="1" applyAlignment="1">
      <alignment horizontal="center" wrapText="1"/>
    </xf>
    <xf numFmtId="16" fontId="39" fillId="0" borderId="8" xfId="0" applyNumberFormat="1" applyFont="1" applyBorder="1" applyAlignment="1">
      <alignment horizontal="center" wrapText="1"/>
    </xf>
    <xf numFmtId="0" fontId="37" fillId="0" borderId="0" xfId="0" applyFont="1" applyAlignment="1">
      <alignment wrapText="1"/>
    </xf>
    <xf numFmtId="0" fontId="37" fillId="0" borderId="8" xfId="0" applyFont="1" applyBorder="1" applyAlignment="1">
      <alignment wrapText="1"/>
    </xf>
    <xf numFmtId="0" fontId="37" fillId="0" borderId="9" xfId="0" applyFont="1" applyBorder="1" applyAlignment="1">
      <alignment wrapText="1"/>
    </xf>
    <xf numFmtId="0" fontId="37" fillId="0" borderId="8" xfId="0" applyFont="1" applyBorder="1" applyAlignment="1">
      <alignment horizontal="center" wrapText="1"/>
    </xf>
    <xf numFmtId="0" fontId="37" fillId="0" borderId="9" xfId="0" applyFont="1" applyBorder="1" applyAlignment="1">
      <alignment horizontal="center" wrapText="1"/>
    </xf>
    <xf numFmtId="0" fontId="30" fillId="7" borderId="0" xfId="0" applyFont="1" applyFill="1" applyAlignment="1">
      <alignment wrapText="1"/>
    </xf>
    <xf numFmtId="0" fontId="13" fillId="7" borderId="0" xfId="0" applyFont="1" applyFill="1" applyAlignment="1">
      <alignment wrapText="1"/>
    </xf>
    <xf numFmtId="0" fontId="17" fillId="7" borderId="0" xfId="0" applyFont="1" applyFill="1" applyAlignment="1">
      <alignment wrapText="1"/>
    </xf>
    <xf numFmtId="0" fontId="33" fillId="2" borderId="0" xfId="0" applyFont="1" applyFill="1" applyAlignment="1">
      <alignment horizontal="center" wrapText="1"/>
    </xf>
    <xf numFmtId="0" fontId="2"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0" fontId="45" fillId="0" borderId="0" xfId="1" applyAlignment="1">
      <alignment vertical="center" wrapText="1"/>
    </xf>
    <xf numFmtId="0" fontId="0" fillId="0" borderId="0" xfId="0" applyAlignment="1">
      <alignment horizontal="left" vertical="center" indent="1"/>
    </xf>
    <xf numFmtId="0" fontId="2" fillId="0" borderId="0" xfId="0" applyFont="1"/>
    <xf numFmtId="0" fontId="45" fillId="0" borderId="0" xfId="1" applyAlignment="1">
      <alignment horizontal="left" vertical="center" indent="1"/>
    </xf>
    <xf numFmtId="0" fontId="2" fillId="0" borderId="0" xfId="0" applyFont="1" applyAlignment="1">
      <alignment horizontal="left" vertical="center" indent="1"/>
    </xf>
    <xf numFmtId="0" fontId="0" fillId="18" borderId="0" xfId="0" applyFill="1"/>
    <xf numFmtId="0" fontId="47" fillId="0" borderId="0" xfId="0" applyFont="1"/>
    <xf numFmtId="0" fontId="6" fillId="19" borderId="0" xfId="0" applyFont="1" applyFill="1"/>
    <xf numFmtId="0" fontId="0" fillId="19" borderId="0" xfId="0" applyFill="1"/>
    <xf numFmtId="0" fontId="48" fillId="0" borderId="0" xfId="0" applyFont="1"/>
    <xf numFmtId="0" fontId="48" fillId="20" borderId="0" xfId="0" applyFont="1" applyFill="1"/>
    <xf numFmtId="0" fontId="6" fillId="18" borderId="0" xfId="0" applyFont="1" applyFill="1"/>
    <xf numFmtId="0" fontId="49" fillId="0" borderId="0" xfId="0" applyFont="1"/>
    <xf numFmtId="16" fontId="0" fillId="0" borderId="0" xfId="0" applyNumberFormat="1"/>
    <xf numFmtId="0" fontId="6" fillId="21" borderId="0" xfId="0" applyFont="1" applyFill="1"/>
    <xf numFmtId="0" fontId="0" fillId="21" borderId="0" xfId="0" applyFill="1"/>
    <xf numFmtId="0" fontId="50" fillId="0" borderId="0" xfId="0" applyFont="1"/>
    <xf numFmtId="0" fontId="46" fillId="0" borderId="0" xfId="0" applyFont="1"/>
    <xf numFmtId="0" fontId="51" fillId="20" borderId="0" xfId="0" applyFont="1" applyFill="1"/>
    <xf numFmtId="0" fontId="24" fillId="20" borderId="0" xfId="0" applyFont="1" applyFill="1"/>
    <xf numFmtId="0" fontId="2" fillId="22" borderId="0" xfId="0" applyFont="1" applyFill="1"/>
    <xf numFmtId="0" fontId="52" fillId="0" borderId="0" xfId="0" applyFont="1"/>
    <xf numFmtId="0" fontId="53" fillId="0" borderId="0" xfId="0" applyFont="1"/>
    <xf numFmtId="0" fontId="54" fillId="0" borderId="0" xfId="0" applyFont="1"/>
    <xf numFmtId="0" fontId="60" fillId="24" borderId="0" xfId="0" applyFont="1" applyFill="1" applyAlignment="1">
      <alignment vertical="center" wrapText="1"/>
    </xf>
    <xf numFmtId="0" fontId="55" fillId="24" borderId="0" xfId="0" applyFont="1" applyFill="1"/>
    <xf numFmtId="0" fontId="57" fillId="24" borderId="0" xfId="0" applyFont="1" applyFill="1"/>
    <xf numFmtId="0" fontId="55" fillId="24" borderId="0" xfId="0" applyFont="1" applyFill="1" applyAlignment="1">
      <alignment horizontal="left" vertical="center" indent="1"/>
    </xf>
    <xf numFmtId="0" fontId="55" fillId="24" borderId="0" xfId="0" applyFont="1" applyFill="1" applyAlignment="1">
      <alignment horizontal="center" wrapText="1"/>
    </xf>
    <xf numFmtId="0" fontId="60" fillId="25" borderId="0" xfId="0" applyFont="1" applyFill="1" applyAlignment="1">
      <alignment horizontal="center" wrapText="1"/>
    </xf>
    <xf numFmtId="0" fontId="57" fillId="25" borderId="0" xfId="0" applyFont="1" applyFill="1"/>
    <xf numFmtId="0" fontId="56" fillId="23" borderId="0" xfId="0" applyFont="1" applyFill="1" applyAlignment="1">
      <alignment horizontal="left" vertical="top"/>
    </xf>
    <xf numFmtId="0" fontId="55" fillId="24" borderId="0" xfId="0" applyFont="1" applyFill="1" applyAlignment="1">
      <alignment horizontal="left" vertical="top" wrapText="1"/>
    </xf>
    <xf numFmtId="15" fontId="57" fillId="24" borderId="0" xfId="0" applyNumberFormat="1" applyFont="1" applyFill="1" applyAlignment="1">
      <alignment horizontal="left" vertical="top" wrapText="1"/>
    </xf>
    <xf numFmtId="0" fontId="55" fillId="25" borderId="0" xfId="0" applyFont="1" applyFill="1" applyAlignment="1">
      <alignment horizontal="left" vertical="top" wrapText="1"/>
    </xf>
    <xf numFmtId="0" fontId="57" fillId="25" borderId="0" xfId="0" applyFont="1" applyFill="1" applyAlignment="1">
      <alignment horizontal="left" vertical="top" wrapText="1"/>
    </xf>
    <xf numFmtId="0" fontId="57" fillId="24" borderId="0" xfId="0" applyFont="1" applyFill="1" applyAlignment="1">
      <alignment horizontal="left" vertical="top" wrapText="1"/>
    </xf>
    <xf numFmtId="0" fontId="58" fillId="25" borderId="0" xfId="0" applyFont="1" applyFill="1" applyAlignment="1">
      <alignment horizontal="left" vertical="top" wrapText="1"/>
    </xf>
    <xf numFmtId="0" fontId="58" fillId="24" borderId="0" xfId="0" applyFont="1" applyFill="1" applyAlignment="1">
      <alignment horizontal="left" vertical="top" wrapText="1"/>
    </xf>
    <xf numFmtId="0" fontId="59" fillId="24" borderId="0" xfId="0" applyFont="1" applyFill="1" applyAlignment="1">
      <alignment horizontal="left" vertical="top" wrapText="1"/>
    </xf>
    <xf numFmtId="0" fontId="62" fillId="23" borderId="0" xfId="0" applyFont="1" applyFill="1" applyAlignment="1">
      <alignment horizontal="left" wrapText="1"/>
    </xf>
    <xf numFmtId="0" fontId="55" fillId="13" borderId="10" xfId="0" applyFont="1" applyFill="1" applyBorder="1" applyAlignment="1">
      <alignment horizontal="left" vertical="top" wrapText="1"/>
    </xf>
    <xf numFmtId="0" fontId="57" fillId="13" borderId="10" xfId="0" applyFont="1" applyFill="1" applyBorder="1" applyAlignment="1">
      <alignment horizontal="left" vertical="top" wrapText="1"/>
    </xf>
    <xf numFmtId="0" fontId="55" fillId="0" borderId="11" xfId="0" applyFont="1" applyBorder="1" applyAlignment="1">
      <alignment horizontal="left" vertical="top" wrapText="1"/>
    </xf>
    <xf numFmtId="166" fontId="57" fillId="0" borderId="11" xfId="0" applyNumberFormat="1" applyFont="1" applyBorder="1" applyAlignment="1">
      <alignment horizontal="left" vertical="top" wrapText="1"/>
    </xf>
    <xf numFmtId="0" fontId="57" fillId="0" borderId="11" xfId="0" applyFont="1" applyBorder="1" applyAlignment="1">
      <alignment horizontal="left" vertical="top" wrapText="1"/>
    </xf>
    <xf numFmtId="0" fontId="55" fillId="0" borderId="12" xfId="0" applyFont="1" applyBorder="1" applyAlignment="1">
      <alignment horizontal="left" vertical="top" wrapText="1"/>
    </xf>
    <xf numFmtId="0" fontId="57" fillId="0" borderId="12" xfId="0" applyFont="1" applyBorder="1" applyAlignment="1">
      <alignment horizontal="left" vertical="top" wrapText="1"/>
    </xf>
    <xf numFmtId="0" fontId="55" fillId="15" borderId="0" xfId="0" applyFont="1" applyFill="1" applyAlignment="1">
      <alignment horizontal="left" vertical="top" wrapText="1"/>
    </xf>
    <xf numFmtId="0" fontId="55" fillId="13" borderId="0" xfId="0" applyFont="1" applyFill="1" applyAlignment="1">
      <alignment horizontal="left" vertical="top" wrapText="1"/>
    </xf>
    <xf numFmtId="0" fontId="57" fillId="13" borderId="0" xfId="0" applyFont="1" applyFill="1" applyAlignment="1">
      <alignment horizontal="left" vertical="top" wrapText="1"/>
    </xf>
    <xf numFmtId="0" fontId="55" fillId="0" borderId="0" xfId="0" applyFont="1" applyAlignment="1">
      <alignment horizontal="left" vertical="top" wrapText="1"/>
    </xf>
    <xf numFmtId="0" fontId="57" fillId="0" borderId="0" xfId="0" applyFont="1" applyAlignment="1">
      <alignment horizontal="left" vertical="top" wrapText="1"/>
    </xf>
    <xf numFmtId="0" fontId="55" fillId="0" borderId="10" xfId="0" applyFont="1" applyBorder="1" applyAlignment="1">
      <alignment horizontal="left" vertical="top" wrapText="1"/>
    </xf>
    <xf numFmtId="0" fontId="57" fillId="0" borderId="10" xfId="0" applyFont="1" applyBorder="1" applyAlignment="1">
      <alignment horizontal="left" vertical="top" wrapText="1"/>
    </xf>
    <xf numFmtId="0" fontId="60" fillId="25" borderId="16" xfId="0" applyFont="1" applyFill="1" applyBorder="1" applyAlignment="1">
      <alignment horizontal="center" vertical="top"/>
    </xf>
    <xf numFmtId="0" fontId="57" fillId="25" borderId="17" xfId="0" applyFont="1" applyFill="1" applyBorder="1" applyAlignment="1">
      <alignment horizontal="left" vertical="top" wrapText="1"/>
    </xf>
    <xf numFmtId="0" fontId="61" fillId="25" borderId="17" xfId="0" applyFont="1" applyFill="1" applyBorder="1" applyAlignment="1">
      <alignment horizontal="center" vertical="top"/>
    </xf>
    <xf numFmtId="49" fontId="57" fillId="25" borderId="17" xfId="0" applyNumberFormat="1" applyFont="1" applyFill="1" applyBorder="1" applyAlignment="1">
      <alignment horizontal="left" vertical="top" wrapText="1"/>
    </xf>
    <xf numFmtId="0" fontId="57" fillId="25" borderId="18" xfId="0" applyFont="1" applyFill="1" applyBorder="1" applyAlignment="1">
      <alignment horizontal="left" vertical="top" wrapText="1"/>
    </xf>
    <xf numFmtId="0" fontId="60" fillId="24" borderId="16" xfId="0" applyFont="1" applyFill="1" applyBorder="1" applyAlignment="1">
      <alignment horizontal="center" vertical="top"/>
    </xf>
    <xf numFmtId="0" fontId="57" fillId="24" borderId="17" xfId="0" applyFont="1" applyFill="1" applyBorder="1" applyAlignment="1">
      <alignment horizontal="left" vertical="top" wrapText="1"/>
    </xf>
    <xf numFmtId="0" fontId="61" fillId="24" borderId="17" xfId="0" applyFont="1" applyFill="1" applyBorder="1" applyAlignment="1">
      <alignment horizontal="center" vertical="top"/>
    </xf>
    <xf numFmtId="49" fontId="57" fillId="24" borderId="17" xfId="0" applyNumberFormat="1" applyFont="1" applyFill="1" applyBorder="1" applyAlignment="1">
      <alignment horizontal="left" vertical="top" wrapText="1"/>
    </xf>
    <xf numFmtId="0" fontId="57" fillId="24" borderId="18" xfId="0" applyFont="1" applyFill="1" applyBorder="1" applyAlignment="1">
      <alignment horizontal="left" vertical="top" wrapText="1"/>
    </xf>
    <xf numFmtId="0" fontId="60" fillId="25" borderId="19" xfId="0" applyFont="1" applyFill="1" applyBorder="1" applyAlignment="1">
      <alignment horizontal="center" vertical="top"/>
    </xf>
    <xf numFmtId="0" fontId="57" fillId="25" borderId="20" xfId="0" applyFont="1" applyFill="1" applyBorder="1" applyAlignment="1">
      <alignment horizontal="left" vertical="top" wrapText="1"/>
    </xf>
    <xf numFmtId="0" fontId="61" fillId="25" borderId="20" xfId="0" applyFont="1" applyFill="1" applyBorder="1" applyAlignment="1">
      <alignment horizontal="center" vertical="top"/>
    </xf>
    <xf numFmtId="49" fontId="57" fillId="25" borderId="20" xfId="0" applyNumberFormat="1" applyFont="1" applyFill="1" applyBorder="1" applyAlignment="1">
      <alignment horizontal="left" vertical="top" wrapText="1"/>
    </xf>
    <xf numFmtId="0" fontId="57" fillId="25" borderId="21" xfId="0" applyFont="1" applyFill="1" applyBorder="1" applyAlignment="1">
      <alignment horizontal="left" vertical="top" wrapText="1"/>
    </xf>
    <xf numFmtId="0" fontId="60" fillId="25" borderId="0" xfId="0" applyFont="1" applyFill="1" applyAlignment="1">
      <alignment horizontal="center" vertical="top"/>
    </xf>
    <xf numFmtId="0" fontId="57" fillId="25" borderId="0" xfId="0" applyFont="1" applyFill="1" applyAlignment="1">
      <alignment horizontal="center" vertical="top"/>
    </xf>
    <xf numFmtId="0" fontId="61" fillId="25" borderId="0" xfId="0" applyFont="1" applyFill="1" applyAlignment="1">
      <alignment horizontal="center" vertical="top"/>
    </xf>
    <xf numFmtId="0" fontId="60" fillId="24" borderId="0" xfId="0" applyFont="1" applyFill="1" applyAlignment="1">
      <alignment horizontal="center" vertical="top"/>
    </xf>
    <xf numFmtId="0" fontId="57" fillId="24" borderId="0" xfId="0" applyFont="1" applyFill="1" applyAlignment="1">
      <alignment horizontal="center" vertical="top"/>
    </xf>
    <xf numFmtId="0" fontId="61" fillId="24" borderId="0" xfId="0" applyFont="1" applyFill="1" applyAlignment="1">
      <alignment horizontal="center" vertical="top"/>
    </xf>
    <xf numFmtId="0" fontId="56" fillId="23" borderId="13" xfId="0" applyFont="1" applyFill="1" applyBorder="1" applyAlignment="1">
      <alignment horizontal="center" vertical="top"/>
    </xf>
    <xf numFmtId="0" fontId="56" fillId="23" borderId="14" xfId="0" applyFont="1" applyFill="1" applyBorder="1" applyAlignment="1">
      <alignment horizontal="center" vertical="top"/>
    </xf>
    <xf numFmtId="0" fontId="56" fillId="23" borderId="15" xfId="0" applyFont="1" applyFill="1" applyBorder="1" applyAlignment="1">
      <alignment horizontal="center" vertical="top"/>
    </xf>
    <xf numFmtId="0" fontId="56" fillId="23" borderId="3" xfId="0" applyFont="1" applyFill="1" applyBorder="1" applyAlignment="1">
      <alignment horizontal="center" vertical="top"/>
    </xf>
    <xf numFmtId="0" fontId="57" fillId="25" borderId="17" xfId="0" applyFont="1" applyFill="1" applyBorder="1" applyAlignment="1">
      <alignment horizontal="center" vertical="top"/>
    </xf>
    <xf numFmtId="15" fontId="57" fillId="24" borderId="17" xfId="0" applyNumberFormat="1" applyFont="1" applyFill="1" applyBorder="1" applyAlignment="1">
      <alignment horizontal="left" vertical="top" wrapText="1"/>
    </xf>
    <xf numFmtId="0" fontId="57" fillId="24" borderId="17" xfId="0" applyFont="1" applyFill="1" applyBorder="1" applyAlignment="1">
      <alignment horizontal="center" vertical="top"/>
    </xf>
    <xf numFmtId="15" fontId="57" fillId="25" borderId="17" xfId="0" applyNumberFormat="1" applyFont="1" applyFill="1" applyBorder="1" applyAlignment="1">
      <alignment horizontal="left" vertical="top" wrapText="1"/>
    </xf>
    <xf numFmtId="14" fontId="57" fillId="25" borderId="17" xfId="0" applyNumberFormat="1" applyFont="1" applyFill="1" applyBorder="1" applyAlignment="1">
      <alignment horizontal="left" vertical="top" wrapText="1"/>
    </xf>
    <xf numFmtId="14" fontId="57" fillId="24" borderId="17" xfId="0" applyNumberFormat="1" applyFont="1" applyFill="1" applyBorder="1" applyAlignment="1">
      <alignment horizontal="left" vertical="top" wrapText="1"/>
    </xf>
    <xf numFmtId="0" fontId="59" fillId="24" borderId="17" xfId="0" applyFont="1" applyFill="1" applyBorder="1" applyAlignment="1">
      <alignment horizontal="center" vertical="top"/>
    </xf>
    <xf numFmtId="0" fontId="59" fillId="25" borderId="17" xfId="0" applyFont="1" applyFill="1" applyBorder="1" applyAlignment="1">
      <alignment horizontal="center" vertical="top"/>
    </xf>
    <xf numFmtId="14" fontId="57" fillId="25" borderId="20" xfId="0" applyNumberFormat="1" applyFont="1" applyFill="1" applyBorder="1" applyAlignment="1">
      <alignment horizontal="left" vertical="top" wrapText="1"/>
    </xf>
    <xf numFmtId="14" fontId="57" fillId="24" borderId="0" xfId="0" applyNumberFormat="1" applyFont="1" applyFill="1" applyAlignment="1">
      <alignment horizontal="left" vertical="top" wrapText="1"/>
    </xf>
    <xf numFmtId="14" fontId="57" fillId="25" borderId="0" xfId="0" applyNumberFormat="1" applyFont="1" applyFill="1" applyAlignment="1">
      <alignment horizontal="left" vertical="top" wrapText="1"/>
    </xf>
    <xf numFmtId="0" fontId="59" fillId="25" borderId="0" xfId="0" applyFont="1" applyFill="1" applyAlignment="1">
      <alignment horizontal="center" vertical="top"/>
    </xf>
    <xf numFmtId="0" fontId="56" fillId="16" borderId="0" xfId="0" applyFont="1" applyFill="1" applyAlignment="1">
      <alignment wrapText="1"/>
    </xf>
    <xf numFmtId="0" fontId="64" fillId="16" borderId="13" xfId="0" applyFont="1" applyFill="1" applyBorder="1" applyAlignment="1">
      <alignment horizontal="center" vertical="center" wrapText="1"/>
    </xf>
    <xf numFmtId="0" fontId="64" fillId="16" borderId="14" xfId="0" applyFont="1" applyFill="1" applyBorder="1" applyAlignment="1">
      <alignment horizontal="center" vertical="center" wrapText="1"/>
    </xf>
    <xf numFmtId="0" fontId="64" fillId="16" borderId="15" xfId="0" applyFont="1" applyFill="1" applyBorder="1" applyAlignment="1">
      <alignment horizontal="center" vertical="center" wrapText="1"/>
    </xf>
    <xf numFmtId="0" fontId="56" fillId="16" borderId="3" xfId="0" applyFont="1" applyFill="1" applyBorder="1" applyAlignment="1">
      <alignment horizontal="center" wrapText="1"/>
    </xf>
    <xf numFmtId="0" fontId="56" fillId="16" borderId="0" xfId="0" applyFont="1" applyFill="1" applyAlignment="1">
      <alignment horizontal="left" wrapText="1"/>
    </xf>
    <xf numFmtId="0" fontId="62" fillId="18" borderId="0" xfId="0" applyFont="1" applyFill="1" applyAlignment="1">
      <alignment horizontal="left"/>
    </xf>
    <xf numFmtId="0" fontId="66" fillId="0" borderId="22" xfId="0" applyFont="1" applyBorder="1" applyAlignment="1">
      <alignment vertical="top" wrapText="1"/>
    </xf>
    <xf numFmtId="0" fontId="67" fillId="0" borderId="22" xfId="0" applyFont="1" applyBorder="1" applyAlignment="1">
      <alignment vertical="top" wrapText="1"/>
    </xf>
    <xf numFmtId="0" fontId="66" fillId="26" borderId="22" xfId="0" applyFont="1" applyFill="1" applyBorder="1" applyAlignment="1">
      <alignment vertical="top" wrapText="1"/>
    </xf>
    <xf numFmtId="0" fontId="67" fillId="26" borderId="22" xfId="0" applyFont="1" applyFill="1" applyBorder="1" applyAlignment="1">
      <alignment vertical="top" wrapText="1"/>
    </xf>
    <xf numFmtId="0" fontId="68" fillId="27" borderId="22" xfId="0" applyFont="1" applyFill="1" applyBorder="1" applyAlignment="1">
      <alignment vertical="top" wrapText="1"/>
    </xf>
    <xf numFmtId="0" fontId="67" fillId="26" borderId="22" xfId="0" applyFont="1" applyFill="1" applyBorder="1"/>
    <xf numFmtId="0" fontId="67" fillId="28" borderId="22" xfId="0" applyFont="1" applyFill="1" applyBorder="1"/>
    <xf numFmtId="14" fontId="0" fillId="0" borderId="0" xfId="0" applyNumberFormat="1" applyAlignment="1">
      <alignment wrapText="1"/>
    </xf>
    <xf numFmtId="14" fontId="57" fillId="24" borderId="0" xfId="0" applyNumberFormat="1" applyFont="1" applyFill="1"/>
    <xf numFmtId="15" fontId="13" fillId="2" borderId="1" xfId="0" applyNumberFormat="1" applyFont="1" applyFill="1" applyBorder="1" applyAlignment="1">
      <alignment horizontal="left" wrapText="1"/>
    </xf>
    <xf numFmtId="49" fontId="57" fillId="25" borderId="0" xfId="0" applyNumberFormat="1" applyFont="1" applyFill="1" applyAlignment="1">
      <alignment horizontal="left" vertical="top" wrapText="1"/>
    </xf>
    <xf numFmtId="0" fontId="65" fillId="0" borderId="0" xfId="0" applyFont="1" applyAlignment="1">
      <alignment horizontal="center" wrapText="1"/>
    </xf>
    <xf numFmtId="0" fontId="0" fillId="0" borderId="0" xfId="0"/>
    <xf numFmtId="0" fontId="0" fillId="0" borderId="0" xfId="0" applyAlignment="1">
      <alignment horizontal="center" wrapText="1"/>
    </xf>
    <xf numFmtId="0" fontId="63" fillId="0" borderId="0" xfId="0" applyFont="1" applyAlignment="1">
      <alignment horizontal="center" wrapText="1"/>
    </xf>
    <xf numFmtId="0" fontId="56" fillId="23" borderId="0" xfId="0" applyFont="1" applyFill="1" applyAlignment="1">
      <alignment horizontal="center" wrapText="1"/>
    </xf>
    <xf numFmtId="0" fontId="56" fillId="23" borderId="0" xfId="0" applyFont="1" applyFill="1"/>
    <xf numFmtId="0" fontId="7" fillId="15" borderId="0" xfId="0" applyFont="1" applyFill="1" applyAlignment="1">
      <alignment wrapText="1"/>
    </xf>
    <xf numFmtId="0" fontId="0" fillId="0" borderId="0" xfId="0" applyAlignment="1">
      <alignment wrapText="1"/>
    </xf>
    <xf numFmtId="0" fontId="4" fillId="14" borderId="0" xfId="0" applyFont="1" applyFill="1" applyAlignment="1">
      <alignment wrapText="1"/>
    </xf>
    <xf numFmtId="0" fontId="8" fillId="16" borderId="0" xfId="0" applyFont="1" applyFill="1" applyAlignment="1">
      <alignment horizontal="center" wrapText="1"/>
    </xf>
    <xf numFmtId="0" fontId="8" fillId="3" borderId="0" xfId="0" applyFont="1" applyFill="1" applyAlignment="1">
      <alignment wrapText="1"/>
    </xf>
    <xf numFmtId="0" fontId="56" fillId="16" borderId="0" xfId="0" applyFont="1" applyFill="1" applyAlignment="1">
      <alignment wrapText="1"/>
    </xf>
    <xf numFmtId="0" fontId="9" fillId="16"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142875</xdr:rowOff>
    </xdr:from>
    <xdr:to>
      <xdr:col>6</xdr:col>
      <xdr:colOff>522325</xdr:colOff>
      <xdr:row>25</xdr:row>
      <xdr:rowOff>105503</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6981825" y="142875"/>
          <a:ext cx="4058216" cy="5220429"/>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608560</xdr:colOff>
      <xdr:row>11</xdr:row>
      <xdr:rowOff>179915</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6011353" cy="3000375"/>
        </a:xfrm>
        <a:prstGeom prst="rect">
          <a:avLst/>
        </a:prstGeom>
        <a:ln>
          <a:prstDash val="solid"/>
        </a:ln>
      </xdr:spPr>
    </xdr:pic>
    <xdr:clientData/>
  </xdr:twoCellAnchor>
  <xdr:twoCellAnchor editAs="oneCell">
    <xdr:from>
      <xdr:col>0</xdr:col>
      <xdr:colOff>0</xdr:colOff>
      <xdr:row>16</xdr:row>
      <xdr:rowOff>95250</xdr:rowOff>
    </xdr:from>
    <xdr:to>
      <xdr:col>2</xdr:col>
      <xdr:colOff>448598</xdr:colOff>
      <xdr:row>46</xdr:row>
      <xdr:rowOff>152402</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0" y="3143250"/>
          <a:ext cx="5807996" cy="5781675"/>
        </a:xfrm>
        <a:prstGeom prst="rect">
          <a:avLst/>
        </a:prstGeom>
        <a:ln>
          <a:prstDash val="solid"/>
        </a:ln>
      </xdr:spPr>
    </xdr:pic>
    <xdr:clientData/>
  </xdr:twoCellAnchor>
  <xdr:twoCellAnchor editAs="oneCell">
    <xdr:from>
      <xdr:col>9</xdr:col>
      <xdr:colOff>381000</xdr:colOff>
      <xdr:row>22</xdr:row>
      <xdr:rowOff>28576</xdr:rowOff>
    </xdr:from>
    <xdr:to>
      <xdr:col>18</xdr:col>
      <xdr:colOff>333439</xdr:colOff>
      <xdr:row>26</xdr:row>
      <xdr:rowOff>152403</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5867400" y="4219576"/>
          <a:ext cx="5431429" cy="895350"/>
        </a:xfrm>
        <a:prstGeom prst="rect">
          <a:avLst/>
        </a:prstGeom>
        <a:ln>
          <a:prstDash val="solid"/>
        </a:ln>
      </xdr:spPr>
    </xdr:pic>
    <xdr:clientData/>
  </xdr:twoCellAnchor>
  <xdr:twoCellAnchor editAs="oneCell">
    <xdr:from>
      <xdr:col>10</xdr:col>
      <xdr:colOff>0</xdr:colOff>
      <xdr:row>33</xdr:row>
      <xdr:rowOff>0</xdr:rowOff>
    </xdr:from>
    <xdr:to>
      <xdr:col>19</xdr:col>
      <xdr:colOff>190231</xdr:colOff>
      <xdr:row>37</xdr:row>
      <xdr:rowOff>152524</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xfrm>
          <a:off x="6096000" y="6286500"/>
          <a:ext cx="5668166" cy="905001"/>
        </a:xfrm>
        <a:prstGeom prst="rect">
          <a:avLst/>
        </a:prstGeom>
        <a:ln>
          <a:prstDash val="solid"/>
        </a:ln>
      </xdr:spPr>
    </xdr:pic>
    <xdr:clientData/>
  </xdr:twoCellAnchor>
  <xdr:twoCellAnchor editAs="oneCell">
    <xdr:from>
      <xdr:col>0</xdr:col>
      <xdr:colOff>0</xdr:colOff>
      <xdr:row>48</xdr:row>
      <xdr:rowOff>0</xdr:rowOff>
    </xdr:from>
    <xdr:to>
      <xdr:col>3</xdr:col>
      <xdr:colOff>188577</xdr:colOff>
      <xdr:row>75</xdr:row>
      <xdr:rowOff>103719</xdr:rowOff>
    </xdr:to>
    <xdr:pic>
      <xdr:nvPicPr>
        <xdr:cNvPr id="6" name="Picture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5"/>
        <a:stretch>
          <a:fillRect/>
        </a:stretch>
      </xdr:blipFill>
      <xdr:spPr>
        <a:xfrm>
          <a:off x="0" y="9144000"/>
          <a:ext cx="6171335" cy="5238750"/>
        </a:xfrm>
        <a:prstGeom prst="rect">
          <a:avLst/>
        </a:prstGeom>
        <a:ln>
          <a:prstDash val="solid"/>
        </a:ln>
      </xdr:spPr>
    </xdr:pic>
    <xdr:clientData/>
  </xdr:twoCellAnchor>
  <xdr:twoCellAnchor editAs="oneCell">
    <xdr:from>
      <xdr:col>0</xdr:col>
      <xdr:colOff>1</xdr:colOff>
      <xdr:row>77</xdr:row>
      <xdr:rowOff>0</xdr:rowOff>
    </xdr:from>
    <xdr:to>
      <xdr:col>4</xdr:col>
      <xdr:colOff>570204</xdr:colOff>
      <xdr:row>108</xdr:row>
      <xdr:rowOff>76202</xdr:rowOff>
    </xdr:to>
    <xdr:pic>
      <xdr:nvPicPr>
        <xdr:cNvPr id="7" name="Picture 6">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6"/>
        <a:stretch>
          <a:fillRect/>
        </a:stretch>
      </xdr:blipFill>
      <xdr:spPr>
        <a:xfrm>
          <a:off x="1" y="14668500"/>
          <a:ext cx="7151980" cy="5991225"/>
        </a:xfrm>
        <a:prstGeom prst="rect">
          <a:avLst/>
        </a:prstGeom>
        <a:ln>
          <a:prstDash val="solid"/>
        </a:ln>
      </xdr:spPr>
    </xdr:pic>
    <xdr:clientData/>
  </xdr:twoCellAnchor>
  <xdr:twoCellAnchor editAs="oneCell">
    <xdr:from>
      <xdr:col>0</xdr:col>
      <xdr:colOff>0</xdr:colOff>
      <xdr:row>110</xdr:row>
      <xdr:rowOff>0</xdr:rowOff>
    </xdr:from>
    <xdr:to>
      <xdr:col>3</xdr:col>
      <xdr:colOff>151137</xdr:colOff>
      <xdr:row>149</xdr:row>
      <xdr:rowOff>141816</xdr:rowOff>
    </xdr:to>
    <xdr:pic>
      <xdr:nvPicPr>
        <xdr:cNvPr id="9" name="Picture 8">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7"/>
        <a:stretch>
          <a:fillRect/>
        </a:stretch>
      </xdr:blipFill>
      <xdr:spPr>
        <a:xfrm>
          <a:off x="0" y="20955000"/>
          <a:ext cx="6125430" cy="7563906"/>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658957</xdr:colOff>
      <xdr:row>17</xdr:row>
      <xdr:rowOff>7902</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0"/>
          <a:ext cx="4839375" cy="3524742"/>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2734036</xdr:colOff>
      <xdr:row>35</xdr:row>
      <xdr:rowOff>122706</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0"/>
          <a:ext cx="2572109" cy="7135221"/>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180228</xdr:colOff>
      <xdr:row>13</xdr:row>
      <xdr:rowOff>87229</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9812119" cy="3181794"/>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258471</xdr:colOff>
      <xdr:row>20</xdr:row>
      <xdr:rowOff>56666</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9278645" cy="4115374"/>
        </a:xfrm>
        <a:prstGeom prst="rect">
          <a:avLst/>
        </a:prstGeom>
        <a:ln>
          <a:prstDash val="solid"/>
        </a:ln>
      </xdr:spPr>
    </xdr:pic>
    <xdr:clientData/>
  </xdr:twoCellAnchor>
  <xdr:twoCellAnchor editAs="oneCell">
    <xdr:from>
      <xdr:col>0</xdr:col>
      <xdr:colOff>0</xdr:colOff>
      <xdr:row>23</xdr:row>
      <xdr:rowOff>0</xdr:rowOff>
    </xdr:from>
    <xdr:to>
      <xdr:col>7</xdr:col>
      <xdr:colOff>607683</xdr:colOff>
      <xdr:row>54</xdr:row>
      <xdr:rowOff>10350</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0" y="4381500"/>
          <a:ext cx="9021434" cy="5915851"/>
        </a:xfrm>
        <a:prstGeom prst="rect">
          <a:avLst/>
        </a:prstGeom>
        <a:ln>
          <a:prstDash val="solid"/>
        </a:ln>
      </xdr:spPr>
    </xdr:pic>
    <xdr:clientData/>
  </xdr:twoCellAnchor>
  <xdr:twoCellAnchor editAs="oneCell">
    <xdr:from>
      <xdr:col>0</xdr:col>
      <xdr:colOff>0</xdr:colOff>
      <xdr:row>56</xdr:row>
      <xdr:rowOff>0</xdr:rowOff>
    </xdr:from>
    <xdr:to>
      <xdr:col>9</xdr:col>
      <xdr:colOff>68035</xdr:colOff>
      <xdr:row>85</xdr:row>
      <xdr:rowOff>30409</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0" y="10668000"/>
          <a:ext cx="9735909" cy="5544324"/>
        </a:xfrm>
        <a:prstGeom prst="rect">
          <a:avLst/>
        </a:prstGeom>
        <a:ln>
          <a:prstDash val="solid"/>
        </a:ln>
      </xdr:spPr>
    </xdr:pic>
    <xdr:clientData/>
  </xdr:twoCellAnchor>
  <xdr:twoCellAnchor editAs="oneCell">
    <xdr:from>
      <xdr:col>0</xdr:col>
      <xdr:colOff>0</xdr:colOff>
      <xdr:row>87</xdr:row>
      <xdr:rowOff>0</xdr:rowOff>
    </xdr:from>
    <xdr:to>
      <xdr:col>8</xdr:col>
      <xdr:colOff>238361</xdr:colOff>
      <xdr:row>104</xdr:row>
      <xdr:rowOff>114768</xdr:rowOff>
    </xdr:to>
    <xdr:pic>
      <xdr:nvPicPr>
        <xdr:cNvPr id="5" name="Picture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0" y="16573500"/>
          <a:ext cx="9269119" cy="3353268"/>
        </a:xfrm>
        <a:prstGeom prst="rect">
          <a:avLst/>
        </a:prstGeom>
        <a:ln>
          <a:prstDash val="solid"/>
        </a:ln>
      </xdr:spPr>
    </xdr:pic>
    <xdr:clientData/>
  </xdr:twoCellAnchor>
  <xdr:twoCellAnchor editAs="oneCell">
    <xdr:from>
      <xdr:col>0</xdr:col>
      <xdr:colOff>0</xdr:colOff>
      <xdr:row>106</xdr:row>
      <xdr:rowOff>0</xdr:rowOff>
    </xdr:from>
    <xdr:to>
      <xdr:col>11</xdr:col>
      <xdr:colOff>188865</xdr:colOff>
      <xdr:row>131</xdr:row>
      <xdr:rowOff>36651</xdr:rowOff>
    </xdr:to>
    <xdr:pic>
      <xdr:nvPicPr>
        <xdr:cNvPr id="6" name="Picture 5">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5"/>
        <a:stretch>
          <a:fillRect/>
        </a:stretch>
      </xdr:blipFill>
      <xdr:spPr>
        <a:xfrm>
          <a:off x="0" y="20193000"/>
          <a:ext cx="11041016" cy="479174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gda.csr-llc.tech/" TargetMode="External"/><Relationship Id="rId1" Type="http://schemas.openxmlformats.org/officeDocument/2006/relationships/hyperlink" Target="https://mcp.csr-llc.tech/mcp"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0"/>
  <sheetViews>
    <sheetView workbookViewId="0">
      <selection activeCell="A2" sqref="A2:H2"/>
    </sheetView>
  </sheetViews>
  <sheetFormatPr defaultColWidth="28" defaultRowHeight="15"/>
  <cols>
    <col min="1" max="1" width="28" style="7" customWidth="1"/>
    <col min="2" max="2" width="80" customWidth="1"/>
    <col min="3" max="5" width="28" style="7" customWidth="1"/>
    <col min="6" max="16384" width="28" style="7"/>
  </cols>
  <sheetData>
    <row r="1" spans="1:8" ht="187.5" customHeight="1">
      <c r="A1" s="280" t="s">
        <v>266</v>
      </c>
      <c r="B1" s="278"/>
      <c r="C1" s="279"/>
      <c r="D1" s="279"/>
      <c r="E1" s="279"/>
      <c r="F1" s="279"/>
      <c r="G1" s="279"/>
      <c r="H1" s="279"/>
    </row>
    <row r="2" spans="1:8" ht="28.5" customHeight="1">
      <c r="A2" s="277" t="s">
        <v>267</v>
      </c>
      <c r="B2" s="278"/>
      <c r="C2" s="279"/>
      <c r="D2" s="279"/>
      <c r="E2" s="279"/>
      <c r="F2" s="279"/>
      <c r="G2" s="279"/>
      <c r="H2" s="279"/>
    </row>
    <row r="5" spans="1:8">
      <c r="A5" s="164" t="s">
        <v>268</v>
      </c>
      <c r="B5" s="164" t="s">
        <v>269</v>
      </c>
    </row>
    <row r="6" spans="1:8">
      <c r="A6" s="165" t="s">
        <v>270</v>
      </c>
      <c r="B6" s="165" t="s">
        <v>271</v>
      </c>
    </row>
    <row r="7" spans="1:8">
      <c r="A7" s="165" t="s">
        <v>272</v>
      </c>
      <c r="B7" s="166">
        <v>46094.782276859427</v>
      </c>
    </row>
    <row r="8" spans="1:8">
      <c r="A8" s="165" t="s">
        <v>187</v>
      </c>
      <c r="B8" s="165" t="s">
        <v>273</v>
      </c>
    </row>
    <row r="9" spans="1:8" ht="30" customHeight="1">
      <c r="A9" s="165" t="s">
        <v>274</v>
      </c>
      <c r="B9" s="165" t="s">
        <v>275</v>
      </c>
    </row>
    <row r="10" spans="1:8" ht="30" customHeight="1">
      <c r="A10" s="165" t="s">
        <v>276</v>
      </c>
      <c r="B10" s="165" t="s">
        <v>277</v>
      </c>
    </row>
    <row r="11" spans="1:8" ht="30" customHeight="1">
      <c r="A11" s="191" t="s">
        <v>278</v>
      </c>
      <c r="B11" s="167" t="s">
        <v>279</v>
      </c>
    </row>
    <row r="12" spans="1:8">
      <c r="A12" s="282" t="s">
        <v>280</v>
      </c>
      <c r="B12" s="278"/>
    </row>
    <row r="13" spans="1:8">
      <c r="A13" s="192" t="s">
        <v>272</v>
      </c>
      <c r="B13" s="274">
        <v>46094.782276859427</v>
      </c>
    </row>
    <row r="14" spans="1:8">
      <c r="A14" s="194" t="s">
        <v>281</v>
      </c>
      <c r="B14" s="193" t="s">
        <v>282</v>
      </c>
    </row>
    <row r="15" spans="1:8">
      <c r="A15" s="194" t="s">
        <v>283</v>
      </c>
      <c r="B15" s="193" t="s">
        <v>284</v>
      </c>
    </row>
    <row r="16" spans="1:8">
      <c r="A16" s="192" t="s">
        <v>285</v>
      </c>
      <c r="B16" s="193" t="s">
        <v>286</v>
      </c>
    </row>
    <row r="17" spans="1:2">
      <c r="A17" s="192" t="s">
        <v>287</v>
      </c>
      <c r="B17" s="193" t="s">
        <v>288</v>
      </c>
    </row>
    <row r="18" spans="1:2">
      <c r="A18" s="192" t="s">
        <v>289</v>
      </c>
      <c r="B18" s="193" t="s">
        <v>290</v>
      </c>
    </row>
    <row r="19" spans="1:2">
      <c r="A19" s="195" t="s">
        <v>291</v>
      </c>
      <c r="B19" s="193" t="s">
        <v>292</v>
      </c>
    </row>
    <row r="20" spans="1:2">
      <c r="A20" s="195" t="s">
        <v>293</v>
      </c>
      <c r="B20" s="193" t="s">
        <v>294</v>
      </c>
    </row>
    <row r="21" spans="1:2">
      <c r="A21" s="195"/>
    </row>
    <row r="22" spans="1:2">
      <c r="A22" s="282" t="s">
        <v>295</v>
      </c>
      <c r="B22" s="278"/>
    </row>
    <row r="23" spans="1:2">
      <c r="A23" s="196" t="s">
        <v>296</v>
      </c>
      <c r="B23" s="197" t="s">
        <v>297</v>
      </c>
    </row>
    <row r="24" spans="1:2">
      <c r="A24" s="196" t="s">
        <v>298</v>
      </c>
      <c r="B24" s="197" t="s">
        <v>299</v>
      </c>
    </row>
    <row r="25" spans="1:2">
      <c r="A25" s="196" t="s">
        <v>300</v>
      </c>
      <c r="B25" s="197" t="s">
        <v>301</v>
      </c>
    </row>
    <row r="26" spans="1:2">
      <c r="A26" s="195" t="s">
        <v>302</v>
      </c>
      <c r="B26" t="s">
        <v>303</v>
      </c>
    </row>
    <row r="27" spans="1:2">
      <c r="A27" s="281" t="s">
        <v>304</v>
      </c>
      <c r="B27" s="278"/>
    </row>
    <row r="28" spans="1:2">
      <c r="A28" s="195" t="s">
        <v>305</v>
      </c>
      <c r="B28" s="193" t="s">
        <v>306</v>
      </c>
    </row>
    <row r="29" spans="1:2">
      <c r="A29" s="195" t="s">
        <v>307</v>
      </c>
      <c r="B29" s="193" t="s">
        <v>308</v>
      </c>
    </row>
    <row r="30" spans="1:2">
      <c r="A30" s="192" t="s">
        <v>309</v>
      </c>
      <c r="B30" s="193" t="s">
        <v>310</v>
      </c>
    </row>
    <row r="31" spans="1:2">
      <c r="A31" s="195" t="s">
        <v>311</v>
      </c>
      <c r="B31" s="193" t="s">
        <v>312</v>
      </c>
    </row>
    <row r="53" spans="1:1">
      <c r="A53" s="168"/>
    </row>
    <row r="54" spans="1:1">
      <c r="A54" s="168"/>
    </row>
    <row r="55" spans="1:1">
      <c r="A55" s="168"/>
    </row>
    <row r="56" spans="1:1">
      <c r="A56" s="168"/>
    </row>
    <row r="57" spans="1:1">
      <c r="A57" s="168"/>
    </row>
    <row r="58" spans="1:1">
      <c r="A58" s="168"/>
    </row>
    <row r="59" spans="1:1">
      <c r="A59" s="168"/>
    </row>
    <row r="61" spans="1:1">
      <c r="A61" s="169"/>
    </row>
    <row r="64" spans="1:1">
      <c r="A64" s="168"/>
    </row>
    <row r="65" spans="1:1">
      <c r="A65" s="168"/>
    </row>
    <row r="66" spans="1:1">
      <c r="A66" s="168"/>
    </row>
    <row r="72" spans="1:1">
      <c r="A72" s="169"/>
    </row>
    <row r="74" spans="1:1">
      <c r="A74" s="169"/>
    </row>
    <row r="76" spans="1:1">
      <c r="A76" s="169"/>
    </row>
    <row r="78" spans="1:1">
      <c r="A78" s="169"/>
    </row>
    <row r="79" spans="1:1">
      <c r="A79" s="168"/>
    </row>
    <row r="80" spans="1:1">
      <c r="A80" s="168"/>
    </row>
    <row r="81" spans="1:1">
      <c r="A81" s="168"/>
    </row>
    <row r="82" spans="1:1">
      <c r="A82" s="168"/>
    </row>
    <row r="83" spans="1:1">
      <c r="A83" s="170" t="s">
        <v>313</v>
      </c>
    </row>
    <row r="85" spans="1:1">
      <c r="A85" s="169"/>
    </row>
    <row r="87" spans="1:1">
      <c r="A87" s="169"/>
    </row>
    <row r="88" spans="1:1">
      <c r="A88" s="168"/>
    </row>
    <row r="89" spans="1:1">
      <c r="A89" s="168"/>
    </row>
    <row r="90" spans="1:1">
      <c r="A90" s="168"/>
    </row>
    <row r="91" spans="1:1">
      <c r="A91" s="168"/>
    </row>
    <row r="97" spans="1:1">
      <c r="A97" s="169"/>
    </row>
    <row r="100" spans="1:1">
      <c r="A100" s="168"/>
    </row>
    <row r="101" spans="1:1">
      <c r="A101" s="171"/>
    </row>
    <row r="103" spans="1:1">
      <c r="A103" s="188"/>
    </row>
    <row r="104" spans="1:1" ht="15.75" customHeight="1">
      <c r="A104" s="189"/>
    </row>
    <row r="105" spans="1:1">
      <c r="A105" s="190"/>
    </row>
    <row r="106" spans="1:1">
      <c r="A106" s="190"/>
    </row>
    <row r="107" spans="1:1">
      <c r="A107" s="190"/>
    </row>
    <row r="108" spans="1:1">
      <c r="A108" s="190"/>
    </row>
    <row r="109" spans="1:1">
      <c r="A109" s="190"/>
    </row>
    <row r="110" spans="1:1">
      <c r="A110" s="190"/>
    </row>
  </sheetData>
  <mergeCells count="5">
    <mergeCell ref="A2:H2"/>
    <mergeCell ref="A1:H1"/>
    <mergeCell ref="A27:B27"/>
    <mergeCell ref="A22:B22"/>
    <mergeCell ref="A12:B12"/>
  </mergeCells>
  <hyperlinks>
    <hyperlink ref="B11" r:id="rId1" xr:uid="{00000000-0004-0000-0000-000000000000}"/>
    <hyperlink ref="A8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1"/>
  <sheetViews>
    <sheetView workbookViewId="0">
      <pane ySplit="4" topLeftCell="A59" activePane="bottomLeft" state="frozen"/>
      <selection pane="bottomLeft" activeCell="F221" sqref="F221"/>
    </sheetView>
  </sheetViews>
  <sheetFormatPr defaultColWidth="9" defaultRowHeight="15"/>
  <cols>
    <col min="1" max="1" width="41.85546875" style="1" customWidth="1"/>
    <col min="2" max="5" width="19" style="1" customWidth="1"/>
    <col min="6" max="6" width="28.5703125" style="1" customWidth="1"/>
    <col min="7" max="10" width="9" style="1" customWidth="1"/>
    <col min="11" max="16384" width="9" style="1"/>
  </cols>
  <sheetData>
    <row r="1" spans="1:6" ht="36" customHeight="1">
      <c r="A1" s="285" t="s">
        <v>314</v>
      </c>
      <c r="B1" s="284"/>
      <c r="C1" s="284"/>
      <c r="D1" s="284"/>
      <c r="E1" s="284"/>
      <c r="F1" s="284"/>
    </row>
    <row r="2" spans="1:6">
      <c r="A2" s="19"/>
      <c r="B2" s="19"/>
      <c r="C2" s="19"/>
      <c r="D2" s="19"/>
      <c r="E2" s="19"/>
      <c r="F2" s="19"/>
    </row>
    <row r="3" spans="1:6" ht="27.95" customHeight="1">
      <c r="A3" s="283" t="s">
        <v>315</v>
      </c>
      <c r="B3" s="284"/>
      <c r="C3" s="284"/>
      <c r="D3" s="284"/>
      <c r="E3" s="284"/>
      <c r="F3" s="284"/>
    </row>
    <row r="4" spans="1:6" ht="21.95" customHeight="1">
      <c r="A4" s="10" t="s">
        <v>316</v>
      </c>
      <c r="B4" s="10" t="s">
        <v>317</v>
      </c>
      <c r="C4" s="10" t="s">
        <v>318</v>
      </c>
      <c r="D4" s="10" t="s">
        <v>319</v>
      </c>
      <c r="E4" s="10" t="s">
        <v>320</v>
      </c>
      <c r="F4" s="10" t="s">
        <v>187</v>
      </c>
    </row>
    <row r="5" spans="1:6" ht="21.95" customHeight="1">
      <c r="A5" s="20" t="s">
        <v>321</v>
      </c>
      <c r="B5" s="21">
        <f>COUNTA(Requirements!A2:A108)</f>
        <v>35</v>
      </c>
      <c r="C5" s="22">
        <f>COUNTIF(Requirements!C2:C108,"✅ DEPLOYED")</f>
        <v>27</v>
      </c>
      <c r="D5" s="21">
        <f>B5-C5</f>
        <v>8</v>
      </c>
      <c r="E5" s="23">
        <f>IF(B5=0,0,C5/B5)</f>
        <v>0.77142857142857146</v>
      </c>
      <c r="F5" s="24" t="str">
        <f>IF(D5=0,"✅ ALL DEPLOYED",D5&amp;" OPEN")</f>
        <v>8 OPEN</v>
      </c>
    </row>
    <row r="6" spans="1:6" ht="21.95" customHeight="1">
      <c r="A6" s="25" t="s">
        <v>322</v>
      </c>
      <c r="B6" s="26">
        <f>COUNTA('3 Action Items'!A2:A100)</f>
        <v>27</v>
      </c>
      <c r="C6" s="27">
        <f>COUNTIF('3 Action Items'!F2:F100,"*✅*")</f>
        <v>27</v>
      </c>
      <c r="D6" s="26">
        <f>B6-C6</f>
        <v>0</v>
      </c>
      <c r="E6" s="28">
        <f>IF(B6=0,0,C6/B6)</f>
        <v>1</v>
      </c>
      <c r="F6" s="29" t="str">
        <f>IF(D6=0,"✅ ALL DONE",D6&amp;" OPEN")</f>
        <v>✅ ALL DONE</v>
      </c>
    </row>
    <row r="7" spans="1:6" ht="21.95" customHeight="1">
      <c r="A7" s="20" t="s">
        <v>323</v>
      </c>
      <c r="B7" s="21">
        <f>COUNTA(Backlog!A2:A109)</f>
        <v>39</v>
      </c>
      <c r="C7" s="22">
        <f>COUNTIF(Backlog!C2:C109,"✅*")</f>
        <v>39</v>
      </c>
      <c r="D7" s="21">
        <f>B7-C7</f>
        <v>0</v>
      </c>
      <c r="E7" s="23">
        <f>C7/B7</f>
        <v>1</v>
      </c>
      <c r="F7" s="163" t="str">
        <f>IF(D7=0,"✅ ALL DEPLOYED",D7&amp;" OPEN")</f>
        <v>✅ ALL DEPLOYED</v>
      </c>
    </row>
    <row r="8" spans="1:6" ht="21.95" customHeight="1">
      <c r="A8" s="30" t="s">
        <v>254</v>
      </c>
      <c r="B8" s="31">
        <f>SUM(B5:B7)</f>
        <v>101</v>
      </c>
      <c r="C8" s="32">
        <f>SUM(C5:C7)</f>
        <v>93</v>
      </c>
      <c r="D8" s="31">
        <f>SUM(D5:D7)</f>
        <v>8</v>
      </c>
      <c r="E8" s="33">
        <f>IF(B8=0,0,C8/B8)</f>
        <v>0.92079207920792083</v>
      </c>
      <c r="F8" s="32" t="str">
        <f>IF(D8=0,"✅ 100% COMPLETE",D8&amp;" REMAINING")</f>
        <v>8 REMAINING</v>
      </c>
    </row>
    <row r="9" spans="1:6" ht="21.95" customHeight="1">
      <c r="A9" s="25"/>
      <c r="B9" s="26"/>
      <c r="C9" s="27"/>
      <c r="D9" s="26"/>
      <c r="E9" s="28"/>
      <c r="F9" s="34"/>
    </row>
    <row r="10" spans="1:6" ht="21.95" customHeight="1">
      <c r="A10" s="19" t="s">
        <v>324</v>
      </c>
      <c r="B10" s="19">
        <v>35</v>
      </c>
      <c r="C10" s="19">
        <v>35</v>
      </c>
      <c r="D10" s="19">
        <v>0</v>
      </c>
      <c r="E10" s="19">
        <v>1</v>
      </c>
      <c r="F10" s="19" t="s">
        <v>325</v>
      </c>
    </row>
    <row r="11" spans="1:6" ht="27.95" customHeight="1">
      <c r="A11" s="283" t="s">
        <v>326</v>
      </c>
      <c r="B11" s="284"/>
      <c r="C11" s="284"/>
      <c r="D11" s="284"/>
      <c r="E11" s="284"/>
      <c r="F11" s="284"/>
    </row>
    <row r="12" spans="1:6" ht="21.95" customHeight="1">
      <c r="A12" s="10" t="s">
        <v>187</v>
      </c>
      <c r="B12" s="10" t="s">
        <v>327</v>
      </c>
      <c r="C12" s="10" t="s">
        <v>328</v>
      </c>
      <c r="D12" s="11"/>
      <c r="E12" s="10" t="s">
        <v>329</v>
      </c>
      <c r="F12" s="10">
        <f>COUNTA('Test Results'!D2:D510)</f>
        <v>314</v>
      </c>
    </row>
    <row r="13" spans="1:6" ht="21.95" customHeight="1">
      <c r="A13" s="35" t="s">
        <v>330</v>
      </c>
      <c r="B13" s="24">
        <f>COUNTIF('Test Results'!D2:D510,"✅*")</f>
        <v>189</v>
      </c>
      <c r="C13" s="36">
        <f>IF(F12=0,0,B13/F12)</f>
        <v>0.60191082802547768</v>
      </c>
      <c r="D13" s="37"/>
      <c r="E13" s="37"/>
      <c r="F13" s="37"/>
    </row>
    <row r="14" spans="1:6" ht="21.95" customHeight="1">
      <c r="A14" s="38" t="s">
        <v>331</v>
      </c>
      <c r="B14" s="39">
        <f>COUNTIF('Test Results'!D2:D510,"❌*")</f>
        <v>14</v>
      </c>
      <c r="C14" s="40">
        <f>IF(F12=0,0,B14/F12)</f>
        <v>4.4585987261146494E-2</v>
      </c>
      <c r="D14" s="37"/>
      <c r="E14" s="37"/>
      <c r="F14" s="37"/>
    </row>
    <row r="15" spans="1:6" ht="21.95" customHeight="1">
      <c r="A15" s="41" t="s">
        <v>332</v>
      </c>
      <c r="B15" s="42">
        <f>COUNTIF('Test Results'!D2:D510,"⏱️*")</f>
        <v>25</v>
      </c>
      <c r="C15" s="36">
        <f>IF(F12=0,0,B15/F12)</f>
        <v>7.9617834394904455E-2</v>
      </c>
      <c r="D15" s="37"/>
      <c r="E15" s="37"/>
      <c r="F15" s="37"/>
    </row>
    <row r="16" spans="1:6" ht="21.95" customHeight="1">
      <c r="A16" s="43" t="s">
        <v>333</v>
      </c>
      <c r="B16" s="34">
        <f>COUNTIF('Test Results'!D2:D510,"⚠️*")</f>
        <v>32</v>
      </c>
      <c r="C16" s="40">
        <f>IF(F12=0,0,B16/F12)</f>
        <v>0.10191082802547771</v>
      </c>
      <c r="D16" s="37"/>
      <c r="E16" s="37"/>
      <c r="F16" s="37"/>
    </row>
    <row r="17" spans="1:6" ht="21.95" customHeight="1">
      <c r="A17" s="44" t="s">
        <v>334</v>
      </c>
      <c r="B17" s="45">
        <f>F12-B13-B14-B15-B16</f>
        <v>54</v>
      </c>
      <c r="C17" s="36">
        <f>IF(F12=0,0,B17/F12)</f>
        <v>0.17197452229299362</v>
      </c>
      <c r="D17" s="37"/>
      <c r="E17" s="37"/>
      <c r="F17" s="37"/>
    </row>
    <row r="18" spans="1:6" ht="21.95" customHeight="1">
      <c r="A18" s="30" t="s">
        <v>335</v>
      </c>
      <c r="B18" s="31">
        <f>B13</f>
        <v>189</v>
      </c>
      <c r="C18" s="33">
        <f>IF((B13+B14+B15)=0,0,B13/(B13+B14+B15))</f>
        <v>0.82894736842105265</v>
      </c>
      <c r="D18" s="37"/>
      <c r="E18" s="37"/>
      <c r="F18" s="37"/>
    </row>
    <row r="19" spans="1:6" ht="21.95" customHeight="1">
      <c r="A19" s="6"/>
      <c r="B19" s="19"/>
      <c r="C19" s="19"/>
      <c r="D19" s="19"/>
      <c r="E19" s="19"/>
      <c r="F19" s="19"/>
    </row>
    <row r="20" spans="1:6" ht="27.95" customHeight="1">
      <c r="A20" s="286" t="s">
        <v>336</v>
      </c>
      <c r="B20" s="284"/>
      <c r="C20" s="284"/>
      <c r="D20" s="284"/>
      <c r="E20" s="284"/>
      <c r="F20" s="284"/>
    </row>
    <row r="21" spans="1:6">
      <c r="A21" s="47" t="s">
        <v>185</v>
      </c>
      <c r="B21" s="47" t="s">
        <v>337</v>
      </c>
      <c r="C21" s="47" t="s">
        <v>207</v>
      </c>
      <c r="D21" s="47" t="s">
        <v>338</v>
      </c>
      <c r="E21" s="47" t="s">
        <v>187</v>
      </c>
      <c r="F21" s="47" t="s">
        <v>339</v>
      </c>
    </row>
    <row r="22" spans="1:6" ht="102.75" customHeight="1">
      <c r="A22" s="48">
        <v>1</v>
      </c>
      <c r="B22" s="49" t="s">
        <v>340</v>
      </c>
      <c r="C22" s="50" t="s">
        <v>341</v>
      </c>
      <c r="D22" s="20" t="s">
        <v>342</v>
      </c>
      <c r="E22" s="41" t="s">
        <v>273</v>
      </c>
      <c r="F22" s="20" t="s">
        <v>343</v>
      </c>
    </row>
    <row r="23" spans="1:6" ht="77.25" customHeight="1">
      <c r="A23" s="51">
        <v>2</v>
      </c>
      <c r="B23" s="43" t="s">
        <v>4</v>
      </c>
      <c r="C23" s="25" t="s">
        <v>344</v>
      </c>
      <c r="D23" s="25" t="s">
        <v>345</v>
      </c>
      <c r="E23" s="43" t="s">
        <v>346</v>
      </c>
      <c r="F23" s="25" t="s">
        <v>347</v>
      </c>
    </row>
    <row r="24" spans="1:6" ht="141" customHeight="1">
      <c r="A24" s="48">
        <v>3</v>
      </c>
      <c r="B24" s="52" t="s">
        <v>348</v>
      </c>
      <c r="C24" s="50" t="s">
        <v>349</v>
      </c>
      <c r="D24" s="20" t="s">
        <v>342</v>
      </c>
      <c r="E24" s="50" t="s">
        <v>273</v>
      </c>
      <c r="F24" s="20" t="s">
        <v>350</v>
      </c>
    </row>
    <row r="25" spans="1:6" ht="21.95" customHeight="1">
      <c r="A25" s="19"/>
      <c r="B25" s="19"/>
      <c r="C25" s="19"/>
      <c r="D25" s="19"/>
      <c r="E25" s="19"/>
      <c r="F25" s="19"/>
    </row>
    <row r="26" spans="1:6" ht="27.95" customHeight="1">
      <c r="A26" s="287" t="s">
        <v>351</v>
      </c>
      <c r="B26" s="284"/>
      <c r="C26" s="284"/>
      <c r="D26" s="284"/>
      <c r="E26" s="284"/>
      <c r="F26" s="284"/>
    </row>
    <row r="27" spans="1:6" ht="21.95" customHeight="1">
      <c r="A27" s="9" t="s">
        <v>352</v>
      </c>
      <c r="B27" s="47" t="s">
        <v>269</v>
      </c>
      <c r="C27" s="47"/>
      <c r="D27" s="47" t="s">
        <v>353</v>
      </c>
      <c r="E27" s="47" t="s">
        <v>354</v>
      </c>
      <c r="F27" s="47" t="s">
        <v>187</v>
      </c>
    </row>
    <row r="28" spans="1:6" ht="21.95" customHeight="1">
      <c r="A28" s="12" t="s">
        <v>355</v>
      </c>
      <c r="B28" s="12" t="s">
        <v>356</v>
      </c>
      <c r="C28" s="12"/>
      <c r="D28" s="12" t="s">
        <v>357</v>
      </c>
      <c r="E28" s="12" t="s">
        <v>358</v>
      </c>
      <c r="F28" s="12" t="s">
        <v>359</v>
      </c>
    </row>
    <row r="29" spans="1:6" ht="21.95" customHeight="1">
      <c r="A29" s="25" t="s">
        <v>360</v>
      </c>
      <c r="B29" s="26" t="s">
        <v>361</v>
      </c>
      <c r="C29" s="25"/>
      <c r="D29" s="25" t="s">
        <v>362</v>
      </c>
      <c r="E29" s="25" t="s">
        <v>363</v>
      </c>
      <c r="F29" s="29" t="s">
        <v>359</v>
      </c>
    </row>
    <row r="30" spans="1:6" ht="21.95" customHeight="1">
      <c r="A30" s="20" t="s">
        <v>364</v>
      </c>
      <c r="B30" s="21" t="s">
        <v>365</v>
      </c>
      <c r="C30" s="20"/>
      <c r="D30" s="20" t="s">
        <v>366</v>
      </c>
      <c r="E30" s="20" t="s">
        <v>367</v>
      </c>
      <c r="F30" s="24" t="s">
        <v>359</v>
      </c>
    </row>
    <row r="31" spans="1:6" ht="21.95" customHeight="1">
      <c r="A31" s="25" t="s">
        <v>368</v>
      </c>
      <c r="B31" s="26" t="s">
        <v>369</v>
      </c>
      <c r="C31" s="25"/>
      <c r="D31" s="25" t="s">
        <v>370</v>
      </c>
      <c r="E31" s="25" t="s">
        <v>371</v>
      </c>
      <c r="F31" s="29" t="s">
        <v>372</v>
      </c>
    </row>
    <row r="32" spans="1:6" ht="21.95" customHeight="1">
      <c r="A32" s="20" t="s">
        <v>373</v>
      </c>
      <c r="B32" s="21" t="s">
        <v>374</v>
      </c>
      <c r="C32" s="20"/>
      <c r="D32" s="20" t="s">
        <v>375</v>
      </c>
      <c r="E32" s="20" t="s">
        <v>376</v>
      </c>
      <c r="F32" s="24" t="s">
        <v>372</v>
      </c>
    </row>
    <row r="33" spans="1:6" ht="21.95" customHeight="1">
      <c r="A33" s="25" t="s">
        <v>377</v>
      </c>
      <c r="B33" s="26" t="s">
        <v>378</v>
      </c>
      <c r="C33" s="20"/>
      <c r="D33" s="25" t="s">
        <v>379</v>
      </c>
      <c r="E33" s="25" t="s">
        <v>380</v>
      </c>
      <c r="F33" s="29" t="s">
        <v>359</v>
      </c>
    </row>
    <row r="34" spans="1:6" ht="21.95" customHeight="1">
      <c r="A34" s="19"/>
      <c r="B34" s="19"/>
      <c r="C34" s="19"/>
      <c r="D34" s="19"/>
      <c r="E34" s="19"/>
      <c r="F34" s="19"/>
    </row>
    <row r="35" spans="1:6" ht="21.95" customHeight="1">
      <c r="A35" s="53" t="s">
        <v>381</v>
      </c>
      <c r="B35" s="54">
        <v>46094.782276859427</v>
      </c>
      <c r="C35" s="19"/>
      <c r="D35" s="19"/>
      <c r="E35" s="19"/>
      <c r="F35" s="19"/>
    </row>
    <row r="36" spans="1:6" ht="21.95" customHeight="1">
      <c r="A36" s="46"/>
      <c r="B36" s="19"/>
      <c r="C36" s="19"/>
      <c r="D36" s="19"/>
      <c r="E36" s="19"/>
      <c r="F36" s="19"/>
    </row>
    <row r="37" spans="1:6" ht="27.95" customHeight="1">
      <c r="A37" s="286" t="s">
        <v>382</v>
      </c>
      <c r="B37" s="284"/>
      <c r="C37" s="284"/>
      <c r="D37" s="284"/>
      <c r="E37" s="284"/>
      <c r="F37" s="284"/>
    </row>
    <row r="38" spans="1:6" ht="21.95" customHeight="1">
      <c r="A38" s="47" t="s">
        <v>185</v>
      </c>
      <c r="B38" s="47" t="s">
        <v>383</v>
      </c>
      <c r="C38" s="47" t="s">
        <v>384</v>
      </c>
      <c r="D38" s="47" t="s">
        <v>385</v>
      </c>
      <c r="E38" s="47" t="s">
        <v>386</v>
      </c>
      <c r="F38" s="47" t="s">
        <v>387</v>
      </c>
    </row>
    <row r="39" spans="1:6" ht="21.95" customHeight="1">
      <c r="A39" s="21">
        <v>1</v>
      </c>
      <c r="B39" s="20" t="s">
        <v>388</v>
      </c>
      <c r="C39" s="20" t="s">
        <v>389</v>
      </c>
      <c r="D39" s="35" t="s">
        <v>390</v>
      </c>
      <c r="E39" s="20" t="s">
        <v>391</v>
      </c>
      <c r="F39" s="20" t="s">
        <v>392</v>
      </c>
    </row>
    <row r="40" spans="1:6" ht="21.95" customHeight="1">
      <c r="A40" s="26">
        <v>2</v>
      </c>
      <c r="B40" s="25" t="s">
        <v>393</v>
      </c>
      <c r="C40" s="25" t="s">
        <v>394</v>
      </c>
      <c r="D40" s="55" t="s">
        <v>390</v>
      </c>
      <c r="E40" s="25" t="s">
        <v>395</v>
      </c>
      <c r="F40" s="25" t="s">
        <v>396</v>
      </c>
    </row>
    <row r="41" spans="1:6" ht="21.95" customHeight="1">
      <c r="A41" s="21">
        <v>3</v>
      </c>
      <c r="B41" s="20" t="s">
        <v>397</v>
      </c>
      <c r="C41" s="20" t="s">
        <v>398</v>
      </c>
      <c r="D41" s="35" t="s">
        <v>390</v>
      </c>
      <c r="E41" s="20" t="s">
        <v>399</v>
      </c>
      <c r="F41" s="20" t="s">
        <v>400</v>
      </c>
    </row>
    <row r="42" spans="1:6" ht="21.95" customHeight="1">
      <c r="A42" s="26">
        <v>4</v>
      </c>
      <c r="B42" s="25" t="s">
        <v>401</v>
      </c>
      <c r="C42" s="25" t="s">
        <v>402</v>
      </c>
      <c r="D42" s="55" t="s">
        <v>390</v>
      </c>
      <c r="E42" s="25" t="s">
        <v>403</v>
      </c>
      <c r="F42" s="25" t="s">
        <v>404</v>
      </c>
    </row>
    <row r="43" spans="1:6" ht="21.95" customHeight="1">
      <c r="A43" s="21">
        <v>5</v>
      </c>
      <c r="B43" s="20" t="s">
        <v>405</v>
      </c>
      <c r="C43" s="20" t="s">
        <v>406</v>
      </c>
      <c r="D43" s="35" t="s">
        <v>407</v>
      </c>
      <c r="E43" s="20" t="s">
        <v>408</v>
      </c>
      <c r="F43" s="20" t="s">
        <v>409</v>
      </c>
    </row>
    <row r="44" spans="1:6" ht="21.95" customHeight="1">
      <c r="A44" s="26">
        <v>6</v>
      </c>
      <c r="B44" s="25" t="s">
        <v>410</v>
      </c>
      <c r="C44" s="25" t="s">
        <v>411</v>
      </c>
      <c r="D44" s="43" t="s">
        <v>412</v>
      </c>
      <c r="E44" s="25" t="s">
        <v>413</v>
      </c>
      <c r="F44" s="25" t="s">
        <v>414</v>
      </c>
    </row>
    <row r="45" spans="1:6" ht="21.95" customHeight="1">
      <c r="A45" s="21">
        <v>7</v>
      </c>
      <c r="B45" s="20" t="s">
        <v>415</v>
      </c>
      <c r="C45" s="20" t="s">
        <v>416</v>
      </c>
      <c r="D45" s="35" t="s">
        <v>390</v>
      </c>
      <c r="E45" s="20" t="s">
        <v>417</v>
      </c>
      <c r="F45" s="20" t="s">
        <v>418</v>
      </c>
    </row>
    <row r="46" spans="1:6" ht="21.95" customHeight="1">
      <c r="A46" s="26">
        <v>8</v>
      </c>
      <c r="B46" s="25" t="s">
        <v>419</v>
      </c>
      <c r="C46" s="25" t="s">
        <v>420</v>
      </c>
      <c r="D46" s="55" t="s">
        <v>390</v>
      </c>
      <c r="E46" s="25" t="s">
        <v>421</v>
      </c>
      <c r="F46" s="25" t="s">
        <v>422</v>
      </c>
    </row>
    <row r="47" spans="1:6" ht="21.95" customHeight="1">
      <c r="A47" s="21">
        <v>9</v>
      </c>
      <c r="B47" s="20" t="s">
        <v>423</v>
      </c>
      <c r="C47" s="20" t="s">
        <v>424</v>
      </c>
      <c r="D47" s="35" t="s">
        <v>390</v>
      </c>
      <c r="E47" s="20" t="s">
        <v>425</v>
      </c>
      <c r="F47" s="20" t="s">
        <v>426</v>
      </c>
    </row>
    <row r="48" spans="1:6" ht="21.95" customHeight="1">
      <c r="A48" s="19" t="s">
        <v>381</v>
      </c>
      <c r="B48" s="54">
        <v>46094.782276859427</v>
      </c>
      <c r="C48" s="19"/>
      <c r="D48" s="19"/>
      <c r="E48" s="19"/>
      <c r="F48" s="19"/>
    </row>
    <row r="49" spans="1:6" ht="21.95" customHeight="1">
      <c r="A49" s="56"/>
      <c r="B49" s="57"/>
      <c r="C49" s="37"/>
      <c r="D49" s="37"/>
      <c r="E49" s="37"/>
      <c r="F49" s="37"/>
    </row>
    <row r="50" spans="1:6">
      <c r="A50" s="58" t="s">
        <v>427</v>
      </c>
      <c r="B50" s="59"/>
      <c r="C50" s="59"/>
      <c r="D50" s="59"/>
      <c r="E50" s="59"/>
      <c r="F50" s="59"/>
    </row>
    <row r="51" spans="1:6">
      <c r="A51" s="60" t="s">
        <v>428</v>
      </c>
      <c r="B51" s="60" t="s">
        <v>429</v>
      </c>
      <c r="C51" s="60" t="s">
        <v>187</v>
      </c>
      <c r="D51" s="60" t="s">
        <v>430</v>
      </c>
      <c r="E51" s="60" t="s">
        <v>431</v>
      </c>
      <c r="F51" s="60" t="s">
        <v>432</v>
      </c>
    </row>
    <row r="52" spans="1:6" ht="94.5" customHeight="1">
      <c r="A52" s="37">
        <v>1</v>
      </c>
      <c r="B52" s="37" t="s">
        <v>433</v>
      </c>
      <c r="C52" s="37" t="s">
        <v>434</v>
      </c>
      <c r="D52" s="37" t="s">
        <v>435</v>
      </c>
      <c r="E52" s="37"/>
      <c r="F52" s="37"/>
    </row>
    <row r="53" spans="1:6" ht="81" customHeight="1">
      <c r="A53" s="37">
        <v>1</v>
      </c>
      <c r="B53" s="37" t="s">
        <v>436</v>
      </c>
      <c r="C53" s="37" t="s">
        <v>434</v>
      </c>
      <c r="D53" s="61" t="s">
        <v>437</v>
      </c>
      <c r="E53" s="37"/>
      <c r="F53" s="37"/>
    </row>
    <row r="54" spans="1:6" ht="81" customHeight="1">
      <c r="A54" s="37">
        <v>1</v>
      </c>
      <c r="B54" s="37" t="s">
        <v>438</v>
      </c>
      <c r="C54" s="37" t="s">
        <v>434</v>
      </c>
      <c r="D54" s="61" t="s">
        <v>439</v>
      </c>
      <c r="E54" s="37"/>
      <c r="F54" s="37"/>
    </row>
    <row r="55" spans="1:6" ht="67.5" customHeight="1">
      <c r="A55" s="37">
        <v>2</v>
      </c>
      <c r="B55" s="37" t="s">
        <v>440</v>
      </c>
      <c r="C55" s="37" t="s">
        <v>434</v>
      </c>
      <c r="D55" s="37" t="s">
        <v>441</v>
      </c>
      <c r="E55" s="37"/>
      <c r="F55" s="37"/>
    </row>
    <row r="56" spans="1:6" ht="40.5" customHeight="1">
      <c r="A56" s="37">
        <v>2</v>
      </c>
      <c r="B56" s="37" t="s">
        <v>442</v>
      </c>
      <c r="C56" s="37" t="s">
        <v>434</v>
      </c>
      <c r="D56" s="37" t="s">
        <v>443</v>
      </c>
      <c r="E56" s="37" t="s">
        <v>444</v>
      </c>
      <c r="F56" s="37"/>
    </row>
    <row r="57" spans="1:6" ht="229.5" customHeight="1">
      <c r="A57" s="37">
        <v>2</v>
      </c>
      <c r="B57" s="37" t="s">
        <v>445</v>
      </c>
      <c r="C57" s="37" t="s">
        <v>434</v>
      </c>
      <c r="D57" s="37" t="s">
        <v>446</v>
      </c>
      <c r="E57" s="37" t="s">
        <v>444</v>
      </c>
      <c r="F57" s="37" t="s">
        <v>447</v>
      </c>
    </row>
    <row r="58" spans="1:6" ht="243" customHeight="1">
      <c r="A58" s="37">
        <v>2</v>
      </c>
      <c r="B58" s="37" t="s">
        <v>448</v>
      </c>
      <c r="C58" s="37" t="s">
        <v>434</v>
      </c>
      <c r="D58" s="37" t="s">
        <v>449</v>
      </c>
      <c r="E58" s="37" t="s">
        <v>444</v>
      </c>
      <c r="F58" s="37" t="s">
        <v>450</v>
      </c>
    </row>
    <row r="59" spans="1:6" ht="270" customHeight="1">
      <c r="A59" s="37">
        <v>2</v>
      </c>
      <c r="B59" s="37" t="s">
        <v>451</v>
      </c>
      <c r="C59" s="37" t="s">
        <v>434</v>
      </c>
      <c r="D59" s="37" t="s">
        <v>452</v>
      </c>
      <c r="E59" s="37" t="s">
        <v>444</v>
      </c>
      <c r="F59" s="37" t="s">
        <v>453</v>
      </c>
    </row>
    <row r="60" spans="1:6" ht="121.5" customHeight="1">
      <c r="A60" s="37">
        <v>2</v>
      </c>
      <c r="B60" s="37" t="s">
        <v>454</v>
      </c>
      <c r="C60" s="37" t="s">
        <v>434</v>
      </c>
      <c r="D60" s="37" t="s">
        <v>455</v>
      </c>
      <c r="E60" s="37"/>
      <c r="F60" s="37"/>
    </row>
    <row r="61" spans="1:6" ht="135" customHeight="1">
      <c r="A61" s="37">
        <v>2</v>
      </c>
      <c r="B61" s="37" t="s">
        <v>456</v>
      </c>
      <c r="C61" s="37" t="s">
        <v>434</v>
      </c>
      <c r="D61" s="37" t="s">
        <v>457</v>
      </c>
      <c r="E61" s="37" t="s">
        <v>444</v>
      </c>
      <c r="F61" s="37" t="s">
        <v>458</v>
      </c>
    </row>
    <row r="62" spans="1:6" ht="108" customHeight="1">
      <c r="A62" s="37">
        <v>3</v>
      </c>
      <c r="B62" s="37" t="s">
        <v>459</v>
      </c>
      <c r="C62" s="37" t="s">
        <v>434</v>
      </c>
      <c r="D62" s="37" t="s">
        <v>460</v>
      </c>
      <c r="E62" s="37" t="s">
        <v>444</v>
      </c>
      <c r="F62" s="37"/>
    </row>
    <row r="63" spans="1:6" ht="121.5" customHeight="1">
      <c r="A63" s="37">
        <v>3</v>
      </c>
      <c r="B63" s="37" t="s">
        <v>461</v>
      </c>
      <c r="C63" s="37" t="s">
        <v>434</v>
      </c>
      <c r="D63" s="37" t="s">
        <v>462</v>
      </c>
      <c r="E63" s="37" t="s">
        <v>444</v>
      </c>
      <c r="F63" s="37"/>
    </row>
    <row r="64" spans="1:6">
      <c r="A64" s="37"/>
      <c r="B64" s="37"/>
      <c r="C64" s="37"/>
      <c r="D64" s="37"/>
      <c r="E64" s="37"/>
      <c r="F64" s="37"/>
    </row>
    <row r="65" spans="1:6" ht="94.5" customHeight="1">
      <c r="A65" s="62" t="s">
        <v>463</v>
      </c>
      <c r="B65" s="63" t="s">
        <v>464</v>
      </c>
      <c r="C65" s="37"/>
      <c r="D65" s="37"/>
      <c r="E65" s="37"/>
      <c r="F65" s="37"/>
    </row>
    <row r="66" spans="1:6" ht="135" customHeight="1">
      <c r="A66" s="60" t="s">
        <v>465</v>
      </c>
      <c r="B66" s="37" t="s">
        <v>466</v>
      </c>
      <c r="C66" s="37"/>
      <c r="D66" s="37"/>
      <c r="E66" s="37"/>
      <c r="F66" s="37"/>
    </row>
    <row r="67" spans="1:6" ht="40.5" customHeight="1">
      <c r="A67" s="64" t="s">
        <v>467</v>
      </c>
      <c r="B67" s="37" t="s">
        <v>468</v>
      </c>
      <c r="C67" s="37"/>
      <c r="D67" s="37"/>
      <c r="E67" s="37"/>
      <c r="F67" s="37"/>
    </row>
    <row r="221" spans="6:6" ht="409.5" customHeight="1">
      <c r="F221" s="1" t="s">
        <v>469</v>
      </c>
    </row>
  </sheetData>
  <mergeCells count="6">
    <mergeCell ref="A11:F11"/>
    <mergeCell ref="A3:F3"/>
    <mergeCell ref="A1:F1"/>
    <mergeCell ref="A37:F37"/>
    <mergeCell ref="A26:F26"/>
    <mergeCell ref="A20:F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5"/>
  <sheetViews>
    <sheetView topLeftCell="A23" workbookViewId="0">
      <selection activeCell="B35" sqref="B35"/>
    </sheetView>
  </sheetViews>
  <sheetFormatPr defaultColWidth="9.140625" defaultRowHeight="15"/>
  <cols>
    <col min="1" max="1" width="28" style="1" customWidth="1"/>
    <col min="2" max="2" width="80" style="1" customWidth="1"/>
    <col min="3" max="6" width="9.140625" style="1" customWidth="1"/>
    <col min="7" max="16384" width="9.140625" style="1"/>
  </cols>
  <sheetData>
    <row r="1" spans="1:2" s="13" customFormat="1" ht="13.5" customHeight="1">
      <c r="A1" s="198" t="s">
        <v>470</v>
      </c>
      <c r="B1" s="198" t="s">
        <v>471</v>
      </c>
    </row>
    <row r="2" spans="1:2">
      <c r="A2" s="199" t="s">
        <v>472</v>
      </c>
      <c r="B2" s="200">
        <v>46093</v>
      </c>
    </row>
    <row r="3" spans="1:2">
      <c r="A3" s="201" t="s">
        <v>473</v>
      </c>
      <c r="B3" s="202" t="s">
        <v>474</v>
      </c>
    </row>
    <row r="4" spans="1:2">
      <c r="A4" s="199" t="s">
        <v>11</v>
      </c>
      <c r="B4" s="203" t="s">
        <v>475</v>
      </c>
    </row>
    <row r="5" spans="1:2" ht="27" customHeight="1">
      <c r="A5" s="204" t="s">
        <v>476</v>
      </c>
      <c r="B5" s="202" t="s">
        <v>477</v>
      </c>
    </row>
    <row r="6" spans="1:2">
      <c r="A6" s="205" t="s">
        <v>478</v>
      </c>
      <c r="B6" s="203" t="s">
        <v>479</v>
      </c>
    </row>
    <row r="7" spans="1:2">
      <c r="A7" s="204" t="s">
        <v>480</v>
      </c>
      <c r="B7" s="202" t="s">
        <v>481</v>
      </c>
    </row>
    <row r="8" spans="1:2" ht="27" customHeight="1">
      <c r="A8" s="205" t="s">
        <v>482</v>
      </c>
      <c r="B8" s="203" t="s">
        <v>483</v>
      </c>
    </row>
    <row r="9" spans="1:2">
      <c r="A9" s="204" t="s">
        <v>484</v>
      </c>
      <c r="B9" s="202" t="s">
        <v>485</v>
      </c>
    </row>
    <row r="10" spans="1:2">
      <c r="A10" s="199"/>
      <c r="B10" s="203" t="s">
        <v>486</v>
      </c>
    </row>
    <row r="11" spans="1:2">
      <c r="A11" s="204" t="s">
        <v>487</v>
      </c>
      <c r="B11" s="202" t="s">
        <v>488</v>
      </c>
    </row>
    <row r="12" spans="1:2" ht="27" customHeight="1">
      <c r="A12" s="205" t="s">
        <v>489</v>
      </c>
      <c r="B12" s="203" t="s">
        <v>490</v>
      </c>
    </row>
    <row r="13" spans="1:2" ht="27" customHeight="1">
      <c r="A13" s="204" t="s">
        <v>491</v>
      </c>
      <c r="B13" s="202" t="s">
        <v>492</v>
      </c>
    </row>
    <row r="14" spans="1:2">
      <c r="A14" s="199" t="s">
        <v>493</v>
      </c>
      <c r="B14" s="203" t="s">
        <v>494</v>
      </c>
    </row>
    <row r="15" spans="1:2">
      <c r="A15" s="201" t="s">
        <v>495</v>
      </c>
      <c r="B15" s="202" t="s">
        <v>496</v>
      </c>
    </row>
    <row r="16" spans="1:2">
      <c r="A16" s="199" t="s">
        <v>497</v>
      </c>
      <c r="B16" s="203" t="s">
        <v>498</v>
      </c>
    </row>
    <row r="17" spans="1:2">
      <c r="A17" s="201" t="s">
        <v>499</v>
      </c>
      <c r="B17" s="202" t="s">
        <v>500</v>
      </c>
    </row>
    <row r="18" spans="1:2">
      <c r="A18" s="199" t="s">
        <v>501</v>
      </c>
      <c r="B18" s="203" t="s">
        <v>502</v>
      </c>
    </row>
    <row r="19" spans="1:2">
      <c r="A19" s="201" t="s">
        <v>503</v>
      </c>
      <c r="B19" s="202" t="s">
        <v>504</v>
      </c>
    </row>
    <row r="20" spans="1:2">
      <c r="A20" s="199" t="s">
        <v>505</v>
      </c>
      <c r="B20" s="203" t="s">
        <v>506</v>
      </c>
    </row>
    <row r="21" spans="1:2" ht="40.5" customHeight="1">
      <c r="A21" s="201"/>
      <c r="B21" s="202" t="s">
        <v>507</v>
      </c>
    </row>
    <row r="22" spans="1:2" ht="27" customHeight="1">
      <c r="A22" s="199" t="s">
        <v>508</v>
      </c>
      <c r="B22" s="203" t="s">
        <v>509</v>
      </c>
    </row>
    <row r="23" spans="1:2">
      <c r="A23" s="201"/>
      <c r="B23" s="202" t="s">
        <v>510</v>
      </c>
    </row>
    <row r="24" spans="1:2" ht="27" customHeight="1">
      <c r="A24" s="205" t="s">
        <v>251</v>
      </c>
      <c r="B24" s="203" t="s">
        <v>511</v>
      </c>
    </row>
    <row r="25" spans="1:2" ht="27" customHeight="1">
      <c r="A25" s="204" t="s">
        <v>251</v>
      </c>
      <c r="B25" s="202" t="s">
        <v>512</v>
      </c>
    </row>
    <row r="26" spans="1:2" ht="27" customHeight="1">
      <c r="A26" s="205" t="s">
        <v>251</v>
      </c>
      <c r="B26" s="203" t="s">
        <v>513</v>
      </c>
    </row>
    <row r="27" spans="1:2" ht="27" customHeight="1">
      <c r="A27" s="204" t="s">
        <v>251</v>
      </c>
      <c r="B27" s="202" t="s">
        <v>514</v>
      </c>
    </row>
    <row r="28" spans="1:2" ht="27" customHeight="1">
      <c r="A28" s="205" t="s">
        <v>251</v>
      </c>
      <c r="B28" s="203" t="s">
        <v>515</v>
      </c>
    </row>
    <row r="29" spans="1:2" ht="27" customHeight="1">
      <c r="A29" s="204" t="s">
        <v>251</v>
      </c>
      <c r="B29" s="202" t="s">
        <v>516</v>
      </c>
    </row>
    <row r="30" spans="1:2" ht="27" customHeight="1">
      <c r="A30" s="205" t="s">
        <v>251</v>
      </c>
      <c r="B30" s="203" t="s">
        <v>517</v>
      </c>
    </row>
    <row r="31" spans="1:2" ht="27" customHeight="1">
      <c r="A31" s="204" t="s">
        <v>251</v>
      </c>
      <c r="B31" s="202" t="s">
        <v>518</v>
      </c>
    </row>
    <row r="32" spans="1:2" ht="27" customHeight="1">
      <c r="A32" s="205" t="s">
        <v>251</v>
      </c>
      <c r="B32" s="203" t="s">
        <v>519</v>
      </c>
    </row>
    <row r="33" spans="1:2" ht="27" customHeight="1">
      <c r="A33" s="204" t="s">
        <v>251</v>
      </c>
      <c r="B33" s="202" t="s">
        <v>520</v>
      </c>
    </row>
    <row r="34" spans="1:2" ht="40.5" customHeight="1">
      <c r="A34" s="205" t="s">
        <v>251</v>
      </c>
      <c r="B34" s="203" t="s">
        <v>521</v>
      </c>
    </row>
    <row r="35" spans="1:2">
      <c r="A35" s="201"/>
      <c r="B35" s="202" t="s">
        <v>522</v>
      </c>
    </row>
    <row r="36" spans="1:2">
      <c r="A36" s="199"/>
      <c r="B36" s="203"/>
    </row>
    <row r="37" spans="1:2" ht="25.5" customHeight="1">
      <c r="A37" s="204" t="s">
        <v>523</v>
      </c>
      <c r="B37" s="202" t="s">
        <v>524</v>
      </c>
    </row>
    <row r="38" spans="1:2" ht="25.5" customHeight="1">
      <c r="A38" s="205" t="s">
        <v>525</v>
      </c>
      <c r="B38" s="203" t="s">
        <v>526</v>
      </c>
    </row>
    <row r="39" spans="1:2" ht="25.5" customHeight="1">
      <c r="A39" s="204" t="s">
        <v>527</v>
      </c>
      <c r="B39" s="202" t="s">
        <v>528</v>
      </c>
    </row>
    <row r="40" spans="1:2">
      <c r="A40" s="206" t="s">
        <v>529</v>
      </c>
      <c r="B40" s="203" t="s">
        <v>530</v>
      </c>
    </row>
    <row r="41" spans="1:2" ht="30" customHeight="1">
      <c r="A41" s="266" t="s">
        <v>531</v>
      </c>
      <c r="B41" s="267" t="s">
        <v>532</v>
      </c>
    </row>
    <row r="42" spans="1:2" ht="30" customHeight="1">
      <c r="A42" s="266" t="s">
        <v>533</v>
      </c>
      <c r="B42" s="267" t="s">
        <v>534</v>
      </c>
    </row>
    <row r="43" spans="1:2" ht="28.5" customHeight="1">
      <c r="A43" s="266" t="s">
        <v>535</v>
      </c>
      <c r="B43" s="267" t="s">
        <v>536</v>
      </c>
    </row>
    <row r="44" spans="1:2" ht="30" customHeight="1">
      <c r="A44" s="266" t="s">
        <v>537</v>
      </c>
      <c r="B44" s="267" t="s">
        <v>538</v>
      </c>
    </row>
    <row r="45" spans="1:2" ht="30" customHeight="1">
      <c r="A45" s="266" t="s">
        <v>539</v>
      </c>
      <c r="B45" s="267" t="s">
        <v>540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0"/>
  <sheetViews>
    <sheetView topLeftCell="A28" workbookViewId="0">
      <selection activeCell="B37" sqref="B37"/>
    </sheetView>
  </sheetViews>
  <sheetFormatPr defaultRowHeight="15"/>
  <cols>
    <col min="1" max="1" width="34.28515625" customWidth="1"/>
    <col min="2" max="2" width="95.28515625" customWidth="1"/>
  </cols>
  <sheetData>
    <row r="1" spans="1:14" ht="30" customHeight="1">
      <c r="A1" s="207" t="s">
        <v>541</v>
      </c>
      <c r="B1" s="65"/>
      <c r="C1" s="66"/>
      <c r="D1" s="66"/>
      <c r="E1" s="66"/>
      <c r="F1" s="66"/>
      <c r="G1" s="66"/>
      <c r="H1" s="66"/>
      <c r="I1" s="66"/>
      <c r="J1" s="66"/>
      <c r="K1" s="66"/>
      <c r="L1" s="66"/>
      <c r="M1" s="66"/>
      <c r="N1" s="66"/>
    </row>
    <row r="2" spans="1:14">
      <c r="A2" s="208" t="s">
        <v>187</v>
      </c>
      <c r="B2" s="209" t="s">
        <v>542</v>
      </c>
      <c r="C2" s="67"/>
      <c r="D2" s="67"/>
      <c r="E2" s="67"/>
      <c r="F2" s="67"/>
      <c r="G2" s="67"/>
      <c r="H2" s="67"/>
      <c r="I2" s="67"/>
      <c r="J2" s="67"/>
      <c r="K2" s="67"/>
      <c r="L2" s="67"/>
      <c r="M2" s="67"/>
      <c r="N2" s="67"/>
    </row>
    <row r="3" spans="1:14">
      <c r="A3" s="210" t="s">
        <v>543</v>
      </c>
      <c r="B3" s="211">
        <v>100</v>
      </c>
      <c r="C3" s="67"/>
      <c r="D3" s="67"/>
      <c r="E3" s="67"/>
      <c r="F3" s="67"/>
      <c r="G3" s="67"/>
      <c r="H3" s="67"/>
      <c r="I3" s="67"/>
      <c r="J3" s="67"/>
      <c r="K3" s="67"/>
      <c r="L3" s="67"/>
      <c r="M3" s="67"/>
      <c r="N3" s="67"/>
    </row>
    <row r="4" spans="1:14">
      <c r="A4" s="210" t="s">
        <v>544</v>
      </c>
      <c r="B4" s="212" t="s">
        <v>545</v>
      </c>
      <c r="C4" s="67"/>
      <c r="D4" s="67"/>
      <c r="E4" s="67"/>
      <c r="F4" s="67"/>
      <c r="G4" s="67"/>
      <c r="H4" s="67"/>
      <c r="I4" s="67"/>
      <c r="J4" s="67"/>
      <c r="K4" s="67"/>
      <c r="L4" s="67"/>
      <c r="M4" s="67"/>
      <c r="N4" s="67"/>
    </row>
    <row r="5" spans="1:14">
      <c r="A5" s="210" t="s">
        <v>546</v>
      </c>
      <c r="B5" s="212" t="s">
        <v>547</v>
      </c>
      <c r="C5" s="67"/>
      <c r="D5" s="67"/>
      <c r="E5" s="67"/>
      <c r="F5" s="67"/>
      <c r="G5" s="67"/>
      <c r="H5" s="67"/>
      <c r="I5" s="67"/>
      <c r="J5" s="67"/>
      <c r="K5" s="67"/>
      <c r="L5" s="67"/>
      <c r="M5" s="67"/>
      <c r="N5" s="67"/>
    </row>
    <row r="6" spans="1:14">
      <c r="A6" s="210" t="s">
        <v>548</v>
      </c>
      <c r="B6" s="212" t="s">
        <v>549</v>
      </c>
      <c r="C6" s="67"/>
      <c r="D6" s="67"/>
      <c r="E6" s="67"/>
      <c r="F6" s="67"/>
      <c r="G6" s="67"/>
      <c r="H6" s="67"/>
      <c r="I6" s="67"/>
      <c r="J6" s="67"/>
      <c r="K6" s="67"/>
      <c r="L6" s="67"/>
      <c r="M6" s="67"/>
      <c r="N6" s="67"/>
    </row>
    <row r="7" spans="1:14">
      <c r="A7" s="210" t="s">
        <v>550</v>
      </c>
      <c r="B7" s="212" t="s">
        <v>551</v>
      </c>
      <c r="C7" s="67"/>
      <c r="D7" s="67"/>
      <c r="E7" s="67"/>
      <c r="F7" s="67"/>
      <c r="G7" s="67"/>
      <c r="H7" s="67"/>
      <c r="I7" s="67"/>
      <c r="J7" s="67"/>
      <c r="K7" s="67"/>
      <c r="L7" s="67"/>
      <c r="M7" s="67"/>
      <c r="N7" s="67"/>
    </row>
    <row r="8" spans="1:14">
      <c r="A8" s="210" t="s">
        <v>552</v>
      </c>
      <c r="B8" s="212" t="s">
        <v>553</v>
      </c>
      <c r="C8" s="67"/>
      <c r="D8" s="67"/>
      <c r="E8" s="67"/>
      <c r="F8" s="67"/>
      <c r="G8" s="67"/>
      <c r="H8" s="67"/>
      <c r="I8" s="67"/>
      <c r="J8" s="67"/>
      <c r="K8" s="67"/>
      <c r="L8" s="67"/>
      <c r="M8" s="67"/>
      <c r="N8" s="67"/>
    </row>
    <row r="9" spans="1:14">
      <c r="A9" s="210" t="s">
        <v>554</v>
      </c>
      <c r="B9" s="212" t="s">
        <v>555</v>
      </c>
      <c r="C9" s="67"/>
      <c r="D9" s="67"/>
      <c r="E9" s="67"/>
      <c r="F9" s="67"/>
      <c r="G9" s="67"/>
      <c r="H9" s="67"/>
      <c r="I9" s="67"/>
      <c r="J9" s="67"/>
      <c r="K9" s="67"/>
      <c r="L9" s="67"/>
      <c r="M9" s="67"/>
      <c r="N9" s="67"/>
    </row>
    <row r="10" spans="1:14">
      <c r="A10" s="210" t="s">
        <v>556</v>
      </c>
      <c r="B10" s="212" t="s">
        <v>557</v>
      </c>
      <c r="C10" s="67"/>
      <c r="D10" s="67"/>
      <c r="E10" s="67"/>
      <c r="F10" s="67"/>
      <c r="G10" s="67"/>
      <c r="H10" s="67"/>
      <c r="I10" s="67"/>
      <c r="J10" s="67"/>
      <c r="K10" s="67"/>
      <c r="L10" s="67"/>
      <c r="M10" s="67"/>
      <c r="N10" s="67"/>
    </row>
    <row r="11" spans="1:14">
      <c r="A11" s="210" t="s">
        <v>558</v>
      </c>
      <c r="B11" s="212" t="s">
        <v>559</v>
      </c>
      <c r="C11" s="67"/>
      <c r="D11" s="67"/>
      <c r="E11" s="67"/>
      <c r="F11" s="67"/>
      <c r="G11" s="67"/>
      <c r="H11" s="67"/>
      <c r="I11" s="67"/>
      <c r="J11" s="67"/>
      <c r="K11" s="67"/>
      <c r="L11" s="67"/>
      <c r="M11" s="67"/>
      <c r="N11" s="67"/>
    </row>
    <row r="12" spans="1:14">
      <c r="A12" s="213" t="s">
        <v>560</v>
      </c>
      <c r="B12" s="214" t="s">
        <v>561</v>
      </c>
      <c r="C12" s="67"/>
      <c r="D12" s="67"/>
      <c r="E12" s="67"/>
      <c r="F12" s="67"/>
      <c r="G12" s="67"/>
      <c r="H12" s="67"/>
      <c r="I12" s="67"/>
      <c r="J12" s="67"/>
      <c r="K12" s="67"/>
      <c r="L12" s="67"/>
      <c r="M12" s="67"/>
      <c r="N12" s="67"/>
    </row>
    <row r="13" spans="1:14">
      <c r="A13" s="37"/>
      <c r="B13" s="37"/>
      <c r="C13" s="67"/>
      <c r="D13" s="67"/>
      <c r="E13" s="67"/>
      <c r="F13" s="67"/>
      <c r="G13" s="67"/>
      <c r="H13" s="67"/>
      <c r="I13" s="67"/>
      <c r="J13" s="67"/>
      <c r="K13" s="67"/>
      <c r="L13" s="67"/>
      <c r="M13" s="67"/>
      <c r="N13" s="67"/>
    </row>
    <row r="14" spans="1:14" ht="15.75" customHeight="1">
      <c r="A14" s="215" t="s">
        <v>562</v>
      </c>
      <c r="B14" s="65"/>
      <c r="C14" s="67"/>
      <c r="D14" s="67"/>
      <c r="E14" s="67"/>
      <c r="F14" s="67"/>
      <c r="G14" s="67"/>
      <c r="H14" s="67"/>
      <c r="I14" s="67"/>
      <c r="J14" s="67"/>
      <c r="K14" s="67"/>
      <c r="L14" s="67"/>
      <c r="M14" s="67"/>
      <c r="N14" s="67"/>
    </row>
    <row r="15" spans="1:14" ht="25.5" customHeight="1">
      <c r="A15" s="216" t="s">
        <v>563</v>
      </c>
      <c r="B15" s="217" t="s">
        <v>564</v>
      </c>
      <c r="C15" s="67"/>
      <c r="D15" s="67"/>
      <c r="E15" s="67"/>
      <c r="F15" s="67"/>
      <c r="G15" s="67"/>
      <c r="H15" s="67"/>
      <c r="I15" s="67"/>
      <c r="J15" s="67"/>
      <c r="K15" s="67"/>
      <c r="L15" s="67"/>
      <c r="M15" s="67"/>
      <c r="N15" s="67"/>
    </row>
    <row r="16" spans="1:14">
      <c r="A16" s="218" t="s">
        <v>565</v>
      </c>
      <c r="B16" s="219" t="s">
        <v>566</v>
      </c>
      <c r="C16" s="67"/>
      <c r="D16" s="67"/>
      <c r="E16" s="67"/>
      <c r="F16" s="67"/>
      <c r="G16" s="67"/>
      <c r="H16" s="67"/>
      <c r="I16" s="67"/>
      <c r="J16" s="67"/>
      <c r="K16" s="67"/>
      <c r="L16" s="67"/>
      <c r="M16" s="67"/>
      <c r="N16" s="67"/>
    </row>
    <row r="17" spans="1:14" ht="27" customHeight="1">
      <c r="A17" s="218" t="s">
        <v>567</v>
      </c>
      <c r="B17" s="219" t="s">
        <v>568</v>
      </c>
      <c r="C17" s="67"/>
      <c r="D17" s="67"/>
      <c r="E17" s="67"/>
      <c r="F17" s="67"/>
      <c r="G17" s="67"/>
      <c r="H17" s="67"/>
      <c r="I17" s="67"/>
      <c r="J17" s="67"/>
      <c r="K17" s="67"/>
      <c r="L17" s="67"/>
      <c r="M17" s="67"/>
      <c r="N17" s="67"/>
    </row>
    <row r="18" spans="1:14">
      <c r="A18" s="218" t="s">
        <v>569</v>
      </c>
      <c r="B18" s="219" t="s">
        <v>570</v>
      </c>
      <c r="C18" s="67"/>
      <c r="D18" s="67"/>
      <c r="E18" s="67"/>
      <c r="F18" s="67"/>
      <c r="G18" s="67"/>
      <c r="H18" s="67"/>
      <c r="I18" s="67"/>
      <c r="J18" s="67"/>
      <c r="K18" s="67"/>
      <c r="L18" s="67"/>
      <c r="M18" s="67"/>
      <c r="N18" s="67"/>
    </row>
    <row r="19" spans="1:14">
      <c r="A19" s="218" t="s">
        <v>571</v>
      </c>
      <c r="B19" s="219" t="s">
        <v>572</v>
      </c>
      <c r="C19" s="67"/>
      <c r="D19" s="67"/>
      <c r="E19" s="67"/>
      <c r="F19" s="67"/>
      <c r="G19" s="67"/>
      <c r="H19" s="67"/>
      <c r="I19" s="67"/>
      <c r="J19" s="67"/>
      <c r="K19" s="67"/>
      <c r="L19" s="67"/>
      <c r="M19" s="67"/>
      <c r="N19" s="67"/>
    </row>
    <row r="20" spans="1:14">
      <c r="A20" s="218" t="s">
        <v>573</v>
      </c>
      <c r="B20" s="219" t="s">
        <v>574</v>
      </c>
      <c r="C20" s="67"/>
      <c r="D20" s="67"/>
      <c r="E20" s="67"/>
      <c r="F20" s="67"/>
      <c r="G20" s="67"/>
      <c r="H20" s="67"/>
      <c r="I20" s="67"/>
      <c r="J20" s="67"/>
      <c r="K20" s="67"/>
      <c r="L20" s="67"/>
      <c r="M20" s="67"/>
      <c r="N20" s="67"/>
    </row>
    <row r="21" spans="1:14">
      <c r="A21" s="37"/>
      <c r="B21" s="37"/>
      <c r="C21" s="67"/>
      <c r="D21" s="67"/>
      <c r="E21" s="67"/>
      <c r="F21" s="67"/>
      <c r="G21" s="67"/>
      <c r="H21" s="67"/>
      <c r="I21" s="67"/>
      <c r="J21" s="67"/>
      <c r="K21" s="67"/>
      <c r="L21" s="67"/>
      <c r="M21" s="67"/>
      <c r="N21" s="67"/>
    </row>
    <row r="22" spans="1:14" ht="15.75" customHeight="1">
      <c r="A22" s="215" t="s">
        <v>575</v>
      </c>
      <c r="B22" s="65"/>
      <c r="C22" s="67"/>
      <c r="D22" s="67"/>
      <c r="E22" s="67"/>
      <c r="F22" s="67"/>
      <c r="G22" s="67"/>
      <c r="H22" s="67"/>
      <c r="I22" s="67"/>
      <c r="J22" s="67"/>
      <c r="K22" s="67"/>
      <c r="L22" s="67"/>
      <c r="M22" s="67"/>
      <c r="N22" s="67"/>
    </row>
    <row r="23" spans="1:14">
      <c r="A23" s="218" t="s">
        <v>305</v>
      </c>
      <c r="B23" s="219" t="s">
        <v>576</v>
      </c>
      <c r="C23" s="67"/>
      <c r="D23" s="67"/>
      <c r="E23" s="67"/>
      <c r="F23" s="67"/>
      <c r="G23" s="67"/>
      <c r="H23" s="67"/>
      <c r="I23" s="67"/>
      <c r="J23" s="67"/>
      <c r="K23" s="67"/>
      <c r="L23" s="67"/>
      <c r="M23" s="67"/>
      <c r="N23" s="67"/>
    </row>
    <row r="24" spans="1:14">
      <c r="A24" s="218" t="s">
        <v>307</v>
      </c>
      <c r="B24" s="219" t="s">
        <v>577</v>
      </c>
      <c r="C24" s="67"/>
      <c r="D24" s="67"/>
      <c r="E24" s="67"/>
      <c r="F24" s="67"/>
      <c r="G24" s="67"/>
      <c r="H24" s="67"/>
      <c r="I24" s="67"/>
      <c r="J24" s="67"/>
      <c r="K24" s="67"/>
      <c r="L24" s="67"/>
      <c r="M24" s="67"/>
      <c r="N24" s="67"/>
    </row>
    <row r="25" spans="1:14">
      <c r="A25" s="218" t="s">
        <v>309</v>
      </c>
      <c r="B25" s="219" t="s">
        <v>578</v>
      </c>
      <c r="C25" s="67"/>
      <c r="D25" s="67"/>
      <c r="E25" s="67"/>
      <c r="F25" s="67"/>
      <c r="G25" s="67"/>
      <c r="H25" s="67"/>
      <c r="I25" s="67"/>
      <c r="J25" s="67"/>
      <c r="K25" s="67"/>
      <c r="L25" s="67"/>
      <c r="M25" s="67"/>
      <c r="N25" s="67"/>
    </row>
    <row r="26" spans="1:14">
      <c r="A26" s="218" t="s">
        <v>311</v>
      </c>
      <c r="B26" s="219" t="s">
        <v>579</v>
      </c>
      <c r="C26" s="67"/>
      <c r="D26" s="67"/>
      <c r="E26" s="67"/>
      <c r="F26" s="67"/>
      <c r="G26" s="67"/>
      <c r="H26" s="67"/>
      <c r="I26" s="67"/>
      <c r="J26" s="67"/>
      <c r="K26" s="67"/>
      <c r="L26" s="67"/>
      <c r="M26" s="67"/>
      <c r="N26" s="67"/>
    </row>
    <row r="27" spans="1:14">
      <c r="A27" s="218" t="s">
        <v>580</v>
      </c>
      <c r="B27" s="219" t="s">
        <v>581</v>
      </c>
      <c r="C27" s="67"/>
      <c r="D27" s="67"/>
      <c r="E27" s="67"/>
      <c r="F27" s="67"/>
      <c r="G27" s="67"/>
      <c r="H27" s="67"/>
      <c r="I27" s="67"/>
      <c r="J27" s="67"/>
      <c r="K27" s="67"/>
      <c r="L27" s="67"/>
      <c r="M27" s="67"/>
      <c r="N27" s="67"/>
    </row>
    <row r="28" spans="1:14">
      <c r="A28" s="218" t="s">
        <v>582</v>
      </c>
      <c r="B28" s="219" t="s">
        <v>583</v>
      </c>
      <c r="C28" s="67"/>
      <c r="D28" s="67"/>
      <c r="E28" s="67"/>
      <c r="F28" s="67"/>
      <c r="G28" s="67"/>
      <c r="H28" s="67"/>
      <c r="I28" s="67"/>
      <c r="J28" s="67"/>
      <c r="K28" s="67"/>
      <c r="L28" s="67"/>
      <c r="M28" s="67"/>
      <c r="N28" s="67"/>
    </row>
    <row r="29" spans="1:14">
      <c r="A29" s="37"/>
      <c r="B29" s="37"/>
      <c r="C29" s="67"/>
      <c r="D29" s="67"/>
      <c r="E29" s="67"/>
      <c r="F29" s="67"/>
      <c r="G29" s="67"/>
      <c r="H29" s="67"/>
      <c r="I29" s="67"/>
      <c r="J29" s="67"/>
      <c r="K29" s="67"/>
      <c r="L29" s="67"/>
      <c r="M29" s="67"/>
      <c r="N29" s="67"/>
    </row>
    <row r="30" spans="1:14" ht="15.75" customHeight="1">
      <c r="A30" s="215" t="s">
        <v>584</v>
      </c>
      <c r="B30" s="65"/>
      <c r="C30" s="67"/>
      <c r="D30" s="67"/>
      <c r="E30" s="67"/>
      <c r="F30" s="67"/>
      <c r="G30" s="67"/>
      <c r="H30" s="67"/>
      <c r="I30" s="67"/>
      <c r="J30" s="67"/>
      <c r="K30" s="67"/>
      <c r="L30" s="67"/>
      <c r="M30" s="67"/>
      <c r="N30" s="67"/>
    </row>
    <row r="31" spans="1:14">
      <c r="A31" s="218" t="s">
        <v>585</v>
      </c>
      <c r="B31" s="219" t="s">
        <v>586</v>
      </c>
      <c r="C31" s="67"/>
      <c r="D31" s="67"/>
      <c r="E31" s="67"/>
      <c r="F31" s="67"/>
      <c r="G31" s="67"/>
      <c r="H31" s="67"/>
      <c r="I31" s="67"/>
      <c r="J31" s="67"/>
      <c r="K31" s="67"/>
      <c r="L31" s="67"/>
      <c r="M31" s="67"/>
      <c r="N31" s="67"/>
    </row>
    <row r="32" spans="1:14">
      <c r="A32" s="218" t="s">
        <v>587</v>
      </c>
      <c r="B32" s="219" t="s">
        <v>588</v>
      </c>
      <c r="C32" s="67"/>
      <c r="D32" s="67"/>
      <c r="E32" s="67"/>
      <c r="F32" s="67"/>
      <c r="G32" s="67"/>
      <c r="H32" s="67"/>
      <c r="I32" s="67"/>
      <c r="J32" s="67"/>
      <c r="K32" s="67"/>
      <c r="L32" s="67"/>
      <c r="M32" s="67"/>
      <c r="N32" s="67"/>
    </row>
    <row r="33" spans="1:14" ht="25.5" customHeight="1">
      <c r="A33" s="218" t="s">
        <v>589</v>
      </c>
      <c r="B33" s="219" t="s">
        <v>590</v>
      </c>
      <c r="C33" s="67"/>
      <c r="D33" s="67"/>
      <c r="E33" s="67"/>
      <c r="F33" s="67"/>
      <c r="G33" s="67"/>
      <c r="H33" s="67"/>
      <c r="I33" s="67"/>
      <c r="J33" s="67"/>
      <c r="K33" s="67"/>
      <c r="L33" s="67"/>
      <c r="M33" s="67"/>
      <c r="N33" s="67"/>
    </row>
    <row r="34" spans="1:14">
      <c r="A34" s="218" t="s">
        <v>591</v>
      </c>
      <c r="B34" s="219" t="s">
        <v>592</v>
      </c>
      <c r="C34" s="67"/>
      <c r="D34" s="67"/>
      <c r="E34" s="67"/>
      <c r="F34" s="67"/>
      <c r="G34" s="67"/>
      <c r="H34" s="67"/>
      <c r="I34" s="67"/>
      <c r="J34" s="67"/>
      <c r="K34" s="67"/>
      <c r="L34" s="67"/>
      <c r="M34" s="67"/>
      <c r="N34" s="67"/>
    </row>
    <row r="35" spans="1:14">
      <c r="A35" s="218" t="s">
        <v>593</v>
      </c>
      <c r="B35" s="219" t="s">
        <v>594</v>
      </c>
      <c r="C35" s="67"/>
      <c r="D35" s="67"/>
      <c r="E35" s="67"/>
      <c r="F35" s="67"/>
      <c r="G35" s="67"/>
      <c r="H35" s="67"/>
      <c r="I35" s="67"/>
      <c r="J35" s="67"/>
      <c r="K35" s="67"/>
      <c r="L35" s="67"/>
      <c r="M35" s="67"/>
      <c r="N35" s="67"/>
    </row>
    <row r="36" spans="1:14">
      <c r="A36" s="218" t="s">
        <v>595</v>
      </c>
      <c r="B36" s="219" t="s">
        <v>596</v>
      </c>
      <c r="C36" s="67"/>
      <c r="D36" s="67"/>
      <c r="E36" s="67"/>
      <c r="F36" s="67"/>
      <c r="G36" s="67"/>
      <c r="H36" s="67"/>
      <c r="I36" s="67"/>
      <c r="J36" s="67"/>
      <c r="K36" s="67"/>
      <c r="L36" s="67"/>
      <c r="M36" s="67"/>
      <c r="N36" s="67"/>
    </row>
    <row r="37" spans="1:14">
      <c r="A37" s="218" t="s">
        <v>597</v>
      </c>
      <c r="B37" s="219" t="s">
        <v>598</v>
      </c>
      <c r="C37" s="67"/>
      <c r="D37" s="67"/>
      <c r="E37" s="67"/>
      <c r="F37" s="67"/>
      <c r="G37" s="67"/>
      <c r="H37" s="67"/>
      <c r="I37" s="67"/>
      <c r="J37" s="67"/>
      <c r="K37" s="67"/>
      <c r="L37" s="67"/>
      <c r="M37" s="67"/>
      <c r="N37" s="67"/>
    </row>
    <row r="38" spans="1:14">
      <c r="A38" s="37"/>
      <c r="B38" s="37"/>
      <c r="C38" s="67"/>
      <c r="D38" s="67"/>
      <c r="E38" s="67"/>
      <c r="F38" s="67"/>
      <c r="G38" s="67"/>
      <c r="H38" s="67"/>
      <c r="I38" s="67"/>
      <c r="J38" s="67"/>
      <c r="K38" s="67"/>
      <c r="L38" s="67"/>
      <c r="M38" s="67"/>
      <c r="N38" s="67"/>
    </row>
    <row r="39" spans="1:14">
      <c r="A39" s="37"/>
      <c r="B39" s="37"/>
      <c r="C39" s="67"/>
      <c r="D39" s="67"/>
      <c r="E39" s="67"/>
      <c r="F39" s="67"/>
      <c r="G39" s="67"/>
      <c r="H39" s="67"/>
      <c r="I39" s="67"/>
      <c r="J39" s="67"/>
      <c r="K39" s="67"/>
      <c r="L39" s="67"/>
      <c r="M39" s="67"/>
      <c r="N39" s="67"/>
    </row>
    <row r="40" spans="1:14" ht="31.5" customHeight="1">
      <c r="A40" s="215" t="s">
        <v>599</v>
      </c>
      <c r="B40" s="37"/>
      <c r="C40" s="67"/>
      <c r="D40" s="67"/>
      <c r="E40" s="67"/>
      <c r="F40" s="67"/>
      <c r="G40" s="67"/>
      <c r="H40" s="67"/>
      <c r="I40" s="67"/>
      <c r="J40" s="67"/>
      <c r="K40" s="67"/>
      <c r="L40" s="67"/>
      <c r="M40" s="67"/>
      <c r="N40" s="67"/>
    </row>
    <row r="41" spans="1:14">
      <c r="A41" s="220" t="s">
        <v>600</v>
      </c>
      <c r="B41" s="221" t="s">
        <v>601</v>
      </c>
      <c r="C41" s="67"/>
      <c r="D41" s="67"/>
      <c r="E41" s="67"/>
      <c r="F41" s="67"/>
      <c r="G41" s="67"/>
      <c r="H41" s="67"/>
      <c r="I41" s="67"/>
      <c r="J41" s="67"/>
      <c r="K41" s="67"/>
      <c r="L41" s="67"/>
      <c r="M41" s="67"/>
      <c r="N41" s="67"/>
    </row>
    <row r="42" spans="1:14">
      <c r="A42" s="210" t="s">
        <v>600</v>
      </c>
      <c r="B42" s="212" t="s">
        <v>602</v>
      </c>
      <c r="C42" s="67"/>
      <c r="D42" s="67"/>
      <c r="E42" s="67"/>
      <c r="F42" s="67"/>
      <c r="G42" s="67"/>
      <c r="H42" s="67"/>
      <c r="I42" s="67"/>
      <c r="J42" s="67"/>
      <c r="K42" s="67"/>
      <c r="L42" s="67"/>
      <c r="M42" s="67"/>
      <c r="N42" s="67"/>
    </row>
    <row r="43" spans="1:14" ht="25.5" customHeight="1">
      <c r="A43" s="210" t="s">
        <v>603</v>
      </c>
      <c r="B43" s="212" t="s">
        <v>604</v>
      </c>
      <c r="C43" s="67"/>
      <c r="D43" s="67"/>
      <c r="E43" s="67"/>
      <c r="F43" s="67"/>
      <c r="G43" s="67"/>
      <c r="H43" s="67"/>
      <c r="I43" s="67"/>
      <c r="J43" s="67"/>
      <c r="K43" s="67"/>
      <c r="L43" s="67"/>
      <c r="M43" s="67"/>
      <c r="N43" s="67"/>
    </row>
    <row r="44" spans="1:14" ht="27" customHeight="1">
      <c r="A44" s="210" t="s">
        <v>605</v>
      </c>
      <c r="B44" s="212" t="s">
        <v>606</v>
      </c>
      <c r="C44" s="67"/>
      <c r="D44" s="67"/>
      <c r="E44" s="67"/>
      <c r="F44" s="67"/>
      <c r="G44" s="67"/>
      <c r="H44" s="67"/>
      <c r="I44" s="67"/>
      <c r="J44" s="67"/>
      <c r="K44" s="67"/>
      <c r="L44" s="67"/>
      <c r="M44" s="67"/>
      <c r="N44" s="67"/>
    </row>
    <row r="45" spans="1:14">
      <c r="A45" s="210" t="s">
        <v>607</v>
      </c>
      <c r="B45" s="212" t="s">
        <v>608</v>
      </c>
      <c r="C45" s="67"/>
      <c r="D45" s="67"/>
      <c r="E45" s="67"/>
      <c r="F45" s="67"/>
      <c r="G45" s="67"/>
      <c r="H45" s="67"/>
      <c r="I45" s="67"/>
      <c r="J45" s="67"/>
      <c r="K45" s="67"/>
      <c r="L45" s="67"/>
      <c r="M45" s="67"/>
      <c r="N45" s="67"/>
    </row>
    <row r="46" spans="1:14">
      <c r="A46" s="210" t="s">
        <v>609</v>
      </c>
      <c r="B46" s="212" t="s">
        <v>610</v>
      </c>
      <c r="C46" s="67"/>
      <c r="D46" s="67"/>
      <c r="E46" s="67"/>
      <c r="F46" s="67"/>
      <c r="G46" s="67"/>
      <c r="H46" s="67"/>
      <c r="I46" s="67"/>
      <c r="J46" s="67"/>
      <c r="K46" s="67"/>
      <c r="L46" s="67"/>
      <c r="M46" s="67"/>
      <c r="N46" s="67"/>
    </row>
    <row r="47" spans="1:14">
      <c r="A47" s="210" t="s">
        <v>611</v>
      </c>
      <c r="B47" s="212" t="s">
        <v>612</v>
      </c>
      <c r="C47" s="67"/>
      <c r="D47" s="67"/>
      <c r="E47" s="67"/>
      <c r="F47" s="67"/>
      <c r="G47" s="67"/>
      <c r="H47" s="67"/>
      <c r="I47" s="67"/>
      <c r="J47" s="67"/>
      <c r="K47" s="67"/>
      <c r="L47" s="67"/>
      <c r="M47" s="67"/>
      <c r="N47" s="67"/>
    </row>
    <row r="48" spans="1:14">
      <c r="A48" s="210" t="s">
        <v>613</v>
      </c>
      <c r="B48" s="212" t="s">
        <v>614</v>
      </c>
      <c r="C48" s="67"/>
      <c r="D48" s="67"/>
      <c r="E48" s="67"/>
      <c r="F48" s="67"/>
      <c r="G48" s="67"/>
      <c r="H48" s="67"/>
      <c r="I48" s="67"/>
      <c r="J48" s="67"/>
      <c r="K48" s="67"/>
      <c r="L48" s="67"/>
      <c r="M48" s="67"/>
      <c r="N48" s="67"/>
    </row>
    <row r="49" spans="1:14">
      <c r="A49" s="210" t="s">
        <v>615</v>
      </c>
      <c r="B49" s="212" t="s">
        <v>616</v>
      </c>
      <c r="C49" s="67"/>
      <c r="D49" s="67"/>
      <c r="E49" s="67"/>
      <c r="F49" s="67"/>
      <c r="G49" s="67"/>
      <c r="H49" s="67"/>
      <c r="I49" s="67"/>
      <c r="J49" s="67"/>
      <c r="K49" s="67"/>
      <c r="L49" s="67"/>
      <c r="M49" s="67"/>
      <c r="N49" s="67"/>
    </row>
    <row r="50" spans="1:14">
      <c r="A50" s="213" t="s">
        <v>617</v>
      </c>
      <c r="B50" s="214" t="s">
        <v>618</v>
      </c>
      <c r="C50" s="67"/>
      <c r="D50" s="67"/>
      <c r="E50" s="67"/>
      <c r="F50" s="67"/>
      <c r="G50" s="67"/>
      <c r="H50" s="67"/>
      <c r="I50" s="67"/>
      <c r="J50" s="67"/>
      <c r="K50" s="67"/>
      <c r="L50" s="67"/>
      <c r="M50" s="67"/>
      <c r="N50" s="6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74"/>
  <sheetViews>
    <sheetView topLeftCell="A56" workbookViewId="0">
      <selection activeCell="A70" sqref="A70"/>
    </sheetView>
  </sheetViews>
  <sheetFormatPr defaultRowHeight="15"/>
  <cols>
    <col min="1" max="1" width="133.28515625" style="1" customWidth="1"/>
  </cols>
  <sheetData>
    <row r="1" spans="1:1" s="15" customFormat="1" ht="33.950000000000003" customHeight="1">
      <c r="A1" s="259" t="s">
        <v>619</v>
      </c>
    </row>
    <row r="2" spans="1:1">
      <c r="A2" s="56" t="s">
        <v>620</v>
      </c>
    </row>
    <row r="3" spans="1:1" ht="20.100000000000001" customHeight="1">
      <c r="A3" s="37"/>
    </row>
    <row r="4" spans="1:1" ht="20.100000000000001" customHeight="1">
      <c r="A4" s="68" t="s">
        <v>621</v>
      </c>
    </row>
    <row r="5" spans="1:1" ht="20.100000000000001" customHeight="1">
      <c r="A5" s="37"/>
    </row>
    <row r="6" spans="1:1" ht="20.100000000000001" customHeight="1">
      <c r="A6" s="69" t="s">
        <v>622</v>
      </c>
    </row>
    <row r="7" spans="1:1" ht="20.100000000000001" customHeight="1">
      <c r="A7" s="37" t="s">
        <v>522</v>
      </c>
    </row>
    <row r="8" spans="1:1" ht="20.100000000000001" customHeight="1">
      <c r="A8" s="70" t="s">
        <v>623</v>
      </c>
    </row>
    <row r="9" spans="1:1" ht="20.100000000000001" customHeight="1">
      <c r="A9" s="37" t="s">
        <v>624</v>
      </c>
    </row>
    <row r="10" spans="1:1" ht="20.100000000000001" customHeight="1">
      <c r="A10" s="37" t="s">
        <v>625</v>
      </c>
    </row>
    <row r="11" spans="1:1" ht="20.100000000000001" customHeight="1">
      <c r="A11" s="37" t="s">
        <v>626</v>
      </c>
    </row>
    <row r="12" spans="1:1" ht="20.100000000000001" customHeight="1">
      <c r="A12" s="37" t="s">
        <v>522</v>
      </c>
    </row>
    <row r="13" spans="1:1" ht="20.100000000000001" customHeight="1">
      <c r="A13" s="70" t="s">
        <v>627</v>
      </c>
    </row>
    <row r="14" spans="1:1" ht="20.100000000000001" customHeight="1">
      <c r="A14" s="37" t="s">
        <v>628</v>
      </c>
    </row>
    <row r="15" spans="1:1" ht="20.100000000000001" customHeight="1">
      <c r="A15" s="37" t="s">
        <v>629</v>
      </c>
    </row>
    <row r="16" spans="1:1" ht="20.100000000000001" customHeight="1">
      <c r="A16" s="37" t="s">
        <v>630</v>
      </c>
    </row>
    <row r="17" spans="1:1" ht="20.100000000000001" customHeight="1">
      <c r="A17" s="37" t="s">
        <v>631</v>
      </c>
    </row>
    <row r="18" spans="1:1" ht="20.100000000000001" customHeight="1">
      <c r="A18" s="37" t="s">
        <v>522</v>
      </c>
    </row>
    <row r="19" spans="1:1" ht="20.100000000000001" customHeight="1">
      <c r="A19" s="70" t="s">
        <v>632</v>
      </c>
    </row>
    <row r="20" spans="1:1" ht="20.100000000000001" customHeight="1">
      <c r="A20" s="37" t="s">
        <v>633</v>
      </c>
    </row>
    <row r="21" spans="1:1" ht="20.100000000000001" customHeight="1">
      <c r="A21" s="37" t="s">
        <v>634</v>
      </c>
    </row>
    <row r="22" spans="1:1" ht="20.100000000000001" customHeight="1">
      <c r="A22" s="37" t="s">
        <v>635</v>
      </c>
    </row>
    <row r="23" spans="1:1" ht="20.100000000000001" customHeight="1">
      <c r="A23" s="37" t="s">
        <v>636</v>
      </c>
    </row>
    <row r="24" spans="1:1" ht="20.100000000000001" customHeight="1">
      <c r="A24" s="37" t="s">
        <v>522</v>
      </c>
    </row>
    <row r="25" spans="1:1" ht="20.100000000000001" customHeight="1">
      <c r="A25" s="70" t="s">
        <v>637</v>
      </c>
    </row>
    <row r="26" spans="1:1" ht="20.100000000000001" customHeight="1">
      <c r="A26" s="37" t="s">
        <v>638</v>
      </c>
    </row>
    <row r="27" spans="1:1" ht="20.100000000000001" customHeight="1">
      <c r="A27" s="37" t="s">
        <v>639</v>
      </c>
    </row>
    <row r="28" spans="1:1" ht="20.100000000000001" customHeight="1">
      <c r="A28" s="37" t="s">
        <v>522</v>
      </c>
    </row>
    <row r="29" spans="1:1" ht="20.100000000000001" customHeight="1">
      <c r="A29" s="70" t="s">
        <v>640</v>
      </c>
    </row>
    <row r="30" spans="1:1" ht="20.100000000000001" customHeight="1">
      <c r="A30" s="37" t="s">
        <v>641</v>
      </c>
    </row>
    <row r="31" spans="1:1" ht="20.100000000000001" customHeight="1">
      <c r="A31" s="37" t="s">
        <v>642</v>
      </c>
    </row>
    <row r="32" spans="1:1" ht="20.100000000000001" customHeight="1">
      <c r="A32" s="37" t="s">
        <v>643</v>
      </c>
    </row>
    <row r="33" spans="1:1" ht="20.100000000000001" customHeight="1">
      <c r="A33" s="37" t="s">
        <v>522</v>
      </c>
    </row>
    <row r="34" spans="1:1" ht="20.100000000000001" customHeight="1">
      <c r="A34" s="69" t="s">
        <v>644</v>
      </c>
    </row>
    <row r="35" spans="1:1" ht="20.100000000000001" customHeight="1">
      <c r="A35" s="37" t="s">
        <v>522</v>
      </c>
    </row>
    <row r="36" spans="1:1" ht="20.100000000000001" customHeight="1">
      <c r="A36" s="70" t="s">
        <v>645</v>
      </c>
    </row>
    <row r="37" spans="1:1" ht="20.100000000000001" customHeight="1">
      <c r="A37" s="37" t="s">
        <v>646</v>
      </c>
    </row>
    <row r="38" spans="1:1" ht="20.100000000000001" customHeight="1">
      <c r="A38" s="37" t="s">
        <v>647</v>
      </c>
    </row>
    <row r="39" spans="1:1" ht="20.100000000000001" customHeight="1">
      <c r="A39" s="37" t="s">
        <v>648</v>
      </c>
    </row>
    <row r="40" spans="1:1" ht="20.100000000000001" customHeight="1">
      <c r="A40" s="37" t="s">
        <v>522</v>
      </c>
    </row>
    <row r="41" spans="1:1" ht="20.100000000000001" customHeight="1">
      <c r="A41" s="70" t="s">
        <v>649</v>
      </c>
    </row>
    <row r="42" spans="1:1" ht="20.100000000000001" customHeight="1">
      <c r="A42" s="37" t="s">
        <v>650</v>
      </c>
    </row>
    <row r="43" spans="1:1" ht="20.100000000000001" customHeight="1">
      <c r="A43" s="37" t="s">
        <v>651</v>
      </c>
    </row>
    <row r="44" spans="1:1" ht="20.100000000000001" customHeight="1">
      <c r="A44" s="37" t="s">
        <v>522</v>
      </c>
    </row>
    <row r="45" spans="1:1" ht="20.100000000000001" customHeight="1">
      <c r="A45" s="70" t="s">
        <v>652</v>
      </c>
    </row>
    <row r="46" spans="1:1" ht="20.100000000000001" customHeight="1">
      <c r="A46" s="37" t="s">
        <v>653</v>
      </c>
    </row>
    <row r="47" spans="1:1" ht="20.100000000000001" customHeight="1">
      <c r="A47" s="37" t="s">
        <v>654</v>
      </c>
    </row>
    <row r="48" spans="1:1">
      <c r="A48" s="37" t="s">
        <v>655</v>
      </c>
    </row>
    <row r="49" spans="1:1">
      <c r="A49" s="37" t="s">
        <v>656</v>
      </c>
    </row>
    <row r="50" spans="1:1">
      <c r="A50" s="37" t="s">
        <v>657</v>
      </c>
    </row>
    <row r="51" spans="1:1">
      <c r="A51" s="37" t="s">
        <v>522</v>
      </c>
    </row>
    <row r="52" spans="1:1" ht="26.25" customHeight="1">
      <c r="A52" s="69" t="s">
        <v>658</v>
      </c>
    </row>
    <row r="53" spans="1:1">
      <c r="A53" s="37" t="s">
        <v>522</v>
      </c>
    </row>
    <row r="54" spans="1:1">
      <c r="A54" s="68" t="s">
        <v>659</v>
      </c>
    </row>
    <row r="55" spans="1:1">
      <c r="A55" s="37" t="s">
        <v>522</v>
      </c>
    </row>
    <row r="56" spans="1:1">
      <c r="A56" s="69" t="s">
        <v>660</v>
      </c>
    </row>
    <row r="57" spans="1:1">
      <c r="A57" s="37" t="s">
        <v>661</v>
      </c>
    </row>
    <row r="58" spans="1:1">
      <c r="A58" s="37" t="s">
        <v>662</v>
      </c>
    </row>
    <row r="59" spans="1:1">
      <c r="A59" s="37" t="s">
        <v>663</v>
      </c>
    </row>
    <row r="60" spans="1:1">
      <c r="A60" s="37" t="s">
        <v>664</v>
      </c>
    </row>
    <row r="61" spans="1:1">
      <c r="A61" s="37" t="s">
        <v>665</v>
      </c>
    </row>
    <row r="62" spans="1:1">
      <c r="A62" s="37" t="s">
        <v>666</v>
      </c>
    </row>
    <row r="63" spans="1:1">
      <c r="A63" s="37" t="s">
        <v>667</v>
      </c>
    </row>
    <row r="64" spans="1:1" ht="26.25" customHeight="1">
      <c r="A64" s="68" t="s">
        <v>668</v>
      </c>
    </row>
    <row r="65" spans="1:1" ht="26.25" customHeight="1">
      <c r="A65" s="71" t="s">
        <v>669</v>
      </c>
    </row>
    <row r="66" spans="1:1">
      <c r="A66" s="72" t="s">
        <v>664</v>
      </c>
    </row>
    <row r="67" spans="1:1">
      <c r="A67" s="72" t="s">
        <v>670</v>
      </c>
    </row>
    <row r="68" spans="1:1">
      <c r="A68" s="72" t="s">
        <v>671</v>
      </c>
    </row>
    <row r="69" spans="1:1">
      <c r="A69" s="72" t="s">
        <v>672</v>
      </c>
    </row>
    <row r="70" spans="1:1">
      <c r="A70" s="72" t="s">
        <v>673</v>
      </c>
    </row>
    <row r="71" spans="1:1">
      <c r="A71" s="72" t="s">
        <v>674</v>
      </c>
    </row>
    <row r="72" spans="1:1">
      <c r="A72" s="37"/>
    </row>
    <row r="73" spans="1:1" ht="39" customHeight="1">
      <c r="A73" s="69" t="s">
        <v>675</v>
      </c>
    </row>
    <row r="74" spans="1:1" ht="26.25" customHeight="1">
      <c r="A74" s="73" t="s">
        <v>676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8"/>
  <sheetViews>
    <sheetView topLeftCell="D1" workbookViewId="0">
      <pane ySplit="1" topLeftCell="A2" activePane="bottomLeft" state="frozen"/>
      <selection pane="bottomLeft" sqref="A1:B29"/>
    </sheetView>
  </sheetViews>
  <sheetFormatPr defaultRowHeight="15"/>
  <cols>
    <col min="1" max="1" width="10" customWidth="1"/>
    <col min="2" max="2" width="32" style="1" customWidth="1"/>
    <col min="3" max="3" width="14" customWidth="1"/>
    <col min="4" max="4" width="55" style="1" customWidth="1"/>
    <col min="5" max="6" width="14" customWidth="1"/>
    <col min="8" max="8" width="22" customWidth="1"/>
  </cols>
  <sheetData>
    <row r="1" spans="1:6" ht="27.95" customHeight="1">
      <c r="A1" s="260" t="s">
        <v>677</v>
      </c>
      <c r="B1" s="261" t="s">
        <v>207</v>
      </c>
      <c r="C1" s="261" t="s">
        <v>187</v>
      </c>
      <c r="D1" s="261" t="s">
        <v>678</v>
      </c>
      <c r="E1" s="261" t="s">
        <v>679</v>
      </c>
      <c r="F1" s="262" t="s">
        <v>680</v>
      </c>
    </row>
    <row r="2" spans="1:6" ht="39.950000000000003" customHeight="1">
      <c r="A2" s="222" t="s">
        <v>681</v>
      </c>
      <c r="B2" s="223" t="s">
        <v>682</v>
      </c>
      <c r="C2" s="224" t="s">
        <v>189</v>
      </c>
      <c r="D2" s="223" t="s">
        <v>683</v>
      </c>
      <c r="E2" s="225" t="s">
        <v>684</v>
      </c>
      <c r="F2" s="226" t="s">
        <v>685</v>
      </c>
    </row>
    <row r="3" spans="1:6" ht="39.950000000000003" customHeight="1">
      <c r="A3" s="227" t="s">
        <v>686</v>
      </c>
      <c r="B3" s="228" t="s">
        <v>687</v>
      </c>
      <c r="C3" s="229" t="s">
        <v>189</v>
      </c>
      <c r="D3" s="228" t="s">
        <v>688</v>
      </c>
      <c r="E3" s="230" t="s">
        <v>684</v>
      </c>
      <c r="F3" s="231" t="s">
        <v>685</v>
      </c>
    </row>
    <row r="4" spans="1:6" ht="39.950000000000003" customHeight="1">
      <c r="A4" s="222" t="s">
        <v>689</v>
      </c>
      <c r="B4" s="223" t="s">
        <v>690</v>
      </c>
      <c r="C4" s="224" t="s">
        <v>189</v>
      </c>
      <c r="D4" s="223" t="s">
        <v>691</v>
      </c>
      <c r="E4" s="225" t="s">
        <v>684</v>
      </c>
      <c r="F4" s="226" t="s">
        <v>685</v>
      </c>
    </row>
    <row r="5" spans="1:6" ht="39.950000000000003" customHeight="1">
      <c r="A5" s="227" t="s">
        <v>692</v>
      </c>
      <c r="B5" s="228" t="s">
        <v>693</v>
      </c>
      <c r="C5" s="229" t="s">
        <v>189</v>
      </c>
      <c r="D5" s="228" t="s">
        <v>694</v>
      </c>
      <c r="E5" s="230" t="s">
        <v>684</v>
      </c>
      <c r="F5" s="231" t="s">
        <v>685</v>
      </c>
    </row>
    <row r="6" spans="1:6" ht="39.950000000000003" customHeight="1">
      <c r="A6" s="222" t="s">
        <v>695</v>
      </c>
      <c r="B6" s="223" t="s">
        <v>696</v>
      </c>
      <c r="C6" s="224" t="s">
        <v>189</v>
      </c>
      <c r="D6" s="223" t="s">
        <v>697</v>
      </c>
      <c r="E6" s="225" t="s">
        <v>698</v>
      </c>
      <c r="F6" s="226" t="s">
        <v>699</v>
      </c>
    </row>
    <row r="7" spans="1:6" ht="39.950000000000003" customHeight="1">
      <c r="A7" s="227" t="s">
        <v>700</v>
      </c>
      <c r="B7" s="228" t="s">
        <v>701</v>
      </c>
      <c r="C7" s="229" t="s">
        <v>189</v>
      </c>
      <c r="D7" s="228" t="s">
        <v>702</v>
      </c>
      <c r="E7" s="230" t="s">
        <v>698</v>
      </c>
      <c r="F7" s="231" t="s">
        <v>699</v>
      </c>
    </row>
    <row r="8" spans="1:6" ht="39.950000000000003" customHeight="1">
      <c r="A8" s="222" t="s">
        <v>703</v>
      </c>
      <c r="B8" s="223" t="s">
        <v>704</v>
      </c>
      <c r="C8" s="224" t="s">
        <v>189</v>
      </c>
      <c r="D8" s="223" t="s">
        <v>705</v>
      </c>
      <c r="E8" s="225" t="s">
        <v>698</v>
      </c>
      <c r="F8" s="226" t="s">
        <v>699</v>
      </c>
    </row>
    <row r="9" spans="1:6" ht="39.950000000000003" customHeight="1">
      <c r="A9" s="227" t="s">
        <v>706</v>
      </c>
      <c r="B9" s="228" t="s">
        <v>707</v>
      </c>
      <c r="C9" s="229" t="s">
        <v>189</v>
      </c>
      <c r="D9" s="228" t="s">
        <v>708</v>
      </c>
      <c r="E9" s="230" t="s">
        <v>698</v>
      </c>
      <c r="F9" s="231" t="s">
        <v>699</v>
      </c>
    </row>
    <row r="10" spans="1:6" ht="39.950000000000003" customHeight="1">
      <c r="A10" s="222" t="s">
        <v>709</v>
      </c>
      <c r="B10" s="223" t="s">
        <v>710</v>
      </c>
      <c r="C10" s="224" t="s">
        <v>189</v>
      </c>
      <c r="D10" s="223" t="s">
        <v>711</v>
      </c>
      <c r="E10" s="225" t="s">
        <v>698</v>
      </c>
      <c r="F10" s="226" t="s">
        <v>699</v>
      </c>
    </row>
    <row r="11" spans="1:6" ht="39.950000000000003" customHeight="1">
      <c r="A11" s="227" t="s">
        <v>712</v>
      </c>
      <c r="B11" s="228" t="s">
        <v>713</v>
      </c>
      <c r="C11" s="229" t="s">
        <v>189</v>
      </c>
      <c r="D11" s="228" t="s">
        <v>714</v>
      </c>
      <c r="E11" s="230" t="s">
        <v>698</v>
      </c>
      <c r="F11" s="231" t="s">
        <v>699</v>
      </c>
    </row>
    <row r="12" spans="1:6" ht="39.950000000000003" customHeight="1">
      <c r="A12" s="222" t="s">
        <v>715</v>
      </c>
      <c r="B12" s="223" t="s">
        <v>716</v>
      </c>
      <c r="C12" s="224" t="s">
        <v>189</v>
      </c>
      <c r="D12" s="223" t="s">
        <v>717</v>
      </c>
      <c r="E12" s="225" t="s">
        <v>718</v>
      </c>
      <c r="F12" s="226" t="s">
        <v>719</v>
      </c>
    </row>
    <row r="13" spans="1:6" ht="39.950000000000003" customHeight="1">
      <c r="A13" s="227" t="s">
        <v>720</v>
      </c>
      <c r="B13" s="228" t="s">
        <v>721</v>
      </c>
      <c r="C13" s="229" t="s">
        <v>189</v>
      </c>
      <c r="D13" s="228" t="s">
        <v>722</v>
      </c>
      <c r="E13" s="230"/>
      <c r="F13" s="231" t="s">
        <v>719</v>
      </c>
    </row>
    <row r="14" spans="1:6" ht="39.950000000000003" customHeight="1">
      <c r="A14" s="222" t="s">
        <v>723</v>
      </c>
      <c r="B14" s="223" t="s">
        <v>724</v>
      </c>
      <c r="C14" s="224" t="s">
        <v>189</v>
      </c>
      <c r="D14" s="223" t="s">
        <v>725</v>
      </c>
      <c r="E14" s="225" t="s">
        <v>726</v>
      </c>
      <c r="F14" s="226" t="s">
        <v>727</v>
      </c>
    </row>
    <row r="15" spans="1:6" ht="39.950000000000003" customHeight="1">
      <c r="A15" s="227" t="s">
        <v>728</v>
      </c>
      <c r="B15" s="228" t="s">
        <v>729</v>
      </c>
      <c r="C15" s="229" t="s">
        <v>189</v>
      </c>
      <c r="D15" s="228" t="s">
        <v>730</v>
      </c>
      <c r="E15" s="230" t="s">
        <v>726</v>
      </c>
      <c r="F15" s="231" t="s">
        <v>727</v>
      </c>
    </row>
    <row r="16" spans="1:6" ht="39.950000000000003" customHeight="1">
      <c r="A16" s="222" t="s">
        <v>731</v>
      </c>
      <c r="B16" s="223" t="s">
        <v>732</v>
      </c>
      <c r="C16" s="224" t="s">
        <v>189</v>
      </c>
      <c r="D16" s="223" t="s">
        <v>733</v>
      </c>
      <c r="E16" s="225" t="s">
        <v>726</v>
      </c>
      <c r="F16" s="226" t="s">
        <v>727</v>
      </c>
    </row>
    <row r="17" spans="1:6" ht="39.950000000000003" customHeight="1">
      <c r="A17" s="227" t="s">
        <v>734</v>
      </c>
      <c r="B17" s="228" t="s">
        <v>735</v>
      </c>
      <c r="C17" s="229" t="s">
        <v>189</v>
      </c>
      <c r="D17" s="228" t="s">
        <v>736</v>
      </c>
      <c r="E17" s="230" t="s">
        <v>726</v>
      </c>
      <c r="F17" s="231" t="s">
        <v>727</v>
      </c>
    </row>
    <row r="18" spans="1:6" ht="39.950000000000003" customHeight="1">
      <c r="A18" s="222" t="s">
        <v>737</v>
      </c>
      <c r="B18" s="223" t="s">
        <v>738</v>
      </c>
      <c r="C18" s="224" t="s">
        <v>189</v>
      </c>
      <c r="D18" s="223" t="s">
        <v>739</v>
      </c>
      <c r="E18" s="225" t="s">
        <v>718</v>
      </c>
      <c r="F18" s="226" t="s">
        <v>740</v>
      </c>
    </row>
    <row r="19" spans="1:6" ht="39.950000000000003" customHeight="1">
      <c r="A19" s="227" t="s">
        <v>741</v>
      </c>
      <c r="B19" s="228" t="s">
        <v>742</v>
      </c>
      <c r="C19" s="229" t="s">
        <v>189</v>
      </c>
      <c r="D19" s="228" t="s">
        <v>743</v>
      </c>
      <c r="E19" s="230" t="s">
        <v>718</v>
      </c>
      <c r="F19" s="231" t="s">
        <v>740</v>
      </c>
    </row>
    <row r="20" spans="1:6" ht="39.950000000000003" customHeight="1">
      <c r="A20" s="222" t="s">
        <v>744</v>
      </c>
      <c r="B20" s="223" t="s">
        <v>745</v>
      </c>
      <c r="C20" s="224" t="s">
        <v>189</v>
      </c>
      <c r="D20" s="223" t="s">
        <v>746</v>
      </c>
      <c r="E20" s="225" t="s">
        <v>726</v>
      </c>
      <c r="F20" s="226" t="s">
        <v>727</v>
      </c>
    </row>
    <row r="21" spans="1:6" ht="39.950000000000003" customHeight="1">
      <c r="A21" s="227" t="s">
        <v>747</v>
      </c>
      <c r="B21" s="228" t="s">
        <v>748</v>
      </c>
      <c r="C21" s="229" t="s">
        <v>189</v>
      </c>
      <c r="D21" s="228" t="s">
        <v>749</v>
      </c>
      <c r="E21" s="230" t="s">
        <v>726</v>
      </c>
      <c r="F21" s="231" t="s">
        <v>727</v>
      </c>
    </row>
    <row r="22" spans="1:6" ht="39.950000000000003" customHeight="1">
      <c r="A22" s="222" t="s">
        <v>750</v>
      </c>
      <c r="B22" s="223" t="s">
        <v>751</v>
      </c>
      <c r="C22" s="224" t="s">
        <v>189</v>
      </c>
      <c r="D22" s="223" t="s">
        <v>752</v>
      </c>
      <c r="E22" s="225" t="s">
        <v>726</v>
      </c>
      <c r="F22" s="226" t="s">
        <v>727</v>
      </c>
    </row>
    <row r="23" spans="1:6" ht="39.950000000000003" customHeight="1">
      <c r="A23" s="227" t="s">
        <v>753</v>
      </c>
      <c r="B23" s="228" t="s">
        <v>754</v>
      </c>
      <c r="C23" s="229" t="s">
        <v>189</v>
      </c>
      <c r="D23" s="228" t="s">
        <v>755</v>
      </c>
      <c r="E23" s="230" t="s">
        <v>718</v>
      </c>
      <c r="F23" s="231" t="s">
        <v>756</v>
      </c>
    </row>
    <row r="24" spans="1:6" ht="39.950000000000003" customHeight="1">
      <c r="A24" s="222" t="s">
        <v>757</v>
      </c>
      <c r="B24" s="223" t="s">
        <v>758</v>
      </c>
      <c r="C24" s="224" t="s">
        <v>189</v>
      </c>
      <c r="D24" s="223" t="s">
        <v>759</v>
      </c>
      <c r="E24" s="225" t="s">
        <v>726</v>
      </c>
      <c r="F24" s="226" t="s">
        <v>760</v>
      </c>
    </row>
    <row r="25" spans="1:6" ht="39.950000000000003" customHeight="1">
      <c r="A25" s="227" t="s">
        <v>761</v>
      </c>
      <c r="B25" s="228" t="s">
        <v>762</v>
      </c>
      <c r="C25" s="229" t="s">
        <v>189</v>
      </c>
      <c r="D25" s="228" t="s">
        <v>763</v>
      </c>
      <c r="E25" s="230" t="s">
        <v>726</v>
      </c>
      <c r="F25" s="231" t="s">
        <v>760</v>
      </c>
    </row>
    <row r="26" spans="1:6" ht="39.950000000000003" customHeight="1">
      <c r="A26" s="222" t="s">
        <v>764</v>
      </c>
      <c r="B26" s="223" t="s">
        <v>765</v>
      </c>
      <c r="C26" s="224" t="s">
        <v>189</v>
      </c>
      <c r="D26" s="223" t="s">
        <v>766</v>
      </c>
      <c r="E26" s="225" t="s">
        <v>726</v>
      </c>
      <c r="F26" s="226" t="s">
        <v>760</v>
      </c>
    </row>
    <row r="27" spans="1:6" ht="39.950000000000003" customHeight="1">
      <c r="A27" s="227" t="s">
        <v>767</v>
      </c>
      <c r="B27" s="228" t="s">
        <v>768</v>
      </c>
      <c r="C27" s="229" t="s">
        <v>189</v>
      </c>
      <c r="D27" s="228" t="s">
        <v>769</v>
      </c>
      <c r="E27" s="230" t="s">
        <v>726</v>
      </c>
      <c r="F27" s="231" t="s">
        <v>727</v>
      </c>
    </row>
    <row r="28" spans="1:6" ht="39.950000000000003" customHeight="1">
      <c r="A28" s="232" t="s">
        <v>770</v>
      </c>
      <c r="B28" s="233" t="s">
        <v>771</v>
      </c>
      <c r="C28" s="234" t="s">
        <v>189</v>
      </c>
      <c r="D28" s="233" t="s">
        <v>772</v>
      </c>
      <c r="E28" s="235" t="s">
        <v>718</v>
      </c>
      <c r="F28" s="236" t="s">
        <v>773</v>
      </c>
    </row>
    <row r="29" spans="1:6" ht="39.950000000000003" customHeight="1">
      <c r="A29" s="237" t="s">
        <v>774</v>
      </c>
      <c r="B29" s="202" t="s">
        <v>775</v>
      </c>
      <c r="C29" s="239" t="s">
        <v>776</v>
      </c>
      <c r="D29" s="202" t="s">
        <v>777</v>
      </c>
      <c r="E29" s="276"/>
      <c r="F29" s="202" t="s">
        <v>778</v>
      </c>
    </row>
    <row r="30" spans="1:6" ht="39.950000000000003" customHeight="1">
      <c r="A30" s="237" t="s">
        <v>779</v>
      </c>
      <c r="B30" s="202" t="s">
        <v>780</v>
      </c>
      <c r="C30" s="239" t="s">
        <v>781</v>
      </c>
      <c r="D30" s="202" t="s">
        <v>782</v>
      </c>
      <c r="E30" s="276" t="s">
        <v>783</v>
      </c>
      <c r="F30" s="202" t="s">
        <v>271</v>
      </c>
    </row>
    <row r="31" spans="1:6" ht="39.950000000000003" customHeight="1">
      <c r="A31" s="237" t="s">
        <v>784</v>
      </c>
      <c r="B31" s="202" t="s">
        <v>785</v>
      </c>
      <c r="C31" s="239" t="s">
        <v>786</v>
      </c>
      <c r="D31" s="202" t="s">
        <v>787</v>
      </c>
      <c r="E31" s="276"/>
      <c r="F31" s="202" t="s">
        <v>778</v>
      </c>
    </row>
    <row r="32" spans="1:6" ht="39.950000000000003" customHeight="1">
      <c r="A32" s="237" t="s">
        <v>788</v>
      </c>
      <c r="B32" s="202" t="s">
        <v>789</v>
      </c>
      <c r="C32" s="239" t="s">
        <v>790</v>
      </c>
      <c r="D32" s="202" t="s">
        <v>791</v>
      </c>
      <c r="E32" s="276" t="s">
        <v>783</v>
      </c>
      <c r="F32" s="202" t="s">
        <v>271</v>
      </c>
    </row>
    <row r="33" spans="1:6" ht="39.950000000000003" customHeight="1">
      <c r="A33" s="237" t="s">
        <v>792</v>
      </c>
      <c r="B33" s="202" t="s">
        <v>793</v>
      </c>
      <c r="C33" s="239" t="s">
        <v>794</v>
      </c>
      <c r="D33" s="202" t="s">
        <v>795</v>
      </c>
      <c r="E33" s="276" t="s">
        <v>783</v>
      </c>
      <c r="F33" s="202" t="s">
        <v>271</v>
      </c>
    </row>
    <row r="34" spans="1:6" ht="39.950000000000003" customHeight="1">
      <c r="A34" s="237" t="s">
        <v>796</v>
      </c>
      <c r="B34" s="202" t="s">
        <v>797</v>
      </c>
      <c r="C34" s="239" t="s">
        <v>798</v>
      </c>
      <c r="D34" s="202" t="s">
        <v>799</v>
      </c>
      <c r="E34" s="276" t="s">
        <v>783</v>
      </c>
      <c r="F34" s="202" t="s">
        <v>271</v>
      </c>
    </row>
    <row r="35" spans="1:6" ht="39.950000000000003" customHeight="1">
      <c r="A35" s="237" t="s">
        <v>800</v>
      </c>
      <c r="B35" s="202" t="s">
        <v>801</v>
      </c>
      <c r="C35" s="239" t="s">
        <v>802</v>
      </c>
      <c r="D35" s="202" t="s">
        <v>803</v>
      </c>
      <c r="E35" s="276" t="s">
        <v>783</v>
      </c>
      <c r="F35" s="202" t="s">
        <v>271</v>
      </c>
    </row>
    <row r="36" spans="1:6" ht="39.950000000000003" customHeight="1">
      <c r="A36" s="237" t="s">
        <v>804</v>
      </c>
      <c r="B36" s="202" t="s">
        <v>805</v>
      </c>
      <c r="C36" s="239" t="s">
        <v>806</v>
      </c>
      <c r="D36" s="202" t="s">
        <v>807</v>
      </c>
      <c r="E36" s="276" t="s">
        <v>783</v>
      </c>
      <c r="F36" s="202" t="s">
        <v>271</v>
      </c>
    </row>
    <row r="37" spans="1:6">
      <c r="A37" s="8"/>
      <c r="C37" s="7"/>
      <c r="E37" s="7"/>
      <c r="F37" s="7"/>
    </row>
    <row r="38" spans="1:6">
      <c r="A38" s="8"/>
      <c r="C38" s="7"/>
      <c r="E38" s="7"/>
      <c r="F38"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8"/>
  <sheetViews>
    <sheetView workbookViewId="0">
      <pane ySplit="1" topLeftCell="A2" activePane="bottomLeft" state="frozen"/>
      <selection pane="bottomLeft" activeCell="H16" sqref="H15:H16"/>
    </sheetView>
  </sheetViews>
  <sheetFormatPr defaultRowHeight="15"/>
  <cols>
    <col min="1" max="1" width="8" customWidth="1"/>
    <col min="2" max="2" width="55" style="1" customWidth="1"/>
    <col min="3" max="5" width="10" bestFit="1" customWidth="1"/>
    <col min="6" max="6" width="16" style="1" customWidth="1"/>
    <col min="7" max="7" width="40" style="1" customWidth="1"/>
  </cols>
  <sheetData>
    <row r="1" spans="1:7" s="15" customFormat="1" ht="27.95" customHeight="1">
      <c r="A1" s="263" t="s">
        <v>808</v>
      </c>
      <c r="B1" s="263" t="s">
        <v>809</v>
      </c>
      <c r="C1" s="263" t="s">
        <v>810</v>
      </c>
      <c r="D1" s="263" t="s">
        <v>337</v>
      </c>
      <c r="E1" s="263" t="s">
        <v>811</v>
      </c>
      <c r="F1" s="263" t="s">
        <v>187</v>
      </c>
      <c r="G1" s="263" t="s">
        <v>812</v>
      </c>
    </row>
    <row r="2" spans="1:7" ht="54.95" customHeight="1">
      <c r="A2" s="237" t="s">
        <v>813</v>
      </c>
      <c r="B2" s="202" t="s">
        <v>814</v>
      </c>
      <c r="C2" s="202" t="s">
        <v>815</v>
      </c>
      <c r="D2" s="202" t="s">
        <v>816</v>
      </c>
      <c r="E2" s="238" t="s">
        <v>817</v>
      </c>
      <c r="F2" s="239" t="s">
        <v>390</v>
      </c>
      <c r="G2" s="202" t="s">
        <v>818</v>
      </c>
    </row>
    <row r="3" spans="1:7" ht="54.95" customHeight="1">
      <c r="A3" s="240" t="s">
        <v>813</v>
      </c>
      <c r="B3" s="203" t="s">
        <v>819</v>
      </c>
      <c r="C3" s="203" t="s">
        <v>815</v>
      </c>
      <c r="D3" s="203" t="s">
        <v>816</v>
      </c>
      <c r="E3" s="241" t="s">
        <v>817</v>
      </c>
      <c r="F3" s="242" t="s">
        <v>189</v>
      </c>
      <c r="G3" s="203" t="s">
        <v>820</v>
      </c>
    </row>
    <row r="4" spans="1:7" ht="54.95" customHeight="1">
      <c r="A4" s="237" t="s">
        <v>821</v>
      </c>
      <c r="B4" s="202" t="s">
        <v>822</v>
      </c>
      <c r="C4" s="202" t="s">
        <v>815</v>
      </c>
      <c r="D4" s="202" t="s">
        <v>816</v>
      </c>
      <c r="E4" s="238" t="s">
        <v>817</v>
      </c>
      <c r="F4" s="239" t="s">
        <v>823</v>
      </c>
      <c r="G4" s="202" t="s">
        <v>824</v>
      </c>
    </row>
    <row r="5" spans="1:7" ht="54.95" customHeight="1">
      <c r="A5" s="240" t="s">
        <v>825</v>
      </c>
      <c r="B5" s="203" t="s">
        <v>826</v>
      </c>
      <c r="C5" s="203" t="s">
        <v>815</v>
      </c>
      <c r="D5" s="203" t="s">
        <v>816</v>
      </c>
      <c r="E5" s="241" t="s">
        <v>817</v>
      </c>
      <c r="F5" s="242" t="s">
        <v>827</v>
      </c>
      <c r="G5" s="203" t="s">
        <v>828</v>
      </c>
    </row>
    <row r="6" spans="1:7" ht="54.95" customHeight="1">
      <c r="A6" s="237" t="s">
        <v>829</v>
      </c>
      <c r="B6" s="202" t="s">
        <v>830</v>
      </c>
      <c r="C6" s="202" t="s">
        <v>815</v>
      </c>
      <c r="D6" s="202" t="s">
        <v>816</v>
      </c>
      <c r="E6" s="238" t="s">
        <v>817</v>
      </c>
      <c r="F6" s="239" t="s">
        <v>827</v>
      </c>
      <c r="G6" s="202" t="s">
        <v>831</v>
      </c>
    </row>
    <row r="7" spans="1:7" ht="54.95" customHeight="1">
      <c r="A7" s="240" t="s">
        <v>832</v>
      </c>
      <c r="B7" s="203" t="s">
        <v>833</v>
      </c>
      <c r="C7" s="203" t="s">
        <v>815</v>
      </c>
      <c r="D7" s="203" t="s">
        <v>816</v>
      </c>
      <c r="E7" s="241" t="s">
        <v>817</v>
      </c>
      <c r="F7" s="242" t="s">
        <v>827</v>
      </c>
      <c r="G7" s="203" t="s">
        <v>834</v>
      </c>
    </row>
    <row r="8" spans="1:7" ht="54.95" customHeight="1">
      <c r="A8" s="237" t="s">
        <v>835</v>
      </c>
      <c r="B8" s="202" t="s">
        <v>836</v>
      </c>
      <c r="C8" s="202" t="s">
        <v>815</v>
      </c>
      <c r="D8" s="202" t="s">
        <v>837</v>
      </c>
      <c r="E8" s="238" t="s">
        <v>817</v>
      </c>
      <c r="F8" s="239" t="s">
        <v>189</v>
      </c>
      <c r="G8" s="202" t="s">
        <v>838</v>
      </c>
    </row>
    <row r="9" spans="1:7" ht="54.95" customHeight="1">
      <c r="A9" s="240" t="s">
        <v>839</v>
      </c>
      <c r="B9" s="203" t="s">
        <v>840</v>
      </c>
      <c r="C9" s="203" t="s">
        <v>815</v>
      </c>
      <c r="D9" s="203" t="s">
        <v>837</v>
      </c>
      <c r="E9" s="241" t="s">
        <v>817</v>
      </c>
      <c r="F9" s="242" t="s">
        <v>434</v>
      </c>
      <c r="G9" s="203" t="s">
        <v>841</v>
      </c>
    </row>
    <row r="10" spans="1:7" ht="54.95" customHeight="1">
      <c r="A10" s="237" t="s">
        <v>842</v>
      </c>
      <c r="B10" s="202" t="s">
        <v>843</v>
      </c>
      <c r="C10" s="202" t="s">
        <v>815</v>
      </c>
      <c r="D10" s="202" t="s">
        <v>837</v>
      </c>
      <c r="E10" s="238" t="s">
        <v>817</v>
      </c>
      <c r="F10" s="239" t="s">
        <v>434</v>
      </c>
      <c r="G10" s="202" t="s">
        <v>844</v>
      </c>
    </row>
    <row r="11" spans="1:7" ht="54.95" customHeight="1">
      <c r="A11" s="240" t="s">
        <v>845</v>
      </c>
      <c r="B11" s="203" t="s">
        <v>846</v>
      </c>
      <c r="C11" s="203" t="s">
        <v>847</v>
      </c>
      <c r="D11" s="203" t="s">
        <v>848</v>
      </c>
      <c r="E11" s="241" t="s">
        <v>817</v>
      </c>
      <c r="F11" s="242" t="s">
        <v>434</v>
      </c>
      <c r="G11" s="203" t="s">
        <v>849</v>
      </c>
    </row>
    <row r="12" spans="1:7" ht="54.95" customHeight="1">
      <c r="A12" s="237" t="s">
        <v>850</v>
      </c>
      <c r="B12" s="202" t="s">
        <v>851</v>
      </c>
      <c r="C12" s="202" t="s">
        <v>815</v>
      </c>
      <c r="D12" s="202" t="s">
        <v>816</v>
      </c>
      <c r="E12" s="238" t="s">
        <v>817</v>
      </c>
      <c r="F12" s="239" t="s">
        <v>189</v>
      </c>
      <c r="G12" s="202" t="s">
        <v>852</v>
      </c>
    </row>
    <row r="13" spans="1:7" ht="54.95" customHeight="1">
      <c r="A13" s="240" t="s">
        <v>853</v>
      </c>
      <c r="B13" s="203" t="s">
        <v>854</v>
      </c>
      <c r="C13" s="203" t="s">
        <v>815</v>
      </c>
      <c r="D13" s="203" t="s">
        <v>816</v>
      </c>
      <c r="E13" s="241" t="s">
        <v>817</v>
      </c>
      <c r="F13" s="242" t="s">
        <v>827</v>
      </c>
      <c r="G13" s="203" t="s">
        <v>855</v>
      </c>
    </row>
    <row r="14" spans="1:7" ht="54.95" customHeight="1">
      <c r="A14" s="237" t="s">
        <v>856</v>
      </c>
      <c r="B14" s="202" t="s">
        <v>857</v>
      </c>
      <c r="C14" s="202" t="s">
        <v>815</v>
      </c>
      <c r="D14" s="202" t="s">
        <v>837</v>
      </c>
      <c r="E14" s="238" t="s">
        <v>817</v>
      </c>
      <c r="F14" s="239" t="s">
        <v>189</v>
      </c>
      <c r="G14" s="202" t="s">
        <v>858</v>
      </c>
    </row>
    <row r="15" spans="1:7" ht="54.95" customHeight="1">
      <c r="A15" s="240" t="s">
        <v>859</v>
      </c>
      <c r="B15" s="203" t="s">
        <v>860</v>
      </c>
      <c r="C15" s="203" t="s">
        <v>815</v>
      </c>
      <c r="D15" s="203" t="s">
        <v>816</v>
      </c>
      <c r="E15" s="241" t="s">
        <v>817</v>
      </c>
      <c r="F15" s="242" t="s">
        <v>827</v>
      </c>
      <c r="G15" s="203" t="s">
        <v>861</v>
      </c>
    </row>
    <row r="16" spans="1:7" ht="54.95" customHeight="1">
      <c r="A16" s="237" t="s">
        <v>862</v>
      </c>
      <c r="B16" s="202" t="s">
        <v>863</v>
      </c>
      <c r="C16" s="202" t="s">
        <v>815</v>
      </c>
      <c r="D16" s="202" t="s">
        <v>864</v>
      </c>
      <c r="E16" s="238" t="s">
        <v>817</v>
      </c>
      <c r="F16" s="239" t="s">
        <v>318</v>
      </c>
      <c r="G16" s="202" t="s">
        <v>865</v>
      </c>
    </row>
    <row r="17" spans="1:7" ht="54.95" customHeight="1">
      <c r="A17" s="240" t="s">
        <v>866</v>
      </c>
      <c r="B17" s="203" t="s">
        <v>867</v>
      </c>
      <c r="C17" s="203" t="s">
        <v>444</v>
      </c>
      <c r="D17" s="203" t="s">
        <v>816</v>
      </c>
      <c r="E17" s="241" t="s">
        <v>817</v>
      </c>
      <c r="F17" s="242" t="s">
        <v>318</v>
      </c>
      <c r="G17" s="203" t="s">
        <v>868</v>
      </c>
    </row>
    <row r="18" spans="1:7" ht="54.95" customHeight="1">
      <c r="A18" s="237" t="s">
        <v>869</v>
      </c>
      <c r="B18" s="202" t="s">
        <v>870</v>
      </c>
      <c r="C18" s="202" t="s">
        <v>815</v>
      </c>
      <c r="D18" s="202" t="s">
        <v>816</v>
      </c>
      <c r="E18" s="238" t="s">
        <v>817</v>
      </c>
      <c r="F18" s="239" t="s">
        <v>318</v>
      </c>
      <c r="G18" s="202" t="s">
        <v>871</v>
      </c>
    </row>
    <row r="19" spans="1:7" ht="54.95" customHeight="1">
      <c r="A19" s="240" t="s">
        <v>872</v>
      </c>
      <c r="B19" s="203" t="s">
        <v>873</v>
      </c>
      <c r="C19" s="203" t="s">
        <v>847</v>
      </c>
      <c r="D19" s="203" t="s">
        <v>816</v>
      </c>
      <c r="E19" s="241" t="s">
        <v>817</v>
      </c>
      <c r="F19" s="242" t="s">
        <v>318</v>
      </c>
      <c r="G19" s="203" t="s">
        <v>874</v>
      </c>
    </row>
    <row r="20" spans="1:7" ht="54.95" customHeight="1">
      <c r="A20" s="237" t="s">
        <v>875</v>
      </c>
      <c r="B20" s="202" t="s">
        <v>876</v>
      </c>
      <c r="C20" s="202" t="s">
        <v>815</v>
      </c>
      <c r="D20" s="202" t="s">
        <v>816</v>
      </c>
      <c r="E20" s="238" t="s">
        <v>817</v>
      </c>
      <c r="F20" s="239" t="s">
        <v>189</v>
      </c>
      <c r="G20" s="202" t="s">
        <v>877</v>
      </c>
    </row>
    <row r="21" spans="1:7" ht="54.95" customHeight="1">
      <c r="A21" s="240" t="s">
        <v>878</v>
      </c>
      <c r="B21" s="203" t="s">
        <v>879</v>
      </c>
      <c r="C21" s="203" t="s">
        <v>815</v>
      </c>
      <c r="D21" s="203" t="s">
        <v>816</v>
      </c>
      <c r="E21" s="241" t="s">
        <v>817</v>
      </c>
      <c r="F21" s="242" t="s">
        <v>189</v>
      </c>
      <c r="G21" s="203" t="s">
        <v>880</v>
      </c>
    </row>
    <row r="22" spans="1:7" ht="54.95" customHeight="1">
      <c r="A22" s="237" t="s">
        <v>881</v>
      </c>
      <c r="B22" s="202" t="s">
        <v>882</v>
      </c>
      <c r="C22" s="202" t="s">
        <v>444</v>
      </c>
      <c r="D22" s="202" t="s">
        <v>816</v>
      </c>
      <c r="E22" s="238" t="s">
        <v>817</v>
      </c>
      <c r="F22" s="239" t="s">
        <v>318</v>
      </c>
      <c r="G22" s="202" t="s">
        <v>883</v>
      </c>
    </row>
    <row r="23" spans="1:7" ht="54.95" customHeight="1">
      <c r="A23" s="240" t="s">
        <v>884</v>
      </c>
      <c r="B23" s="203" t="s">
        <v>885</v>
      </c>
      <c r="C23" s="203" t="s">
        <v>815</v>
      </c>
      <c r="D23" s="203" t="s">
        <v>816</v>
      </c>
      <c r="E23" s="241" t="s">
        <v>817</v>
      </c>
      <c r="F23" s="242" t="s">
        <v>189</v>
      </c>
      <c r="G23" s="203" t="s">
        <v>886</v>
      </c>
    </row>
    <row r="24" spans="1:7" ht="54.95" customHeight="1">
      <c r="A24" s="237" t="s">
        <v>887</v>
      </c>
      <c r="B24" s="202" t="s">
        <v>888</v>
      </c>
      <c r="C24" s="202" t="s">
        <v>815</v>
      </c>
      <c r="D24" s="202" t="s">
        <v>816</v>
      </c>
      <c r="E24" s="238" t="s">
        <v>817</v>
      </c>
      <c r="F24" s="239" t="s">
        <v>189</v>
      </c>
      <c r="G24" s="202" t="s">
        <v>889</v>
      </c>
    </row>
    <row r="25" spans="1:7" ht="54.95" customHeight="1">
      <c r="A25" s="240" t="s">
        <v>890</v>
      </c>
      <c r="B25" s="203" t="s">
        <v>891</v>
      </c>
      <c r="C25" s="203" t="s">
        <v>815</v>
      </c>
      <c r="D25" s="203" t="s">
        <v>816</v>
      </c>
      <c r="E25" s="241" t="s">
        <v>817</v>
      </c>
      <c r="F25" s="242" t="s">
        <v>189</v>
      </c>
      <c r="G25" s="203" t="s">
        <v>892</v>
      </c>
    </row>
    <row r="26" spans="1:7" ht="54.95" customHeight="1">
      <c r="A26" s="237" t="s">
        <v>893</v>
      </c>
      <c r="B26" s="202" t="s">
        <v>894</v>
      </c>
      <c r="C26" s="202" t="s">
        <v>815</v>
      </c>
      <c r="D26" s="202" t="s">
        <v>816</v>
      </c>
      <c r="E26" s="238" t="s">
        <v>817</v>
      </c>
      <c r="F26" s="239" t="s">
        <v>189</v>
      </c>
      <c r="G26" s="202" t="s">
        <v>895</v>
      </c>
    </row>
    <row r="27" spans="1:7" ht="54.95" customHeight="1">
      <c r="A27" s="240" t="s">
        <v>896</v>
      </c>
      <c r="B27" s="203" t="s">
        <v>897</v>
      </c>
      <c r="C27" s="203" t="s">
        <v>815</v>
      </c>
      <c r="D27" s="203" t="s">
        <v>837</v>
      </c>
      <c r="E27" s="241" t="s">
        <v>817</v>
      </c>
      <c r="F27" s="242" t="s">
        <v>189</v>
      </c>
      <c r="G27" s="203" t="s">
        <v>898</v>
      </c>
    </row>
    <row r="28" spans="1:7" ht="54.95" customHeight="1">
      <c r="A28" s="237" t="s">
        <v>899</v>
      </c>
      <c r="B28" s="202" t="s">
        <v>900</v>
      </c>
      <c r="C28" s="202" t="s">
        <v>815</v>
      </c>
      <c r="D28" s="202" t="s">
        <v>837</v>
      </c>
      <c r="E28" s="238" t="s">
        <v>817</v>
      </c>
      <c r="F28" s="239" t="s">
        <v>189</v>
      </c>
      <c r="G28" s="202" t="s">
        <v>901</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1"/>
  <sheetViews>
    <sheetView topLeftCell="D1" workbookViewId="0">
      <pane ySplit="1" topLeftCell="A28" activePane="bottomLeft" state="frozen"/>
      <selection pane="bottomLeft" activeCell="F42" sqref="F42"/>
    </sheetView>
  </sheetViews>
  <sheetFormatPr defaultColWidth="9.140625" defaultRowHeight="15"/>
  <cols>
    <col min="1" max="1" width="10" style="1" customWidth="1"/>
    <col min="2" max="2" width="50" style="1" customWidth="1"/>
    <col min="3" max="3" width="14" style="1" customWidth="1"/>
    <col min="4" max="4" width="12" style="1" customWidth="1"/>
    <col min="5" max="5" width="55" style="1" customWidth="1"/>
    <col min="6" max="6" width="1.85546875" style="1" customWidth="1"/>
    <col min="7" max="10" width="9.140625" style="1" customWidth="1"/>
    <col min="11" max="16384" width="9.140625" style="1"/>
  </cols>
  <sheetData>
    <row r="1" spans="1:5" ht="27.95" customHeight="1">
      <c r="A1" s="260" t="s">
        <v>902</v>
      </c>
      <c r="B1" s="261" t="s">
        <v>207</v>
      </c>
      <c r="C1" s="261" t="s">
        <v>187</v>
      </c>
      <c r="D1" s="261" t="s">
        <v>337</v>
      </c>
      <c r="E1" s="262" t="s">
        <v>903</v>
      </c>
    </row>
    <row r="2" spans="1:5" ht="45" customHeight="1">
      <c r="A2" s="222" t="s">
        <v>904</v>
      </c>
      <c r="B2" s="223" t="s">
        <v>905</v>
      </c>
      <c r="C2" s="224" t="s">
        <v>189</v>
      </c>
      <c r="D2" s="224" t="s">
        <v>817</v>
      </c>
      <c r="E2" s="226" t="s">
        <v>906</v>
      </c>
    </row>
    <row r="3" spans="1:5" ht="45" customHeight="1">
      <c r="A3" s="227" t="s">
        <v>907</v>
      </c>
      <c r="B3" s="228" t="s">
        <v>908</v>
      </c>
      <c r="C3" s="229" t="s">
        <v>434</v>
      </c>
      <c r="D3" s="229" t="s">
        <v>817</v>
      </c>
      <c r="E3" s="231" t="s">
        <v>909</v>
      </c>
    </row>
    <row r="4" spans="1:5" ht="45" customHeight="1">
      <c r="A4" s="222" t="s">
        <v>910</v>
      </c>
      <c r="B4" s="223" t="s">
        <v>911</v>
      </c>
      <c r="C4" s="224" t="s">
        <v>189</v>
      </c>
      <c r="D4" s="224" t="s">
        <v>817</v>
      </c>
      <c r="E4" s="226" t="s">
        <v>912</v>
      </c>
    </row>
    <row r="5" spans="1:5" ht="45" customHeight="1">
      <c r="A5" s="227" t="s">
        <v>913</v>
      </c>
      <c r="B5" s="228" t="s">
        <v>914</v>
      </c>
      <c r="C5" s="229" t="s">
        <v>189</v>
      </c>
      <c r="D5" s="229" t="s">
        <v>817</v>
      </c>
      <c r="E5" s="231" t="s">
        <v>915</v>
      </c>
    </row>
    <row r="6" spans="1:5" ht="45" customHeight="1">
      <c r="A6" s="222" t="s">
        <v>916</v>
      </c>
      <c r="B6" s="223" t="s">
        <v>917</v>
      </c>
      <c r="C6" s="224" t="s">
        <v>189</v>
      </c>
      <c r="D6" s="224" t="s">
        <v>817</v>
      </c>
      <c r="E6" s="226" t="s">
        <v>918</v>
      </c>
    </row>
    <row r="7" spans="1:5" ht="45" customHeight="1">
      <c r="A7" s="227" t="s">
        <v>919</v>
      </c>
      <c r="B7" s="228" t="s">
        <v>920</v>
      </c>
      <c r="C7" s="229" t="s">
        <v>434</v>
      </c>
      <c r="D7" s="229" t="s">
        <v>817</v>
      </c>
      <c r="E7" s="231" t="s">
        <v>921</v>
      </c>
    </row>
    <row r="8" spans="1:5" ht="45" customHeight="1">
      <c r="A8" s="222" t="s">
        <v>922</v>
      </c>
      <c r="B8" s="223" t="s">
        <v>923</v>
      </c>
      <c r="C8" s="224" t="s">
        <v>189</v>
      </c>
      <c r="D8" s="224" t="s">
        <v>817</v>
      </c>
      <c r="E8" s="226" t="s">
        <v>924</v>
      </c>
    </row>
    <row r="9" spans="1:5" ht="45" customHeight="1">
      <c r="A9" s="227" t="s">
        <v>925</v>
      </c>
      <c r="B9" s="228" t="s">
        <v>926</v>
      </c>
      <c r="C9" s="229" t="s">
        <v>189</v>
      </c>
      <c r="D9" s="229" t="s">
        <v>817</v>
      </c>
      <c r="E9" s="231" t="s">
        <v>927</v>
      </c>
    </row>
    <row r="10" spans="1:5" ht="45" customHeight="1">
      <c r="A10" s="222" t="s">
        <v>928</v>
      </c>
      <c r="B10" s="223" t="s">
        <v>836</v>
      </c>
      <c r="C10" s="224" t="s">
        <v>189</v>
      </c>
      <c r="D10" s="224" t="s">
        <v>817</v>
      </c>
      <c r="E10" s="226" t="s">
        <v>929</v>
      </c>
    </row>
    <row r="11" spans="1:5" ht="45" customHeight="1">
      <c r="A11" s="227" t="s">
        <v>930</v>
      </c>
      <c r="B11" s="228" t="s">
        <v>931</v>
      </c>
      <c r="C11" s="229" t="s">
        <v>189</v>
      </c>
      <c r="D11" s="229" t="s">
        <v>817</v>
      </c>
      <c r="E11" s="231" t="s">
        <v>932</v>
      </c>
    </row>
    <row r="12" spans="1:5" ht="45" customHeight="1">
      <c r="A12" s="222" t="s">
        <v>933</v>
      </c>
      <c r="B12" s="223" t="s">
        <v>934</v>
      </c>
      <c r="C12" s="224" t="s">
        <v>189</v>
      </c>
      <c r="D12" s="224" t="s">
        <v>817</v>
      </c>
      <c r="E12" s="226" t="s">
        <v>935</v>
      </c>
    </row>
    <row r="13" spans="1:5" ht="45" customHeight="1">
      <c r="A13" s="227" t="s">
        <v>936</v>
      </c>
      <c r="B13" s="228" t="s">
        <v>937</v>
      </c>
      <c r="C13" s="229" t="s">
        <v>189</v>
      </c>
      <c r="D13" s="229" t="s">
        <v>817</v>
      </c>
      <c r="E13" s="231" t="s">
        <v>938</v>
      </c>
    </row>
    <row r="14" spans="1:5" ht="45" customHeight="1">
      <c r="A14" s="222" t="s">
        <v>939</v>
      </c>
      <c r="B14" s="223" t="s">
        <v>940</v>
      </c>
      <c r="C14" s="224" t="s">
        <v>407</v>
      </c>
      <c r="D14" s="224" t="s">
        <v>817</v>
      </c>
      <c r="E14" s="226" t="s">
        <v>941</v>
      </c>
    </row>
    <row r="15" spans="1:5" ht="45" customHeight="1">
      <c r="A15" s="227" t="s">
        <v>942</v>
      </c>
      <c r="B15" s="228" t="s">
        <v>943</v>
      </c>
      <c r="C15" s="229" t="s">
        <v>189</v>
      </c>
      <c r="D15" s="229" t="s">
        <v>817</v>
      </c>
      <c r="E15" s="231" t="s">
        <v>944</v>
      </c>
    </row>
    <row r="16" spans="1:5" ht="45" customHeight="1">
      <c r="A16" s="222" t="s">
        <v>945</v>
      </c>
      <c r="B16" s="223" t="s">
        <v>946</v>
      </c>
      <c r="C16" s="224" t="s">
        <v>189</v>
      </c>
      <c r="D16" s="224" t="s">
        <v>817</v>
      </c>
      <c r="E16" s="226" t="s">
        <v>947</v>
      </c>
    </row>
    <row r="17" spans="1:5" ht="45" customHeight="1">
      <c r="A17" s="227" t="s">
        <v>948</v>
      </c>
      <c r="B17" s="228" t="s">
        <v>949</v>
      </c>
      <c r="C17" s="229" t="s">
        <v>189</v>
      </c>
      <c r="D17" s="229" t="s">
        <v>817</v>
      </c>
      <c r="E17" s="231" t="s">
        <v>950</v>
      </c>
    </row>
    <row r="18" spans="1:5" ht="45" customHeight="1">
      <c r="A18" s="222" t="s">
        <v>951</v>
      </c>
      <c r="B18" s="223" t="s">
        <v>952</v>
      </c>
      <c r="C18" s="224" t="s">
        <v>189</v>
      </c>
      <c r="D18" s="224" t="s">
        <v>817</v>
      </c>
      <c r="E18" s="226" t="s">
        <v>953</v>
      </c>
    </row>
    <row r="19" spans="1:5" ht="45" customHeight="1">
      <c r="A19" s="227" t="s">
        <v>954</v>
      </c>
      <c r="B19" s="228" t="s">
        <v>955</v>
      </c>
      <c r="C19" s="229" t="s">
        <v>189</v>
      </c>
      <c r="D19" s="229" t="s">
        <v>817</v>
      </c>
      <c r="E19" s="231" t="s">
        <v>956</v>
      </c>
    </row>
    <row r="20" spans="1:5" ht="45" customHeight="1">
      <c r="A20" s="222" t="s">
        <v>957</v>
      </c>
      <c r="B20" s="223" t="s">
        <v>958</v>
      </c>
      <c r="C20" s="224" t="s">
        <v>189</v>
      </c>
      <c r="D20" s="224" t="s">
        <v>817</v>
      </c>
      <c r="E20" s="226" t="s">
        <v>959</v>
      </c>
    </row>
    <row r="21" spans="1:5" ht="45" customHeight="1">
      <c r="A21" s="227" t="s">
        <v>960</v>
      </c>
      <c r="B21" s="228" t="s">
        <v>961</v>
      </c>
      <c r="C21" s="229" t="s">
        <v>189</v>
      </c>
      <c r="D21" s="229" t="s">
        <v>817</v>
      </c>
      <c r="E21" s="231" t="s">
        <v>962</v>
      </c>
    </row>
    <row r="22" spans="1:5" ht="45" customHeight="1">
      <c r="A22" s="222" t="s">
        <v>963</v>
      </c>
      <c r="B22" s="223" t="s">
        <v>964</v>
      </c>
      <c r="C22" s="224" t="s">
        <v>189</v>
      </c>
      <c r="D22" s="224" t="s">
        <v>817</v>
      </c>
      <c r="E22" s="226" t="s">
        <v>965</v>
      </c>
    </row>
    <row r="23" spans="1:5" ht="45" customHeight="1">
      <c r="A23" s="227" t="s">
        <v>966</v>
      </c>
      <c r="B23" s="228" t="s">
        <v>967</v>
      </c>
      <c r="C23" s="229" t="s">
        <v>189</v>
      </c>
      <c r="D23" s="229" t="s">
        <v>817</v>
      </c>
      <c r="E23" s="231" t="s">
        <v>968</v>
      </c>
    </row>
    <row r="24" spans="1:5" ht="45" customHeight="1">
      <c r="A24" s="222" t="s">
        <v>969</v>
      </c>
      <c r="B24" s="223" t="s">
        <v>970</v>
      </c>
      <c r="C24" s="224" t="s">
        <v>189</v>
      </c>
      <c r="D24" s="224" t="s">
        <v>817</v>
      </c>
      <c r="E24" s="226" t="s">
        <v>971</v>
      </c>
    </row>
    <row r="25" spans="1:5" ht="45" customHeight="1">
      <c r="A25" s="227" t="s">
        <v>972</v>
      </c>
      <c r="B25" s="228" t="s">
        <v>973</v>
      </c>
      <c r="C25" s="229" t="s">
        <v>189</v>
      </c>
      <c r="D25" s="229" t="s">
        <v>817</v>
      </c>
      <c r="E25" s="231" t="s">
        <v>974</v>
      </c>
    </row>
    <row r="26" spans="1:5" ht="45" customHeight="1">
      <c r="A26" s="222" t="s">
        <v>975</v>
      </c>
      <c r="B26" s="223" t="s">
        <v>976</v>
      </c>
      <c r="C26" s="224" t="s">
        <v>189</v>
      </c>
      <c r="D26" s="224" t="s">
        <v>817</v>
      </c>
      <c r="E26" s="226" t="s">
        <v>977</v>
      </c>
    </row>
    <row r="27" spans="1:5" ht="45" customHeight="1">
      <c r="A27" s="227" t="s">
        <v>978</v>
      </c>
      <c r="B27" s="228" t="s">
        <v>979</v>
      </c>
      <c r="C27" s="229" t="s">
        <v>189</v>
      </c>
      <c r="D27" s="229" t="s">
        <v>817</v>
      </c>
      <c r="E27" s="231" t="s">
        <v>980</v>
      </c>
    </row>
    <row r="28" spans="1:5" ht="45" customHeight="1">
      <c r="A28" s="232" t="s">
        <v>981</v>
      </c>
      <c r="B28" s="233" t="s">
        <v>982</v>
      </c>
      <c r="C28" s="234" t="s">
        <v>189</v>
      </c>
      <c r="D28" s="234" t="s">
        <v>817</v>
      </c>
      <c r="E28" s="236" t="s">
        <v>983</v>
      </c>
    </row>
    <row r="29" spans="1:5" ht="45" customHeight="1">
      <c r="A29" s="240" t="s">
        <v>984</v>
      </c>
      <c r="B29" s="203" t="s">
        <v>985</v>
      </c>
      <c r="C29" s="242" t="s">
        <v>189</v>
      </c>
      <c r="D29" s="242" t="s">
        <v>817</v>
      </c>
      <c r="E29" s="203" t="s">
        <v>986</v>
      </c>
    </row>
    <row r="30" spans="1:5" ht="45" customHeight="1">
      <c r="A30" s="237" t="s">
        <v>987</v>
      </c>
      <c r="B30" s="202" t="s">
        <v>988</v>
      </c>
      <c r="C30" s="239" t="s">
        <v>434</v>
      </c>
      <c r="D30" s="239" t="s">
        <v>817</v>
      </c>
      <c r="E30" s="202" t="s">
        <v>989</v>
      </c>
    </row>
    <row r="31" spans="1:5" ht="26.25" customHeight="1">
      <c r="A31" s="3" t="s">
        <v>990</v>
      </c>
      <c r="B31" s="2" t="s">
        <v>991</v>
      </c>
      <c r="C31" s="3" t="s">
        <v>992</v>
      </c>
      <c r="D31" s="2" t="s">
        <v>817</v>
      </c>
      <c r="E31" s="2" t="s">
        <v>993</v>
      </c>
    </row>
    <row r="32" spans="1:5" ht="64.5" customHeight="1">
      <c r="A32" s="3" t="s">
        <v>994</v>
      </c>
      <c r="B32" s="2" t="s">
        <v>995</v>
      </c>
      <c r="C32" s="3" t="s">
        <v>189</v>
      </c>
      <c r="D32" s="2" t="s">
        <v>817</v>
      </c>
      <c r="E32" s="2" t="s">
        <v>996</v>
      </c>
    </row>
    <row r="33" spans="1:5" ht="39" customHeight="1">
      <c r="A33" s="3" t="s">
        <v>997</v>
      </c>
      <c r="B33" s="2" t="s">
        <v>998</v>
      </c>
      <c r="C33" s="3" t="s">
        <v>999</v>
      </c>
      <c r="D33" s="2" t="s">
        <v>1000</v>
      </c>
      <c r="E33" s="2" t="s">
        <v>1001</v>
      </c>
    </row>
    <row r="34" spans="1:5" ht="26.25" customHeight="1">
      <c r="A34" s="3" t="s">
        <v>1002</v>
      </c>
      <c r="B34" s="2" t="s">
        <v>1003</v>
      </c>
      <c r="C34" s="3" t="s">
        <v>992</v>
      </c>
      <c r="D34" s="2" t="s">
        <v>1004</v>
      </c>
      <c r="E34" s="2" t="s">
        <v>1005</v>
      </c>
    </row>
    <row r="35" spans="1:5" ht="26.25" customHeight="1">
      <c r="A35" s="3" t="s">
        <v>1006</v>
      </c>
      <c r="B35" s="2" t="s">
        <v>1007</v>
      </c>
      <c r="C35" s="3" t="s">
        <v>999</v>
      </c>
      <c r="D35" s="2" t="s">
        <v>1008</v>
      </c>
      <c r="E35" s="2" t="s">
        <v>1009</v>
      </c>
    </row>
    <row r="36" spans="1:5" ht="39" customHeight="1">
      <c r="A36" s="3" t="s">
        <v>1010</v>
      </c>
      <c r="B36" s="2" t="s">
        <v>1011</v>
      </c>
      <c r="C36" s="3" t="s">
        <v>992</v>
      </c>
      <c r="D36" s="2" t="s">
        <v>1012</v>
      </c>
      <c r="E36" s="2" t="s">
        <v>1013</v>
      </c>
    </row>
    <row r="37" spans="1:5" ht="39" customHeight="1">
      <c r="A37" s="3" t="s">
        <v>1014</v>
      </c>
      <c r="B37" s="2" t="s">
        <v>1015</v>
      </c>
      <c r="C37" s="3" t="s">
        <v>992</v>
      </c>
      <c r="D37" s="2" t="s">
        <v>1016</v>
      </c>
      <c r="E37" s="2" t="s">
        <v>1017</v>
      </c>
    </row>
    <row r="38" spans="1:5" ht="39" customHeight="1">
      <c r="A38" s="3" t="s">
        <v>1018</v>
      </c>
      <c r="B38" s="2" t="s">
        <v>1019</v>
      </c>
      <c r="C38" s="3" t="s">
        <v>992</v>
      </c>
      <c r="D38" s="2" t="s">
        <v>1020</v>
      </c>
      <c r="E38" s="2" t="s">
        <v>1021</v>
      </c>
    </row>
    <row r="39" spans="1:5" ht="26.25" customHeight="1">
      <c r="A39" s="3" t="s">
        <v>1022</v>
      </c>
      <c r="B39" s="2" t="s">
        <v>1023</v>
      </c>
      <c r="C39" s="3" t="s">
        <v>992</v>
      </c>
      <c r="D39" s="2" t="s">
        <v>1024</v>
      </c>
      <c r="E39" s="2" t="s">
        <v>1025</v>
      </c>
    </row>
    <row r="40" spans="1:5" ht="39" customHeight="1">
      <c r="A40" s="3" t="s">
        <v>1026</v>
      </c>
      <c r="B40" s="2" t="s">
        <v>1027</v>
      </c>
      <c r="C40" s="3" t="s">
        <v>992</v>
      </c>
      <c r="D40" s="2" t="s">
        <v>1028</v>
      </c>
      <c r="E40" s="2" t="s">
        <v>1029</v>
      </c>
    </row>
    <row r="41" spans="1:5">
      <c r="A41" s="3"/>
      <c r="B41" s="2"/>
      <c r="C41" s="3"/>
      <c r="D41" s="2"/>
      <c r="E41" s="2"/>
    </row>
    <row r="42" spans="1:5">
      <c r="A42" s="3"/>
      <c r="B42" s="2"/>
      <c r="C42" s="3"/>
      <c r="D42" s="2"/>
      <c r="E42" s="2"/>
    </row>
    <row r="43" spans="1:5">
      <c r="A43" s="3"/>
      <c r="B43" s="2"/>
      <c r="C43" s="2"/>
      <c r="D43" s="2"/>
      <c r="E43" s="2"/>
    </row>
    <row r="44" spans="1:5">
      <c r="A44" s="3"/>
      <c r="B44" s="2"/>
      <c r="C44" s="2"/>
      <c r="D44" s="2"/>
      <c r="E44" s="2"/>
    </row>
    <row r="45" spans="1:5">
      <c r="A45" s="3"/>
      <c r="B45" s="2"/>
      <c r="C45" s="2"/>
      <c r="D45" s="2"/>
      <c r="E45" s="2"/>
    </row>
    <row r="51" spans="6:6">
      <c r="F51" s="1" t="s">
        <v>522</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6"/>
  <sheetViews>
    <sheetView workbookViewId="0">
      <pane ySplit="1" topLeftCell="A17" activePane="bottomLeft" state="frozen"/>
      <selection pane="bottomLeft" activeCell="D22" sqref="D22"/>
    </sheetView>
  </sheetViews>
  <sheetFormatPr defaultRowHeight="15"/>
  <cols>
    <col min="1" max="1" width="12" customWidth="1"/>
    <col min="2" max="2" width="14" style="1" customWidth="1"/>
    <col min="3" max="3" width="16" customWidth="1"/>
    <col min="4" max="4" width="55" style="1" customWidth="1"/>
    <col min="5" max="5" width="35" style="1" customWidth="1"/>
    <col min="6" max="6" width="35" customWidth="1"/>
    <col min="7" max="7" width="35" style="1" customWidth="1"/>
  </cols>
  <sheetData>
    <row r="1" spans="1:7" ht="27.95" customHeight="1">
      <c r="A1" s="243" t="s">
        <v>270</v>
      </c>
      <c r="B1" s="244" t="s">
        <v>272</v>
      </c>
      <c r="C1" s="244" t="s">
        <v>187</v>
      </c>
      <c r="D1" s="244" t="s">
        <v>274</v>
      </c>
      <c r="E1" s="244" t="s">
        <v>1030</v>
      </c>
      <c r="F1" s="245" t="s">
        <v>1031</v>
      </c>
      <c r="G1" s="246" t="s">
        <v>1032</v>
      </c>
    </row>
    <row r="2" spans="1:7" ht="60" customHeight="1">
      <c r="A2" s="222" t="s">
        <v>685</v>
      </c>
      <c r="B2" s="223" t="s">
        <v>684</v>
      </c>
      <c r="C2" s="247" t="s">
        <v>1033</v>
      </c>
      <c r="D2" s="223" t="s">
        <v>1034</v>
      </c>
      <c r="E2" s="223" t="s">
        <v>1035</v>
      </c>
      <c r="F2" s="226" t="s">
        <v>1036</v>
      </c>
      <c r="G2" s="202" t="s">
        <v>1037</v>
      </c>
    </row>
    <row r="3" spans="1:7" ht="60" customHeight="1">
      <c r="A3" s="227" t="s">
        <v>699</v>
      </c>
      <c r="B3" s="248">
        <v>46088</v>
      </c>
      <c r="C3" s="249" t="s">
        <v>1038</v>
      </c>
      <c r="D3" s="228" t="s">
        <v>1039</v>
      </c>
      <c r="E3" s="228" t="s">
        <v>1040</v>
      </c>
      <c r="F3" s="231" t="s">
        <v>1041</v>
      </c>
      <c r="G3" s="203" t="s">
        <v>1042</v>
      </c>
    </row>
    <row r="4" spans="1:7" ht="60" customHeight="1">
      <c r="A4" s="222" t="s">
        <v>1043</v>
      </c>
      <c r="B4" s="250">
        <v>46089</v>
      </c>
      <c r="C4" s="224" t="s">
        <v>273</v>
      </c>
      <c r="D4" s="223" t="s">
        <v>1044</v>
      </c>
      <c r="E4" s="223" t="s">
        <v>1045</v>
      </c>
      <c r="F4" s="226" t="s">
        <v>1046</v>
      </c>
      <c r="G4" s="202" t="s">
        <v>1047</v>
      </c>
    </row>
    <row r="5" spans="1:7" ht="60" customHeight="1">
      <c r="A5" s="227" t="s">
        <v>740</v>
      </c>
      <c r="B5" s="248">
        <v>46089</v>
      </c>
      <c r="C5" s="229" t="s">
        <v>273</v>
      </c>
      <c r="D5" s="228" t="s">
        <v>1048</v>
      </c>
      <c r="E5" s="228" t="s">
        <v>1049</v>
      </c>
      <c r="F5" s="231" t="s">
        <v>1050</v>
      </c>
      <c r="G5" s="203" t="s">
        <v>1051</v>
      </c>
    </row>
    <row r="6" spans="1:7" ht="60" customHeight="1">
      <c r="A6" s="222" t="s">
        <v>1052</v>
      </c>
      <c r="B6" s="250">
        <v>46089</v>
      </c>
      <c r="C6" s="224" t="s">
        <v>273</v>
      </c>
      <c r="D6" s="223" t="s">
        <v>1053</v>
      </c>
      <c r="E6" s="223" t="s">
        <v>1054</v>
      </c>
      <c r="F6" s="226" t="s">
        <v>1055</v>
      </c>
      <c r="G6" s="202" t="s">
        <v>1056</v>
      </c>
    </row>
    <row r="7" spans="1:7" ht="60" customHeight="1">
      <c r="A7" s="227" t="s">
        <v>1057</v>
      </c>
      <c r="B7" s="248">
        <v>46089</v>
      </c>
      <c r="C7" s="229" t="s">
        <v>273</v>
      </c>
      <c r="D7" s="228" t="s">
        <v>1058</v>
      </c>
      <c r="E7" s="228" t="s">
        <v>1059</v>
      </c>
      <c r="F7" s="231" t="s">
        <v>1060</v>
      </c>
      <c r="G7" s="203" t="s">
        <v>1061</v>
      </c>
    </row>
    <row r="8" spans="1:7" ht="60" customHeight="1">
      <c r="A8" s="222" t="s">
        <v>1062</v>
      </c>
      <c r="B8" s="251">
        <v>46089</v>
      </c>
      <c r="C8" s="224" t="s">
        <v>273</v>
      </c>
      <c r="D8" s="223" t="s">
        <v>1063</v>
      </c>
      <c r="E8" s="223" t="s">
        <v>1064</v>
      </c>
      <c r="F8" s="226" t="s">
        <v>1065</v>
      </c>
      <c r="G8" s="202" t="s">
        <v>1066</v>
      </c>
    </row>
    <row r="9" spans="1:7" ht="60" customHeight="1">
      <c r="A9" s="227" t="s">
        <v>1067</v>
      </c>
      <c r="B9" s="248">
        <v>46089</v>
      </c>
      <c r="C9" s="229" t="s">
        <v>273</v>
      </c>
      <c r="D9" s="228" t="s">
        <v>1068</v>
      </c>
      <c r="E9" s="228" t="s">
        <v>1069</v>
      </c>
      <c r="F9" s="231" t="s">
        <v>1070</v>
      </c>
      <c r="G9" s="203" t="s">
        <v>1071</v>
      </c>
    </row>
    <row r="10" spans="1:7" ht="60" customHeight="1">
      <c r="A10" s="222" t="s">
        <v>1072</v>
      </c>
      <c r="B10" s="250">
        <v>46089</v>
      </c>
      <c r="C10" s="224" t="s">
        <v>273</v>
      </c>
      <c r="D10" s="223" t="s">
        <v>1073</v>
      </c>
      <c r="E10" s="223" t="s">
        <v>1074</v>
      </c>
      <c r="F10" s="226" t="s">
        <v>1075</v>
      </c>
      <c r="G10" s="202" t="s">
        <v>1076</v>
      </c>
    </row>
    <row r="11" spans="1:7" ht="60" customHeight="1">
      <c r="A11" s="227" t="s">
        <v>1077</v>
      </c>
      <c r="B11" s="248">
        <f ca="1">TODAY()</f>
        <v>46094</v>
      </c>
      <c r="C11" s="229" t="s">
        <v>273</v>
      </c>
      <c r="D11" s="228" t="s">
        <v>1078</v>
      </c>
      <c r="E11" s="228" t="s">
        <v>1079</v>
      </c>
      <c r="F11" s="231" t="s">
        <v>1080</v>
      </c>
      <c r="G11" s="203" t="s">
        <v>1081</v>
      </c>
    </row>
    <row r="12" spans="1:7" ht="60" customHeight="1">
      <c r="A12" s="222" t="s">
        <v>1082</v>
      </c>
      <c r="B12" s="250">
        <v>46089</v>
      </c>
      <c r="C12" s="224" t="s">
        <v>273</v>
      </c>
      <c r="D12" s="223" t="s">
        <v>1083</v>
      </c>
      <c r="E12" s="223" t="s">
        <v>1084</v>
      </c>
      <c r="F12" s="226" t="s">
        <v>1085</v>
      </c>
      <c r="G12" s="202" t="s">
        <v>1086</v>
      </c>
    </row>
    <row r="13" spans="1:7" ht="60" customHeight="1">
      <c r="A13" s="227" t="s">
        <v>1087</v>
      </c>
      <c r="B13" s="248">
        <v>46089</v>
      </c>
      <c r="C13" s="229" t="s">
        <v>273</v>
      </c>
      <c r="D13" s="228" t="s">
        <v>1088</v>
      </c>
      <c r="E13" s="228" t="s">
        <v>1089</v>
      </c>
      <c r="F13" s="231" t="s">
        <v>1090</v>
      </c>
      <c r="G13" s="203" t="s">
        <v>1091</v>
      </c>
    </row>
    <row r="14" spans="1:7" ht="60" customHeight="1">
      <c r="A14" s="222" t="s">
        <v>719</v>
      </c>
      <c r="B14" s="250">
        <v>46089</v>
      </c>
      <c r="C14" s="224" t="s">
        <v>273</v>
      </c>
      <c r="D14" s="223" t="s">
        <v>1092</v>
      </c>
      <c r="E14" s="223" t="s">
        <v>1093</v>
      </c>
      <c r="F14" s="226" t="s">
        <v>1094</v>
      </c>
      <c r="G14" s="202" t="s">
        <v>1095</v>
      </c>
    </row>
    <row r="15" spans="1:7" ht="60" customHeight="1">
      <c r="A15" s="227" t="s">
        <v>1096</v>
      </c>
      <c r="B15" s="248">
        <v>46089</v>
      </c>
      <c r="C15" s="229" t="s">
        <v>273</v>
      </c>
      <c r="D15" s="228" t="s">
        <v>1097</v>
      </c>
      <c r="E15" s="228" t="s">
        <v>1098</v>
      </c>
      <c r="F15" s="231" t="s">
        <v>1099</v>
      </c>
      <c r="G15" s="203" t="s">
        <v>1100</v>
      </c>
    </row>
    <row r="16" spans="1:7" ht="60" customHeight="1">
      <c r="A16" s="222" t="s">
        <v>1101</v>
      </c>
      <c r="B16" s="251">
        <v>46090</v>
      </c>
      <c r="C16" s="224" t="s">
        <v>273</v>
      </c>
      <c r="D16" s="223" t="s">
        <v>1102</v>
      </c>
      <c r="E16" s="223" t="s">
        <v>1103</v>
      </c>
      <c r="F16" s="226" t="s">
        <v>1104</v>
      </c>
      <c r="G16" s="202" t="s">
        <v>1105</v>
      </c>
    </row>
    <row r="17" spans="1:7" ht="60" customHeight="1">
      <c r="A17" s="227" t="s">
        <v>760</v>
      </c>
      <c r="B17" s="252">
        <v>46090</v>
      </c>
      <c r="C17" s="229" t="s">
        <v>273</v>
      </c>
      <c r="D17" s="228" t="s">
        <v>1106</v>
      </c>
      <c r="E17" s="228" t="s">
        <v>1107</v>
      </c>
      <c r="F17" s="231" t="s">
        <v>1108</v>
      </c>
      <c r="G17" s="203"/>
    </row>
    <row r="18" spans="1:7" ht="60" customHeight="1">
      <c r="A18" s="222" t="s">
        <v>727</v>
      </c>
      <c r="B18" s="251">
        <v>46090</v>
      </c>
      <c r="C18" s="224" t="s">
        <v>273</v>
      </c>
      <c r="D18" s="223" t="s">
        <v>1109</v>
      </c>
      <c r="E18" s="223" t="s">
        <v>1110</v>
      </c>
      <c r="F18" s="226" t="s">
        <v>1111</v>
      </c>
      <c r="G18" s="202"/>
    </row>
    <row r="19" spans="1:7">
      <c r="A19" s="79"/>
      <c r="B19" s="83"/>
      <c r="C19" s="80"/>
      <c r="D19" s="77"/>
      <c r="E19" s="74"/>
      <c r="F19" s="81"/>
      <c r="G19" s="82"/>
    </row>
    <row r="20" spans="1:7" ht="60" customHeight="1">
      <c r="A20" s="222" t="s">
        <v>1112</v>
      </c>
      <c r="B20" s="251">
        <v>46089</v>
      </c>
      <c r="C20" s="224" t="s">
        <v>273</v>
      </c>
      <c r="D20" s="223" t="s">
        <v>1113</v>
      </c>
      <c r="E20" s="223" t="s">
        <v>1114</v>
      </c>
      <c r="F20" s="226" t="s">
        <v>1115</v>
      </c>
      <c r="G20" s="202"/>
    </row>
    <row r="21" spans="1:7" ht="60" customHeight="1">
      <c r="A21" s="227" t="s">
        <v>1116</v>
      </c>
      <c r="B21" s="252">
        <v>46090</v>
      </c>
      <c r="C21" s="229" t="s">
        <v>273</v>
      </c>
      <c r="D21" s="228" t="s">
        <v>1117</v>
      </c>
      <c r="E21" s="228" t="s">
        <v>1118</v>
      </c>
      <c r="F21" s="231" t="s">
        <v>1119</v>
      </c>
      <c r="G21" s="203"/>
    </row>
    <row r="22" spans="1:7" ht="60" customHeight="1">
      <c r="A22" s="222" t="s">
        <v>1120</v>
      </c>
      <c r="B22" s="223">
        <f ca="1">TODAY()</f>
        <v>46094</v>
      </c>
      <c r="C22" s="224" t="s">
        <v>273</v>
      </c>
      <c r="D22" s="223" t="s">
        <v>1121</v>
      </c>
      <c r="E22" s="223" t="s">
        <v>1122</v>
      </c>
      <c r="F22" s="226" t="s">
        <v>1123</v>
      </c>
      <c r="G22" s="202" t="s">
        <v>1124</v>
      </c>
    </row>
    <row r="23" spans="1:7" ht="60" customHeight="1">
      <c r="A23" s="227" t="s">
        <v>1125</v>
      </c>
      <c r="B23" s="252">
        <v>46091</v>
      </c>
      <c r="C23" s="253" t="s">
        <v>1126</v>
      </c>
      <c r="D23" s="228" t="s">
        <v>1127</v>
      </c>
      <c r="E23" s="228" t="s">
        <v>1128</v>
      </c>
      <c r="F23" s="231" t="s">
        <v>1129</v>
      </c>
      <c r="G23" s="203" t="s">
        <v>1130</v>
      </c>
    </row>
    <row r="24" spans="1:7" ht="60" customHeight="1">
      <c r="A24" s="222" t="s">
        <v>1131</v>
      </c>
      <c r="B24" s="251">
        <v>46091</v>
      </c>
      <c r="C24" s="254" t="s">
        <v>1126</v>
      </c>
      <c r="D24" s="223" t="s">
        <v>1132</v>
      </c>
      <c r="E24" s="223" t="s">
        <v>1133</v>
      </c>
      <c r="F24" s="226" t="s">
        <v>1134</v>
      </c>
      <c r="G24" s="202" t="s">
        <v>1135</v>
      </c>
    </row>
    <row r="25" spans="1:7" ht="60" customHeight="1">
      <c r="A25" s="227" t="s">
        <v>1136</v>
      </c>
      <c r="B25" s="248">
        <v>46092</v>
      </c>
      <c r="C25" s="229" t="s">
        <v>273</v>
      </c>
      <c r="D25" s="228" t="s">
        <v>1137</v>
      </c>
      <c r="E25" s="228" t="s">
        <v>1138</v>
      </c>
      <c r="F25" s="231" t="s">
        <v>1139</v>
      </c>
      <c r="G25" s="203" t="s">
        <v>1140</v>
      </c>
    </row>
    <row r="26" spans="1:7" ht="60" customHeight="1">
      <c r="A26" s="222" t="s">
        <v>1141</v>
      </c>
      <c r="B26" s="250">
        <v>46092</v>
      </c>
      <c r="C26" s="224" t="s">
        <v>273</v>
      </c>
      <c r="D26" s="223" t="s">
        <v>1142</v>
      </c>
      <c r="E26" s="223" t="s">
        <v>1143</v>
      </c>
      <c r="F26" s="226" t="s">
        <v>1144</v>
      </c>
      <c r="G26" s="202" t="s">
        <v>273</v>
      </c>
    </row>
    <row r="27" spans="1:7" ht="60" customHeight="1">
      <c r="A27" s="227" t="s">
        <v>1145</v>
      </c>
      <c r="B27" s="248">
        <v>46092</v>
      </c>
      <c r="C27" s="229" t="s">
        <v>273</v>
      </c>
      <c r="D27" s="228" t="s">
        <v>1146</v>
      </c>
      <c r="E27" s="228" t="s">
        <v>1147</v>
      </c>
      <c r="F27" s="231" t="s">
        <v>1148</v>
      </c>
      <c r="G27" s="203" t="s">
        <v>1149</v>
      </c>
    </row>
    <row r="28" spans="1:7" ht="60" customHeight="1">
      <c r="A28" s="222" t="s">
        <v>1150</v>
      </c>
      <c r="B28" s="250">
        <v>46092</v>
      </c>
      <c r="C28" s="254" t="s">
        <v>1126</v>
      </c>
      <c r="D28" s="223" t="s">
        <v>1151</v>
      </c>
      <c r="E28" s="223" t="s">
        <v>1152</v>
      </c>
      <c r="F28" s="226" t="s">
        <v>1153</v>
      </c>
      <c r="G28" s="202" t="s">
        <v>1154</v>
      </c>
    </row>
    <row r="29" spans="1:7">
      <c r="A29" s="90"/>
      <c r="B29" s="87"/>
      <c r="C29" s="87"/>
      <c r="D29" s="88"/>
      <c r="E29" s="88"/>
      <c r="F29" s="89"/>
      <c r="G29" s="37"/>
    </row>
    <row r="30" spans="1:7">
      <c r="A30" s="91"/>
      <c r="B30" s="84"/>
      <c r="C30" s="84"/>
      <c r="D30" s="85"/>
      <c r="E30" s="85"/>
      <c r="F30" s="86"/>
      <c r="G30" s="37"/>
    </row>
    <row r="31" spans="1:7">
      <c r="A31" s="90"/>
      <c r="B31" s="87"/>
      <c r="C31" s="87"/>
      <c r="D31" s="88"/>
      <c r="E31" s="88"/>
      <c r="F31" s="89"/>
      <c r="G31" s="37"/>
    </row>
    <row r="32" spans="1:7" ht="60" customHeight="1">
      <c r="A32" s="232" t="s">
        <v>1155</v>
      </c>
      <c r="B32" s="255">
        <v>46092</v>
      </c>
      <c r="C32" s="234" t="s">
        <v>273</v>
      </c>
      <c r="D32" s="233" t="s">
        <v>1156</v>
      </c>
      <c r="E32" s="233" t="s">
        <v>1157</v>
      </c>
      <c r="F32" s="236" t="s">
        <v>1158</v>
      </c>
      <c r="G32" s="202"/>
    </row>
    <row r="33" spans="1:7" ht="60" customHeight="1">
      <c r="A33" s="240" t="s">
        <v>1159</v>
      </c>
      <c r="B33" s="256">
        <v>46092</v>
      </c>
      <c r="C33" s="242" t="s">
        <v>273</v>
      </c>
      <c r="D33" s="203" t="s">
        <v>1160</v>
      </c>
      <c r="E33" s="203" t="s">
        <v>1103</v>
      </c>
      <c r="F33" s="203" t="s">
        <v>1161</v>
      </c>
      <c r="G33" s="203" t="s">
        <v>1162</v>
      </c>
    </row>
    <row r="34" spans="1:7" ht="60" customHeight="1">
      <c r="A34" s="237" t="s">
        <v>1163</v>
      </c>
      <c r="B34" s="257">
        <v>46093</v>
      </c>
      <c r="C34" s="239" t="s">
        <v>273</v>
      </c>
      <c r="D34" s="202" t="s">
        <v>1164</v>
      </c>
      <c r="E34" s="202" t="s">
        <v>1165</v>
      </c>
      <c r="F34" s="202" t="s">
        <v>1166</v>
      </c>
      <c r="G34" s="202" t="s">
        <v>1167</v>
      </c>
    </row>
    <row r="35" spans="1:7" ht="60" customHeight="1">
      <c r="A35" s="240" t="s">
        <v>1168</v>
      </c>
      <c r="B35" s="203">
        <v>46093</v>
      </c>
      <c r="C35" s="242" t="s">
        <v>273</v>
      </c>
      <c r="D35" s="203" t="s">
        <v>1169</v>
      </c>
      <c r="E35" s="203" t="s">
        <v>1170</v>
      </c>
      <c r="F35" s="203" t="s">
        <v>1171</v>
      </c>
      <c r="G35" s="203" t="s">
        <v>1172</v>
      </c>
    </row>
    <row r="36" spans="1:7" ht="60" customHeight="1">
      <c r="A36" s="237" t="s">
        <v>343</v>
      </c>
      <c r="B36" s="202">
        <v>46093</v>
      </c>
      <c r="C36" s="239" t="s">
        <v>273</v>
      </c>
      <c r="D36" s="202" t="s">
        <v>1173</v>
      </c>
      <c r="E36" s="202" t="s">
        <v>1174</v>
      </c>
      <c r="F36" s="202" t="s">
        <v>1175</v>
      </c>
      <c r="G36" s="202" t="s">
        <v>1176</v>
      </c>
    </row>
    <row r="37" spans="1:7" ht="60" customHeight="1">
      <c r="A37" s="240" t="s">
        <v>1177</v>
      </c>
      <c r="B37" s="203">
        <v>46093</v>
      </c>
      <c r="C37" s="242" t="s">
        <v>273</v>
      </c>
      <c r="D37" s="203" t="s">
        <v>1178</v>
      </c>
      <c r="E37" s="203" t="s">
        <v>1179</v>
      </c>
      <c r="F37" s="203" t="s">
        <v>1180</v>
      </c>
      <c r="G37" s="203" t="s">
        <v>1181</v>
      </c>
    </row>
    <row r="38" spans="1:7" ht="60" customHeight="1">
      <c r="A38" s="237" t="s">
        <v>1182</v>
      </c>
      <c r="B38" s="257">
        <v>46093</v>
      </c>
      <c r="C38" s="258" t="s">
        <v>1126</v>
      </c>
      <c r="D38" s="202" t="s">
        <v>1183</v>
      </c>
      <c r="E38" s="202" t="s">
        <v>1184</v>
      </c>
      <c r="F38" s="202" t="s">
        <v>1185</v>
      </c>
      <c r="G38" s="202" t="s">
        <v>1186</v>
      </c>
    </row>
    <row r="40" spans="1:7" ht="63.75" customHeight="1">
      <c r="A40" s="237" t="s">
        <v>1187</v>
      </c>
      <c r="B40" s="202" t="s">
        <v>1188</v>
      </c>
      <c r="C40" s="239" t="s">
        <v>273</v>
      </c>
      <c r="D40" s="202" t="s">
        <v>1189</v>
      </c>
      <c r="E40" s="202" t="s">
        <v>1190</v>
      </c>
      <c r="F40" s="202" t="s">
        <v>1191</v>
      </c>
      <c r="G40" s="202" t="s">
        <v>1192</v>
      </c>
    </row>
    <row r="41" spans="1:7" ht="89.25" customHeight="1">
      <c r="A41" s="240" t="s">
        <v>1193</v>
      </c>
      <c r="B41" s="203" t="s">
        <v>1188</v>
      </c>
      <c r="C41" s="242" t="s">
        <v>273</v>
      </c>
      <c r="D41" s="203" t="s">
        <v>1194</v>
      </c>
      <c r="E41" s="203" t="s">
        <v>1195</v>
      </c>
      <c r="F41" s="203" t="s">
        <v>1196</v>
      </c>
      <c r="G41" s="203" t="s">
        <v>1197</v>
      </c>
    </row>
    <row r="42" spans="1:7" ht="213.75" customHeight="1">
      <c r="A42" s="268" t="s">
        <v>1198</v>
      </c>
      <c r="B42" s="269" t="s">
        <v>1188</v>
      </c>
      <c r="C42" s="270" t="s">
        <v>273</v>
      </c>
      <c r="D42" s="269" t="s">
        <v>1199</v>
      </c>
      <c r="E42" s="269" t="s">
        <v>1200</v>
      </c>
      <c r="F42" s="269" t="s">
        <v>1201</v>
      </c>
      <c r="G42" s="269" t="s">
        <v>1202</v>
      </c>
    </row>
    <row r="43" spans="1:7" ht="90" customHeight="1">
      <c r="A43" t="s">
        <v>1203</v>
      </c>
      <c r="B43" s="273">
        <v>46094</v>
      </c>
      <c r="C43" t="s">
        <v>273</v>
      </c>
      <c r="D43" s="1" t="s">
        <v>1204</v>
      </c>
      <c r="E43" s="1" t="s">
        <v>1205</v>
      </c>
      <c r="F43" t="s">
        <v>1206</v>
      </c>
      <c r="G43" s="1" t="s">
        <v>1207</v>
      </c>
    </row>
    <row r="44" spans="1:7" ht="165" customHeight="1">
      <c r="A44" t="s">
        <v>778</v>
      </c>
      <c r="B44" s="1">
        <v>46098</v>
      </c>
      <c r="C44" t="s">
        <v>273</v>
      </c>
      <c r="D44" s="1" t="s">
        <v>1208</v>
      </c>
      <c r="E44" s="1" t="s">
        <v>1209</v>
      </c>
      <c r="F44" s="1" t="s">
        <v>1210</v>
      </c>
      <c r="G44" s="1" t="s">
        <v>1211</v>
      </c>
    </row>
    <row r="45" spans="1:7">
      <c r="A45" t="s">
        <v>1212</v>
      </c>
      <c r="B45" t="s">
        <v>1188</v>
      </c>
      <c r="C45" t="s">
        <v>273</v>
      </c>
      <c r="D45" t="s">
        <v>1213</v>
      </c>
      <c r="E45" t="s">
        <v>1214</v>
      </c>
      <c r="F45" t="s">
        <v>1215</v>
      </c>
      <c r="G45" t="s">
        <v>1216</v>
      </c>
    </row>
    <row r="46" spans="1:7">
      <c r="A46" t="s">
        <v>271</v>
      </c>
      <c r="B46" t="s">
        <v>1188</v>
      </c>
      <c r="C46" t="s">
        <v>273</v>
      </c>
      <c r="D46" t="s">
        <v>1217</v>
      </c>
      <c r="E46" t="s">
        <v>1218</v>
      </c>
      <c r="F46" t="s">
        <v>1219</v>
      </c>
      <c r="G46" t="s">
        <v>1220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41"/>
  <sheetViews>
    <sheetView workbookViewId="0">
      <pane ySplit="1" topLeftCell="A2" activePane="bottomLeft" state="frozen"/>
      <selection pane="bottomLeft" activeCell="C343" sqref="C343"/>
    </sheetView>
  </sheetViews>
  <sheetFormatPr defaultColWidth="9.140625" defaultRowHeight="15"/>
  <cols>
    <col min="1" max="1" width="8" style="1" customWidth="1"/>
    <col min="2" max="3" width="44.140625" style="1" customWidth="1"/>
    <col min="4" max="4" width="24.5703125" style="1" bestFit="1" customWidth="1"/>
    <col min="5" max="5" width="70.5703125" style="1" customWidth="1"/>
    <col min="6" max="6" width="8.85546875" style="1" customWidth="1"/>
    <col min="7" max="7" width="12.28515625" style="1" customWidth="1"/>
    <col min="8" max="8" width="53" style="1" customWidth="1"/>
    <col min="9" max="12" width="9.140625" style="1" customWidth="1"/>
    <col min="13" max="16384" width="9.140625" style="1"/>
  </cols>
  <sheetData>
    <row r="1" spans="1:8" s="13" customFormat="1" ht="27.95" customHeight="1">
      <c r="A1" s="263" t="s">
        <v>1221</v>
      </c>
      <c r="B1" s="263" t="s">
        <v>353</v>
      </c>
      <c r="C1" s="263" t="s">
        <v>1222</v>
      </c>
      <c r="D1" s="263" t="s">
        <v>1223</v>
      </c>
      <c r="E1" s="263" t="s">
        <v>1224</v>
      </c>
      <c r="F1" s="263" t="s">
        <v>1225</v>
      </c>
      <c r="G1" s="263" t="s">
        <v>1226</v>
      </c>
      <c r="H1" s="263" t="s">
        <v>186</v>
      </c>
    </row>
    <row r="2" spans="1:8">
      <c r="A2" s="75" t="s">
        <v>1227</v>
      </c>
      <c r="B2" s="20" t="s">
        <v>1228</v>
      </c>
      <c r="C2" s="20" t="s">
        <v>1229</v>
      </c>
      <c r="D2" s="24" t="s">
        <v>1230</v>
      </c>
      <c r="E2" s="92" t="s">
        <v>1231</v>
      </c>
      <c r="F2" s="21" t="s">
        <v>1232</v>
      </c>
      <c r="G2" s="93">
        <v>46089</v>
      </c>
      <c r="H2" s="78" t="s">
        <v>342</v>
      </c>
    </row>
    <row r="3" spans="1:8">
      <c r="A3" s="76" t="s">
        <v>1233</v>
      </c>
      <c r="B3" s="25" t="s">
        <v>1234</v>
      </c>
      <c r="C3" s="25" t="s">
        <v>1235</v>
      </c>
      <c r="D3" s="94" t="s">
        <v>1236</v>
      </c>
      <c r="E3" s="95" t="s">
        <v>1237</v>
      </c>
      <c r="F3" s="26" t="s">
        <v>1232</v>
      </c>
      <c r="G3" s="96">
        <v>46089</v>
      </c>
      <c r="H3" s="82" t="s">
        <v>1238</v>
      </c>
    </row>
    <row r="4" spans="1:8">
      <c r="A4" s="75" t="s">
        <v>1239</v>
      </c>
      <c r="B4" s="20" t="s">
        <v>1240</v>
      </c>
      <c r="C4" s="20" t="s">
        <v>1235</v>
      </c>
      <c r="D4" s="42" t="s">
        <v>1236</v>
      </c>
      <c r="E4" s="92" t="s">
        <v>1241</v>
      </c>
      <c r="F4" s="21" t="s">
        <v>1232</v>
      </c>
      <c r="G4" s="93">
        <v>46089</v>
      </c>
      <c r="H4" s="78" t="s">
        <v>1238</v>
      </c>
    </row>
    <row r="5" spans="1:8">
      <c r="A5" s="76" t="s">
        <v>1242</v>
      </c>
      <c r="B5" s="25" t="s">
        <v>1243</v>
      </c>
      <c r="C5" s="25" t="s">
        <v>1244</v>
      </c>
      <c r="D5" s="29" t="s">
        <v>1230</v>
      </c>
      <c r="E5" s="95" t="s">
        <v>1245</v>
      </c>
      <c r="F5" s="26" t="s">
        <v>1232</v>
      </c>
      <c r="G5" s="96">
        <v>46089</v>
      </c>
      <c r="H5" s="82" t="s">
        <v>342</v>
      </c>
    </row>
    <row r="6" spans="1:8">
      <c r="A6" s="75" t="s">
        <v>1246</v>
      </c>
      <c r="B6" s="20" t="s">
        <v>1247</v>
      </c>
      <c r="C6" s="20" t="s">
        <v>1248</v>
      </c>
      <c r="D6" s="24" t="s">
        <v>1230</v>
      </c>
      <c r="E6" s="92" t="s">
        <v>1249</v>
      </c>
      <c r="F6" s="21" t="s">
        <v>1232</v>
      </c>
      <c r="G6" s="93">
        <v>46089</v>
      </c>
      <c r="H6" s="78" t="s">
        <v>342</v>
      </c>
    </row>
    <row r="7" spans="1:8">
      <c r="A7" s="76" t="s">
        <v>1250</v>
      </c>
      <c r="B7" s="25" t="s">
        <v>1251</v>
      </c>
      <c r="C7" s="25" t="s">
        <v>1252</v>
      </c>
      <c r="D7" s="29" t="s">
        <v>1230</v>
      </c>
      <c r="E7" s="95" t="s">
        <v>1253</v>
      </c>
      <c r="F7" s="26" t="s">
        <v>1232</v>
      </c>
      <c r="G7" s="96">
        <v>46089</v>
      </c>
      <c r="H7" s="82" t="s">
        <v>342</v>
      </c>
    </row>
    <row r="8" spans="1:8">
      <c r="A8" s="75" t="s">
        <v>1254</v>
      </c>
      <c r="B8" s="20" t="s">
        <v>1255</v>
      </c>
      <c r="C8" s="20" t="s">
        <v>1256</v>
      </c>
      <c r="D8" s="24" t="s">
        <v>1230</v>
      </c>
      <c r="E8" s="92" t="s">
        <v>1257</v>
      </c>
      <c r="F8" s="21" t="s">
        <v>1232</v>
      </c>
      <c r="G8" s="93">
        <v>46089</v>
      </c>
      <c r="H8" s="78" t="s">
        <v>342</v>
      </c>
    </row>
    <row r="9" spans="1:8">
      <c r="A9" s="76" t="s">
        <v>1258</v>
      </c>
      <c r="B9" s="25" t="s">
        <v>1259</v>
      </c>
      <c r="C9" s="25" t="s">
        <v>1260</v>
      </c>
      <c r="D9" s="29" t="s">
        <v>1261</v>
      </c>
      <c r="E9" s="95" t="s">
        <v>1262</v>
      </c>
      <c r="F9" s="26" t="s">
        <v>1232</v>
      </c>
      <c r="G9" s="96">
        <v>46089</v>
      </c>
      <c r="H9" s="82" t="s">
        <v>1263</v>
      </c>
    </row>
    <row r="10" spans="1:8">
      <c r="A10" s="75" t="s">
        <v>1264</v>
      </c>
      <c r="B10" s="20" t="s">
        <v>1265</v>
      </c>
      <c r="C10" s="20" t="s">
        <v>1266</v>
      </c>
      <c r="D10" s="24" t="s">
        <v>1267</v>
      </c>
      <c r="E10" s="92" t="s">
        <v>1268</v>
      </c>
      <c r="F10" s="21" t="s">
        <v>1232</v>
      </c>
      <c r="G10" s="93">
        <v>46089</v>
      </c>
      <c r="H10" s="78" t="s">
        <v>1269</v>
      </c>
    </row>
    <row r="11" spans="1:8">
      <c r="A11" s="76" t="s">
        <v>1270</v>
      </c>
      <c r="B11" s="25" t="s">
        <v>1271</v>
      </c>
      <c r="C11" s="25" t="s">
        <v>1272</v>
      </c>
      <c r="D11" s="29" t="s">
        <v>1230</v>
      </c>
      <c r="E11" s="95" t="s">
        <v>1273</v>
      </c>
      <c r="F11" s="26" t="s">
        <v>1232</v>
      </c>
      <c r="G11" s="96">
        <v>46089</v>
      </c>
      <c r="H11" s="82" t="s">
        <v>342</v>
      </c>
    </row>
    <row r="12" spans="1:8">
      <c r="A12" s="75" t="s">
        <v>1274</v>
      </c>
      <c r="B12" s="20" t="s">
        <v>1275</v>
      </c>
      <c r="C12" s="20" t="s">
        <v>1276</v>
      </c>
      <c r="D12" s="24" t="s">
        <v>1230</v>
      </c>
      <c r="E12" s="92" t="s">
        <v>1277</v>
      </c>
      <c r="F12" s="21" t="s">
        <v>1232</v>
      </c>
      <c r="G12" s="93">
        <v>46089</v>
      </c>
      <c r="H12" s="78" t="s">
        <v>342</v>
      </c>
    </row>
    <row r="13" spans="1:8">
      <c r="A13" s="76" t="s">
        <v>1278</v>
      </c>
      <c r="B13" s="25" t="s">
        <v>1279</v>
      </c>
      <c r="C13" s="25" t="s">
        <v>1280</v>
      </c>
      <c r="D13" s="29" t="s">
        <v>1230</v>
      </c>
      <c r="E13" s="95" t="s">
        <v>1281</v>
      </c>
      <c r="F13" s="26" t="s">
        <v>1232</v>
      </c>
      <c r="G13" s="96">
        <v>46089</v>
      </c>
      <c r="H13" s="82" t="s">
        <v>342</v>
      </c>
    </row>
    <row r="14" spans="1:8">
      <c r="A14" s="75" t="s">
        <v>1282</v>
      </c>
      <c r="B14" s="20" t="s">
        <v>1283</v>
      </c>
      <c r="C14" s="20" t="s">
        <v>1284</v>
      </c>
      <c r="D14" s="24" t="s">
        <v>1230</v>
      </c>
      <c r="E14" s="92" t="s">
        <v>1285</v>
      </c>
      <c r="F14" s="21" t="s">
        <v>1232</v>
      </c>
      <c r="G14" s="93">
        <v>46089</v>
      </c>
      <c r="H14" s="78" t="s">
        <v>342</v>
      </c>
    </row>
    <row r="15" spans="1:8">
      <c r="A15" s="76" t="s">
        <v>1286</v>
      </c>
      <c r="B15" s="25" t="s">
        <v>1287</v>
      </c>
      <c r="C15" s="25" t="s">
        <v>1288</v>
      </c>
      <c r="D15" s="29" t="s">
        <v>1230</v>
      </c>
      <c r="E15" s="95" t="s">
        <v>1289</v>
      </c>
      <c r="F15" s="26" t="s">
        <v>1232</v>
      </c>
      <c r="G15" s="96">
        <v>46089</v>
      </c>
      <c r="H15" s="82" t="s">
        <v>342</v>
      </c>
    </row>
    <row r="16" spans="1:8">
      <c r="A16" s="75" t="s">
        <v>1290</v>
      </c>
      <c r="B16" s="20" t="s">
        <v>1291</v>
      </c>
      <c r="C16" s="20" t="s">
        <v>1292</v>
      </c>
      <c r="D16" s="24" t="s">
        <v>1230</v>
      </c>
      <c r="E16" s="92" t="s">
        <v>1293</v>
      </c>
      <c r="F16" s="21" t="s">
        <v>1232</v>
      </c>
      <c r="G16" s="93">
        <v>46089</v>
      </c>
      <c r="H16" s="78" t="s">
        <v>342</v>
      </c>
    </row>
    <row r="17" spans="1:8">
      <c r="A17" s="76" t="s">
        <v>1294</v>
      </c>
      <c r="B17" s="25" t="s">
        <v>1295</v>
      </c>
      <c r="C17" s="25" t="s">
        <v>1296</v>
      </c>
      <c r="D17" s="29" t="s">
        <v>1230</v>
      </c>
      <c r="E17" s="95" t="s">
        <v>1297</v>
      </c>
      <c r="F17" s="26" t="s">
        <v>1232</v>
      </c>
      <c r="G17" s="96">
        <v>46089</v>
      </c>
      <c r="H17" s="82" t="s">
        <v>342</v>
      </c>
    </row>
    <row r="18" spans="1:8">
      <c r="A18" s="75" t="s">
        <v>1298</v>
      </c>
      <c r="B18" s="20" t="s">
        <v>1299</v>
      </c>
      <c r="C18" s="20" t="s">
        <v>1300</v>
      </c>
      <c r="D18" s="24" t="s">
        <v>1230</v>
      </c>
      <c r="E18" s="92" t="s">
        <v>1301</v>
      </c>
      <c r="F18" s="21" t="s">
        <v>1232</v>
      </c>
      <c r="G18" s="93">
        <v>46089</v>
      </c>
      <c r="H18" s="78" t="s">
        <v>342</v>
      </c>
    </row>
    <row r="19" spans="1:8">
      <c r="A19" s="76" t="s">
        <v>1302</v>
      </c>
      <c r="B19" s="25" t="s">
        <v>1303</v>
      </c>
      <c r="C19" s="25" t="s">
        <v>1304</v>
      </c>
      <c r="D19" s="29" t="s">
        <v>1230</v>
      </c>
      <c r="E19" s="95" t="s">
        <v>1305</v>
      </c>
      <c r="F19" s="26" t="s">
        <v>1232</v>
      </c>
      <c r="G19" s="96">
        <v>46089</v>
      </c>
      <c r="H19" s="82" t="s">
        <v>342</v>
      </c>
    </row>
    <row r="20" spans="1:8">
      <c r="A20" s="75" t="s">
        <v>1306</v>
      </c>
      <c r="B20" s="20" t="s">
        <v>1307</v>
      </c>
      <c r="C20" s="20" t="s">
        <v>1308</v>
      </c>
      <c r="D20" s="24" t="s">
        <v>1230</v>
      </c>
      <c r="E20" s="92" t="s">
        <v>1309</v>
      </c>
      <c r="F20" s="21" t="s">
        <v>1232</v>
      </c>
      <c r="G20" s="93">
        <v>46089</v>
      </c>
      <c r="H20" s="78" t="s">
        <v>342</v>
      </c>
    </row>
    <row r="21" spans="1:8" ht="26.25" customHeight="1">
      <c r="A21" s="76" t="s">
        <v>1310</v>
      </c>
      <c r="B21" s="25" t="s">
        <v>1311</v>
      </c>
      <c r="C21" s="25" t="s">
        <v>1312</v>
      </c>
      <c r="D21" s="34" t="s">
        <v>1313</v>
      </c>
      <c r="E21" s="95" t="s">
        <v>1314</v>
      </c>
      <c r="F21" s="26" t="s">
        <v>1232</v>
      </c>
      <c r="G21" s="96">
        <v>46089</v>
      </c>
      <c r="H21" s="82" t="s">
        <v>1315</v>
      </c>
    </row>
    <row r="22" spans="1:8" ht="26.25" customHeight="1">
      <c r="A22" s="75" t="s">
        <v>1316</v>
      </c>
      <c r="B22" s="20" t="s">
        <v>1317</v>
      </c>
      <c r="C22" s="20" t="s">
        <v>1318</v>
      </c>
      <c r="D22" s="97" t="s">
        <v>1313</v>
      </c>
      <c r="E22" s="92" t="s">
        <v>1319</v>
      </c>
      <c r="F22" s="21" t="s">
        <v>1232</v>
      </c>
      <c r="G22" s="93">
        <v>46089</v>
      </c>
      <c r="H22" s="78" t="s">
        <v>1320</v>
      </c>
    </row>
    <row r="23" spans="1:8">
      <c r="A23" s="76" t="s">
        <v>1321</v>
      </c>
      <c r="B23" s="25" t="s">
        <v>1322</v>
      </c>
      <c r="C23" s="25" t="s">
        <v>1235</v>
      </c>
      <c r="D23" s="94" t="s">
        <v>1236</v>
      </c>
      <c r="E23" s="95" t="s">
        <v>1323</v>
      </c>
      <c r="F23" s="26" t="s">
        <v>1232</v>
      </c>
      <c r="G23" s="96">
        <v>46089</v>
      </c>
      <c r="H23" s="82" t="s">
        <v>1324</v>
      </c>
    </row>
    <row r="24" spans="1:8" ht="39" customHeight="1">
      <c r="A24" s="75" t="s">
        <v>1325</v>
      </c>
      <c r="B24" s="20" t="s">
        <v>1326</v>
      </c>
      <c r="C24" s="20" t="s">
        <v>1327</v>
      </c>
      <c r="D24" s="24" t="s">
        <v>1328</v>
      </c>
      <c r="E24" s="92" t="s">
        <v>1329</v>
      </c>
      <c r="F24" s="21" t="s">
        <v>1232</v>
      </c>
      <c r="G24" s="93">
        <v>46089</v>
      </c>
      <c r="H24" s="78" t="s">
        <v>1330</v>
      </c>
    </row>
    <row r="25" spans="1:8" ht="26.25" customHeight="1">
      <c r="A25" s="76" t="s">
        <v>1331</v>
      </c>
      <c r="B25" s="25" t="s">
        <v>1332</v>
      </c>
      <c r="C25" s="25" t="s">
        <v>1333</v>
      </c>
      <c r="D25" s="98" t="s">
        <v>1334</v>
      </c>
      <c r="E25" s="95" t="s">
        <v>1335</v>
      </c>
      <c r="F25" s="26" t="s">
        <v>1232</v>
      </c>
      <c r="G25" s="96">
        <v>46089</v>
      </c>
      <c r="H25" s="82" t="s">
        <v>1336</v>
      </c>
    </row>
    <row r="26" spans="1:8" ht="26.25" customHeight="1">
      <c r="A26" s="75" t="s">
        <v>1337</v>
      </c>
      <c r="B26" s="20" t="s">
        <v>1338</v>
      </c>
      <c r="C26" s="20" t="s">
        <v>1339</v>
      </c>
      <c r="D26" s="45" t="s">
        <v>1340</v>
      </c>
      <c r="E26" s="92" t="s">
        <v>1341</v>
      </c>
      <c r="F26" s="21" t="s">
        <v>1232</v>
      </c>
      <c r="G26" s="93">
        <v>46089</v>
      </c>
      <c r="H26" s="78" t="s">
        <v>1342</v>
      </c>
    </row>
    <row r="27" spans="1:8" ht="26.25" customHeight="1">
      <c r="A27" s="76" t="s">
        <v>1343</v>
      </c>
      <c r="B27" s="25" t="s">
        <v>1344</v>
      </c>
      <c r="C27" s="25" t="s">
        <v>1345</v>
      </c>
      <c r="D27" s="29" t="s">
        <v>390</v>
      </c>
      <c r="E27" s="95" t="s">
        <v>1346</v>
      </c>
      <c r="F27" s="26" t="s">
        <v>1232</v>
      </c>
      <c r="G27" s="96">
        <v>46089</v>
      </c>
      <c r="H27" s="82" t="s">
        <v>1347</v>
      </c>
    </row>
    <row r="28" spans="1:8" ht="26.25" customHeight="1">
      <c r="A28" s="75" t="s">
        <v>1343</v>
      </c>
      <c r="B28" s="18" t="s">
        <v>1344</v>
      </c>
      <c r="C28" s="20" t="s">
        <v>1348</v>
      </c>
      <c r="D28" s="45" t="s">
        <v>1340</v>
      </c>
      <c r="E28" s="99" t="s">
        <v>1349</v>
      </c>
      <c r="F28" s="21" t="s">
        <v>1232</v>
      </c>
      <c r="G28" s="93">
        <v>46089</v>
      </c>
      <c r="H28" s="78" t="s">
        <v>1350</v>
      </c>
    </row>
    <row r="29" spans="1:8" ht="26.25" customHeight="1">
      <c r="A29" s="76" t="s">
        <v>1351</v>
      </c>
      <c r="B29" s="25" t="s">
        <v>1352</v>
      </c>
      <c r="C29" s="25" t="s">
        <v>1353</v>
      </c>
      <c r="D29" s="98" t="s">
        <v>1340</v>
      </c>
      <c r="E29" s="100" t="s">
        <v>1354</v>
      </c>
      <c r="F29" s="26" t="s">
        <v>1232</v>
      </c>
      <c r="G29" s="96">
        <v>46089</v>
      </c>
      <c r="H29" s="82" t="s">
        <v>1355</v>
      </c>
    </row>
    <row r="30" spans="1:8" ht="39" customHeight="1">
      <c r="A30" s="75" t="s">
        <v>1356</v>
      </c>
      <c r="B30" s="20" t="s">
        <v>1357</v>
      </c>
      <c r="C30" s="20" t="s">
        <v>1358</v>
      </c>
      <c r="D30" s="45" t="s">
        <v>1359</v>
      </c>
      <c r="E30" s="99" t="s">
        <v>1360</v>
      </c>
      <c r="F30" s="21" t="s">
        <v>1232</v>
      </c>
      <c r="G30" s="93">
        <v>46089</v>
      </c>
      <c r="H30" s="78" t="s">
        <v>1361</v>
      </c>
    </row>
    <row r="31" spans="1:8" ht="26.25" customHeight="1">
      <c r="A31" s="76" t="s">
        <v>1362</v>
      </c>
      <c r="B31" s="25" t="s">
        <v>1363</v>
      </c>
      <c r="C31" s="25" t="s">
        <v>1364</v>
      </c>
      <c r="D31" s="98" t="s">
        <v>1359</v>
      </c>
      <c r="E31" s="100" t="s">
        <v>1365</v>
      </c>
      <c r="F31" s="26" t="s">
        <v>1232</v>
      </c>
      <c r="G31" s="96">
        <v>46089</v>
      </c>
      <c r="H31" s="82" t="s">
        <v>1366</v>
      </c>
    </row>
    <row r="32" spans="1:8" ht="26.25" customHeight="1">
      <c r="A32" s="75" t="s">
        <v>1367</v>
      </c>
      <c r="B32" s="20" t="s">
        <v>1368</v>
      </c>
      <c r="C32" s="20" t="s">
        <v>1369</v>
      </c>
      <c r="D32" s="45" t="s">
        <v>1359</v>
      </c>
      <c r="E32" s="99" t="s">
        <v>1370</v>
      </c>
      <c r="F32" s="21" t="s">
        <v>1232</v>
      </c>
      <c r="G32" s="93">
        <v>46089</v>
      </c>
      <c r="H32" s="78" t="s">
        <v>1371</v>
      </c>
    </row>
    <row r="33" spans="1:8">
      <c r="A33" s="76" t="s">
        <v>1367</v>
      </c>
      <c r="B33" s="25" t="s">
        <v>1368</v>
      </c>
      <c r="C33" s="25" t="s">
        <v>1372</v>
      </c>
      <c r="D33" s="98" t="s">
        <v>1373</v>
      </c>
      <c r="E33" s="95" t="s">
        <v>1374</v>
      </c>
      <c r="F33" s="26" t="s">
        <v>1232</v>
      </c>
      <c r="G33" s="96">
        <v>46089</v>
      </c>
      <c r="H33" s="82" t="s">
        <v>1375</v>
      </c>
    </row>
    <row r="34" spans="1:8">
      <c r="A34" s="75"/>
      <c r="B34" s="20"/>
      <c r="C34" s="20"/>
      <c r="D34" s="45"/>
      <c r="E34" s="92"/>
      <c r="F34" s="21"/>
      <c r="G34" s="20"/>
      <c r="H34" s="78"/>
    </row>
    <row r="35" spans="1:8" ht="90" customHeight="1">
      <c r="A35" s="76" t="s">
        <v>1376</v>
      </c>
      <c r="B35" s="25"/>
      <c r="C35" s="25"/>
      <c r="D35" s="98"/>
      <c r="E35" s="95"/>
      <c r="F35" s="26"/>
      <c r="G35" s="25"/>
      <c r="H35" s="82"/>
    </row>
    <row r="36" spans="1:8" ht="39" customHeight="1">
      <c r="A36" s="75" t="s">
        <v>409</v>
      </c>
      <c r="B36" s="20" t="s">
        <v>1377</v>
      </c>
      <c r="C36" s="20" t="s">
        <v>1378</v>
      </c>
      <c r="D36" s="97" t="s">
        <v>1379</v>
      </c>
      <c r="E36" s="92" t="s">
        <v>1380</v>
      </c>
      <c r="F36" s="21" t="s">
        <v>1232</v>
      </c>
      <c r="G36" s="93">
        <v>46089</v>
      </c>
      <c r="H36" s="78" t="s">
        <v>1381</v>
      </c>
    </row>
    <row r="37" spans="1:8" ht="26.25" customHeight="1">
      <c r="A37" s="76" t="s">
        <v>1382</v>
      </c>
      <c r="B37" s="25" t="s">
        <v>1383</v>
      </c>
      <c r="C37" s="25" t="s">
        <v>1384</v>
      </c>
      <c r="D37" s="34" t="s">
        <v>1379</v>
      </c>
      <c r="E37" s="95" t="s">
        <v>1385</v>
      </c>
      <c r="F37" s="26" t="s">
        <v>1232</v>
      </c>
      <c r="G37" s="96">
        <v>46089</v>
      </c>
      <c r="H37" s="82" t="s">
        <v>1386</v>
      </c>
    </row>
    <row r="38" spans="1:8" ht="26.25" customHeight="1">
      <c r="A38" s="75" t="s">
        <v>1387</v>
      </c>
      <c r="B38" s="20" t="s">
        <v>1388</v>
      </c>
      <c r="C38" s="20" t="s">
        <v>1389</v>
      </c>
      <c r="D38" s="45" t="s">
        <v>1390</v>
      </c>
      <c r="E38" s="92" t="s">
        <v>1391</v>
      </c>
      <c r="F38" s="21" t="s">
        <v>1232</v>
      </c>
      <c r="G38" s="93">
        <v>46089</v>
      </c>
      <c r="H38" s="78" t="s">
        <v>1392</v>
      </c>
    </row>
    <row r="39" spans="1:8">
      <c r="A39" s="76" t="s">
        <v>1393</v>
      </c>
      <c r="B39" s="25" t="s">
        <v>1394</v>
      </c>
      <c r="C39" s="25" t="s">
        <v>1395</v>
      </c>
      <c r="D39" s="98" t="s">
        <v>1390</v>
      </c>
      <c r="E39" s="95" t="s">
        <v>1396</v>
      </c>
      <c r="F39" s="26" t="s">
        <v>1232</v>
      </c>
      <c r="G39" s="96">
        <v>46089</v>
      </c>
      <c r="H39" s="82" t="s">
        <v>1392</v>
      </c>
    </row>
    <row r="40" spans="1:8">
      <c r="A40" s="75" t="s">
        <v>1397</v>
      </c>
      <c r="B40" s="20" t="s">
        <v>1398</v>
      </c>
      <c r="C40" s="20" t="s">
        <v>1399</v>
      </c>
      <c r="D40" s="45" t="s">
        <v>1390</v>
      </c>
      <c r="E40" s="92" t="s">
        <v>1400</v>
      </c>
      <c r="F40" s="21" t="s">
        <v>1232</v>
      </c>
      <c r="G40" s="93">
        <v>46089</v>
      </c>
      <c r="H40" s="78" t="s">
        <v>1392</v>
      </c>
    </row>
    <row r="41" spans="1:8" ht="26.25" customHeight="1">
      <c r="A41" s="76" t="s">
        <v>1401</v>
      </c>
      <c r="B41" s="25" t="s">
        <v>1402</v>
      </c>
      <c r="C41" s="25" t="s">
        <v>1403</v>
      </c>
      <c r="D41" s="98" t="s">
        <v>1390</v>
      </c>
      <c r="E41" s="95" t="s">
        <v>1404</v>
      </c>
      <c r="F41" s="26" t="s">
        <v>1232</v>
      </c>
      <c r="G41" s="96">
        <v>46089</v>
      </c>
      <c r="H41" s="82" t="s">
        <v>1392</v>
      </c>
    </row>
    <row r="42" spans="1:8">
      <c r="A42" s="75" t="s">
        <v>1405</v>
      </c>
      <c r="B42" s="20" t="s">
        <v>1406</v>
      </c>
      <c r="C42" s="20" t="s">
        <v>1407</v>
      </c>
      <c r="D42" s="45" t="s">
        <v>1390</v>
      </c>
      <c r="E42" s="92" t="s">
        <v>1408</v>
      </c>
      <c r="F42" s="21" t="s">
        <v>1232</v>
      </c>
      <c r="G42" s="93">
        <v>46089</v>
      </c>
      <c r="H42" s="78" t="s">
        <v>1392</v>
      </c>
    </row>
    <row r="43" spans="1:8" ht="26.25" customHeight="1">
      <c r="A43" s="76" t="s">
        <v>1409</v>
      </c>
      <c r="B43" s="25" t="s">
        <v>1410</v>
      </c>
      <c r="C43" s="25" t="s">
        <v>1411</v>
      </c>
      <c r="D43" s="98" t="s">
        <v>1390</v>
      </c>
      <c r="E43" s="95" t="s">
        <v>1412</v>
      </c>
      <c r="F43" s="26" t="s">
        <v>1232</v>
      </c>
      <c r="G43" s="96">
        <v>46089</v>
      </c>
      <c r="H43" s="82" t="s">
        <v>1413</v>
      </c>
    </row>
    <row r="44" spans="1:8">
      <c r="A44" s="75" t="s">
        <v>1414</v>
      </c>
      <c r="B44" s="20" t="s">
        <v>1415</v>
      </c>
      <c r="C44" s="20" t="s">
        <v>1416</v>
      </c>
      <c r="D44" s="45" t="s">
        <v>1390</v>
      </c>
      <c r="E44" s="92" t="s">
        <v>1417</v>
      </c>
      <c r="F44" s="21" t="s">
        <v>1232</v>
      </c>
      <c r="G44" s="93">
        <v>46089</v>
      </c>
      <c r="H44" s="78" t="s">
        <v>1392</v>
      </c>
    </row>
    <row r="45" spans="1:8">
      <c r="A45" s="76" t="s">
        <v>1418</v>
      </c>
      <c r="B45" s="25" t="s">
        <v>1419</v>
      </c>
      <c r="C45" s="25" t="s">
        <v>1420</v>
      </c>
      <c r="D45" s="98" t="s">
        <v>1390</v>
      </c>
      <c r="E45" s="95" t="s">
        <v>1421</v>
      </c>
      <c r="F45" s="26" t="s">
        <v>1232</v>
      </c>
      <c r="G45" s="96">
        <v>46089</v>
      </c>
      <c r="H45" s="82" t="s">
        <v>1392</v>
      </c>
    </row>
    <row r="46" spans="1:8" ht="26.25" customHeight="1">
      <c r="A46" s="75" t="s">
        <v>1422</v>
      </c>
      <c r="B46" s="20" t="s">
        <v>1423</v>
      </c>
      <c r="C46" s="20" t="s">
        <v>1424</v>
      </c>
      <c r="D46" s="45" t="s">
        <v>1390</v>
      </c>
      <c r="E46" s="92" t="s">
        <v>1425</v>
      </c>
      <c r="F46" s="21" t="s">
        <v>1232</v>
      </c>
      <c r="G46" s="93">
        <v>46089</v>
      </c>
      <c r="H46" s="78" t="s">
        <v>1392</v>
      </c>
    </row>
    <row r="47" spans="1:8" ht="26.25" customHeight="1">
      <c r="A47" s="76" t="s">
        <v>1426</v>
      </c>
      <c r="B47" s="25" t="s">
        <v>1427</v>
      </c>
      <c r="C47" s="25" t="s">
        <v>1428</v>
      </c>
      <c r="D47" s="29" t="s">
        <v>1429</v>
      </c>
      <c r="E47" s="95" t="s">
        <v>1430</v>
      </c>
      <c r="F47" s="26" t="s">
        <v>1232</v>
      </c>
      <c r="G47" s="96">
        <v>46089</v>
      </c>
      <c r="H47" s="82"/>
    </row>
    <row r="48" spans="1:8">
      <c r="A48" s="75"/>
      <c r="B48" s="20"/>
      <c r="C48" s="20"/>
      <c r="D48" s="45"/>
      <c r="E48" s="92"/>
      <c r="F48" s="21"/>
      <c r="G48" s="20"/>
      <c r="H48" s="78"/>
    </row>
    <row r="49" spans="1:8" ht="77.25" customHeight="1">
      <c r="A49" s="76" t="s">
        <v>1431</v>
      </c>
      <c r="B49" s="25"/>
      <c r="C49" s="25"/>
      <c r="D49" s="98"/>
      <c r="E49" s="95"/>
      <c r="F49" s="26"/>
      <c r="G49" s="25"/>
      <c r="H49" s="82"/>
    </row>
    <row r="50" spans="1:8" ht="26.25" customHeight="1">
      <c r="A50" s="75" t="s">
        <v>1432</v>
      </c>
      <c r="B50" s="20">
        <v>44</v>
      </c>
      <c r="C50" s="20"/>
      <c r="D50" s="45"/>
      <c r="E50" s="92"/>
      <c r="F50" s="21"/>
      <c r="G50" s="20"/>
      <c r="H50" s="78"/>
    </row>
    <row r="51" spans="1:8" ht="26.25" customHeight="1">
      <c r="A51" s="76" t="s">
        <v>1230</v>
      </c>
      <c r="B51" s="25">
        <v>17</v>
      </c>
      <c r="C51" s="25" t="s">
        <v>1433</v>
      </c>
      <c r="D51" s="98"/>
      <c r="E51" s="95"/>
      <c r="F51" s="26"/>
      <c r="G51" s="25"/>
      <c r="H51" s="82"/>
    </row>
    <row r="52" spans="1:8" ht="26.25" customHeight="1">
      <c r="A52" s="75" t="s">
        <v>390</v>
      </c>
      <c r="B52" s="20">
        <v>2</v>
      </c>
      <c r="C52" s="20" t="s">
        <v>1434</v>
      </c>
      <c r="D52" s="45"/>
      <c r="E52" s="92"/>
      <c r="F52" s="21"/>
      <c r="G52" s="20"/>
      <c r="H52" s="78"/>
    </row>
    <row r="53" spans="1:8" ht="39" customHeight="1">
      <c r="A53" s="76" t="s">
        <v>1359</v>
      </c>
      <c r="B53" s="25">
        <v>3</v>
      </c>
      <c r="C53" s="25" t="s">
        <v>1435</v>
      </c>
      <c r="D53" s="98"/>
      <c r="E53" s="95"/>
      <c r="F53" s="26"/>
      <c r="G53" s="25"/>
      <c r="H53" s="82"/>
    </row>
    <row r="54" spans="1:8" ht="39" customHeight="1">
      <c r="A54" s="75" t="s">
        <v>1236</v>
      </c>
      <c r="B54" s="20">
        <v>3</v>
      </c>
      <c r="C54" s="20" t="s">
        <v>1436</v>
      </c>
      <c r="D54" s="45"/>
      <c r="E54" s="92"/>
      <c r="F54" s="21"/>
      <c r="G54" s="20"/>
      <c r="H54" s="78"/>
    </row>
    <row r="55" spans="1:8" ht="26.25" customHeight="1">
      <c r="A55" s="76" t="s">
        <v>1379</v>
      </c>
      <c r="B55" s="25">
        <v>4</v>
      </c>
      <c r="C55" s="25" t="s">
        <v>1437</v>
      </c>
      <c r="D55" s="98"/>
      <c r="E55" s="95"/>
      <c r="F55" s="26"/>
      <c r="G55" s="25"/>
      <c r="H55" s="82"/>
    </row>
    <row r="56" spans="1:8" ht="51.75" customHeight="1">
      <c r="A56" s="75" t="s">
        <v>1340</v>
      </c>
      <c r="B56" s="20">
        <v>3</v>
      </c>
      <c r="C56" s="20" t="s">
        <v>1438</v>
      </c>
      <c r="D56" s="45"/>
      <c r="E56" s="92"/>
      <c r="F56" s="21"/>
      <c r="G56" s="20"/>
      <c r="H56" s="78"/>
    </row>
    <row r="57" spans="1:8" ht="39" customHeight="1">
      <c r="A57" s="76" t="s">
        <v>1390</v>
      </c>
      <c r="B57" s="25">
        <v>10</v>
      </c>
      <c r="C57" s="25" t="s">
        <v>1439</v>
      </c>
      <c r="D57" s="98"/>
      <c r="E57" s="95"/>
      <c r="F57" s="26"/>
      <c r="G57" s="25"/>
      <c r="H57" s="82"/>
    </row>
    <row r="58" spans="1:8">
      <c r="A58" s="75"/>
      <c r="B58" s="20"/>
      <c r="C58" s="20"/>
      <c r="D58" s="45"/>
      <c r="E58" s="92"/>
      <c r="F58" s="21"/>
      <c r="G58" s="20"/>
      <c r="H58" s="78"/>
    </row>
    <row r="59" spans="1:8" ht="51.75" customHeight="1">
      <c r="A59" s="76" t="s">
        <v>1440</v>
      </c>
      <c r="B59" s="101" t="s">
        <v>337</v>
      </c>
      <c r="C59" s="101" t="s">
        <v>430</v>
      </c>
      <c r="D59" s="98"/>
      <c r="E59" s="95"/>
      <c r="F59" s="26"/>
      <c r="G59" s="25"/>
      <c r="H59" s="82"/>
    </row>
    <row r="60" spans="1:8" ht="64.5" customHeight="1">
      <c r="A60" s="75" t="s">
        <v>1441</v>
      </c>
      <c r="B60" s="20" t="s">
        <v>1442</v>
      </c>
      <c r="C60" s="20" t="s">
        <v>1443</v>
      </c>
      <c r="D60" s="45"/>
      <c r="E60" s="92"/>
      <c r="F60" s="21"/>
      <c r="G60" s="20"/>
      <c r="H60" s="78" t="s">
        <v>1444</v>
      </c>
    </row>
    <row r="61" spans="1:8" ht="64.5" customHeight="1">
      <c r="A61" s="76" t="s">
        <v>1445</v>
      </c>
      <c r="B61" s="25" t="s">
        <v>1442</v>
      </c>
      <c r="C61" s="25" t="s">
        <v>1446</v>
      </c>
      <c r="D61" s="98"/>
      <c r="E61" s="95"/>
      <c r="F61" s="26"/>
      <c r="G61" s="25"/>
      <c r="H61" s="82" t="s">
        <v>1447</v>
      </c>
    </row>
    <row r="62" spans="1:8" ht="77.25" customHeight="1">
      <c r="A62" s="75" t="s">
        <v>1448</v>
      </c>
      <c r="B62" s="20" t="s">
        <v>1449</v>
      </c>
      <c r="C62" s="20" t="s">
        <v>1450</v>
      </c>
      <c r="D62" s="45"/>
      <c r="E62" s="92"/>
      <c r="F62" s="21"/>
      <c r="G62" s="20"/>
      <c r="H62" s="78" t="s">
        <v>1451</v>
      </c>
    </row>
    <row r="63" spans="1:8" ht="77.25" customHeight="1">
      <c r="A63" s="76" t="s">
        <v>1452</v>
      </c>
      <c r="B63" s="25" t="s">
        <v>1449</v>
      </c>
      <c r="C63" s="25" t="s">
        <v>1453</v>
      </c>
      <c r="D63" s="98"/>
      <c r="E63" s="95"/>
      <c r="F63" s="26"/>
      <c r="G63" s="25"/>
      <c r="H63" s="82" t="s">
        <v>1454</v>
      </c>
    </row>
    <row r="64" spans="1:8" ht="90" customHeight="1">
      <c r="A64" s="75" t="s">
        <v>1455</v>
      </c>
      <c r="B64" s="20" t="s">
        <v>1456</v>
      </c>
      <c r="C64" s="20" t="s">
        <v>1457</v>
      </c>
      <c r="D64" s="45"/>
      <c r="E64" s="92"/>
      <c r="F64" s="21"/>
      <c r="G64" s="20"/>
      <c r="H64" s="78" t="s">
        <v>1458</v>
      </c>
    </row>
    <row r="65" spans="1:8" ht="77.25" customHeight="1">
      <c r="A65" s="76" t="s">
        <v>1459</v>
      </c>
      <c r="B65" s="25" t="s">
        <v>1456</v>
      </c>
      <c r="C65" s="25" t="s">
        <v>1460</v>
      </c>
      <c r="D65" s="98"/>
      <c r="E65" s="95"/>
      <c r="F65" s="26"/>
      <c r="G65" s="25"/>
      <c r="H65" s="82" t="s">
        <v>1461</v>
      </c>
    </row>
    <row r="66" spans="1:8" ht="77.25" customHeight="1">
      <c r="A66" s="75" t="s">
        <v>1462</v>
      </c>
      <c r="B66" s="20" t="s">
        <v>1463</v>
      </c>
      <c r="C66" s="20" t="s">
        <v>1464</v>
      </c>
      <c r="D66" s="45"/>
      <c r="E66" s="92"/>
      <c r="F66" s="21"/>
      <c r="G66" s="20"/>
      <c r="H66" s="78" t="s">
        <v>1465</v>
      </c>
    </row>
    <row r="67" spans="1:8">
      <c r="A67" s="76"/>
      <c r="B67" s="25"/>
      <c r="C67" s="25"/>
      <c r="D67" s="98"/>
      <c r="E67" s="95"/>
      <c r="F67" s="26"/>
      <c r="G67" s="25"/>
      <c r="H67" s="82"/>
    </row>
    <row r="68" spans="1:8" ht="90" customHeight="1">
      <c r="A68" s="75" t="s">
        <v>1466</v>
      </c>
      <c r="B68" s="20"/>
      <c r="C68" s="20"/>
      <c r="D68" s="45"/>
      <c r="E68" s="92"/>
      <c r="F68" s="21"/>
      <c r="G68" s="20"/>
      <c r="H68" s="78"/>
    </row>
    <row r="69" spans="1:8" ht="153.75" customHeight="1">
      <c r="A69" s="76" t="s">
        <v>1467</v>
      </c>
      <c r="B69" s="25" t="s">
        <v>1468</v>
      </c>
      <c r="C69" s="25" t="s">
        <v>1469</v>
      </c>
      <c r="D69" s="98"/>
      <c r="E69" s="95"/>
      <c r="F69" s="26"/>
      <c r="G69" s="25"/>
      <c r="H69" s="82"/>
    </row>
    <row r="70" spans="1:8" ht="102.75" customHeight="1">
      <c r="A70" s="75" t="s">
        <v>1470</v>
      </c>
      <c r="B70" s="20" t="s">
        <v>1468</v>
      </c>
      <c r="C70" s="20" t="s">
        <v>1471</v>
      </c>
      <c r="D70" s="45"/>
      <c r="E70" s="92"/>
      <c r="F70" s="21"/>
      <c r="G70" s="20"/>
      <c r="H70" s="78"/>
    </row>
    <row r="71" spans="1:8">
      <c r="A71" s="76"/>
      <c r="B71" s="25"/>
      <c r="C71" s="25"/>
      <c r="D71" s="98"/>
      <c r="E71" s="95"/>
      <c r="F71" s="26"/>
      <c r="G71" s="25"/>
      <c r="H71" s="82"/>
    </row>
    <row r="72" spans="1:8" ht="64.5" customHeight="1">
      <c r="A72" s="75" t="s">
        <v>1472</v>
      </c>
      <c r="B72" s="20"/>
      <c r="C72" s="20"/>
      <c r="D72" s="45"/>
      <c r="E72" s="92"/>
      <c r="F72" s="21" t="s">
        <v>1473</v>
      </c>
      <c r="G72" s="93">
        <v>46089</v>
      </c>
      <c r="H72" s="78"/>
    </row>
    <row r="73" spans="1:8" ht="26.25" customHeight="1">
      <c r="A73" s="76" t="s">
        <v>1474</v>
      </c>
      <c r="B73" s="25" t="s">
        <v>1475</v>
      </c>
      <c r="C73" s="25" t="s">
        <v>1476</v>
      </c>
      <c r="D73" s="29" t="s">
        <v>1477</v>
      </c>
      <c r="E73" s="95" t="s">
        <v>1478</v>
      </c>
      <c r="F73" s="26" t="s">
        <v>1473</v>
      </c>
      <c r="G73" s="96">
        <v>46089</v>
      </c>
      <c r="H73" s="82" t="s">
        <v>1479</v>
      </c>
    </row>
    <row r="74" spans="1:8" ht="26.25" customHeight="1">
      <c r="A74" s="75" t="s">
        <v>1480</v>
      </c>
      <c r="B74" s="20" t="s">
        <v>1481</v>
      </c>
      <c r="C74" s="20" t="s">
        <v>1482</v>
      </c>
      <c r="D74" s="24" t="s">
        <v>189</v>
      </c>
      <c r="E74" s="92" t="s">
        <v>1483</v>
      </c>
      <c r="F74" s="21" t="s">
        <v>1473</v>
      </c>
      <c r="G74" s="93">
        <v>46089</v>
      </c>
      <c r="H74" s="78" t="s">
        <v>1484</v>
      </c>
    </row>
    <row r="75" spans="1:8" ht="26.25" customHeight="1">
      <c r="A75" s="76" t="s">
        <v>1485</v>
      </c>
      <c r="B75" s="25" t="s">
        <v>1486</v>
      </c>
      <c r="C75" s="25" t="s">
        <v>1487</v>
      </c>
      <c r="D75" s="29" t="s">
        <v>189</v>
      </c>
      <c r="E75" s="95" t="s">
        <v>1488</v>
      </c>
      <c r="F75" s="26" t="s">
        <v>1473</v>
      </c>
      <c r="G75" s="96">
        <v>46089</v>
      </c>
      <c r="H75" s="82" t="s">
        <v>1489</v>
      </c>
    </row>
    <row r="76" spans="1:8" ht="51.75" customHeight="1">
      <c r="A76" s="75" t="s">
        <v>1490</v>
      </c>
      <c r="B76" s="20" t="s">
        <v>1491</v>
      </c>
      <c r="C76" s="20" t="s">
        <v>1492</v>
      </c>
      <c r="D76" s="24" t="s">
        <v>189</v>
      </c>
      <c r="E76" s="92" t="s">
        <v>1493</v>
      </c>
      <c r="F76" s="21" t="s">
        <v>1473</v>
      </c>
      <c r="G76" s="93">
        <v>46089</v>
      </c>
      <c r="H76" s="78" t="s">
        <v>1494</v>
      </c>
    </row>
    <row r="77" spans="1:8" ht="39" customHeight="1">
      <c r="A77" s="76" t="s">
        <v>1495</v>
      </c>
      <c r="B77" s="25" t="s">
        <v>1496</v>
      </c>
      <c r="C77" s="25" t="s">
        <v>1497</v>
      </c>
      <c r="D77" s="29" t="s">
        <v>189</v>
      </c>
      <c r="E77" s="95" t="s">
        <v>1498</v>
      </c>
      <c r="F77" s="26" t="s">
        <v>1473</v>
      </c>
      <c r="G77" s="96">
        <v>46089</v>
      </c>
      <c r="H77" s="82" t="s">
        <v>1499</v>
      </c>
    </row>
    <row r="78" spans="1:8" ht="39" customHeight="1">
      <c r="A78" s="75" t="s">
        <v>1500</v>
      </c>
      <c r="B78" s="20" t="s">
        <v>1501</v>
      </c>
      <c r="C78" s="20" t="s">
        <v>1502</v>
      </c>
      <c r="D78" s="24" t="s">
        <v>1503</v>
      </c>
      <c r="E78" s="92" t="s">
        <v>1504</v>
      </c>
      <c r="F78" s="21" t="s">
        <v>1473</v>
      </c>
      <c r="G78" s="93">
        <v>46089</v>
      </c>
      <c r="H78" s="78" t="s">
        <v>1505</v>
      </c>
    </row>
    <row r="79" spans="1:8">
      <c r="A79" s="76"/>
      <c r="B79" s="25"/>
      <c r="C79" s="25"/>
      <c r="D79" s="98"/>
      <c r="E79" s="95"/>
      <c r="F79" s="26"/>
      <c r="G79" s="25"/>
      <c r="H79" s="82"/>
    </row>
    <row r="80" spans="1:8" ht="77.25" customHeight="1">
      <c r="A80" s="75" t="s">
        <v>1506</v>
      </c>
      <c r="B80" s="20"/>
      <c r="C80" s="20"/>
      <c r="D80" s="45"/>
      <c r="E80" s="92"/>
      <c r="F80" s="21"/>
      <c r="G80" s="20"/>
      <c r="H80" s="78"/>
    </row>
    <row r="81" spans="1:8" ht="26.25" customHeight="1">
      <c r="A81" s="76" t="s">
        <v>11</v>
      </c>
      <c r="B81" s="25"/>
      <c r="C81" s="25" t="s">
        <v>1507</v>
      </c>
      <c r="D81" s="98"/>
      <c r="E81" s="95"/>
      <c r="F81" s="26"/>
      <c r="G81" s="25"/>
      <c r="H81" s="82"/>
    </row>
    <row r="82" spans="1:8" ht="26.25" customHeight="1">
      <c r="A82" s="75" t="s">
        <v>1508</v>
      </c>
      <c r="B82" s="20" t="s">
        <v>434</v>
      </c>
      <c r="C82" s="20" t="s">
        <v>1509</v>
      </c>
      <c r="D82" s="45"/>
      <c r="E82" s="92" t="s">
        <v>1510</v>
      </c>
      <c r="F82" s="21"/>
      <c r="G82" s="20"/>
      <c r="H82" s="78"/>
    </row>
    <row r="83" spans="1:8" ht="26.25" customHeight="1">
      <c r="A83" s="76" t="s">
        <v>1511</v>
      </c>
      <c r="B83" s="25" t="s">
        <v>434</v>
      </c>
      <c r="C83" s="25" t="s">
        <v>1512</v>
      </c>
      <c r="D83" s="98"/>
      <c r="E83" s="95" t="s">
        <v>1513</v>
      </c>
      <c r="F83" s="26"/>
      <c r="G83" s="25"/>
      <c r="H83" s="82"/>
    </row>
    <row r="84" spans="1:8" ht="26.25" customHeight="1">
      <c r="A84" s="75" t="s">
        <v>1514</v>
      </c>
      <c r="B84" s="20" t="s">
        <v>1515</v>
      </c>
      <c r="C84" s="20" t="s">
        <v>1516</v>
      </c>
      <c r="D84" s="45"/>
      <c r="E84" s="92" t="s">
        <v>1517</v>
      </c>
      <c r="F84" s="21"/>
      <c r="G84" s="20"/>
      <c r="H84" s="78"/>
    </row>
    <row r="85" spans="1:8" ht="26.25" customHeight="1">
      <c r="A85" s="76" t="s">
        <v>1518</v>
      </c>
      <c r="B85" s="25" t="s">
        <v>1477</v>
      </c>
      <c r="C85" s="25" t="s">
        <v>1519</v>
      </c>
      <c r="D85" s="98"/>
      <c r="E85" s="95" t="s">
        <v>1520</v>
      </c>
      <c r="F85" s="26"/>
      <c r="G85" s="25"/>
      <c r="H85" s="82"/>
    </row>
    <row r="86" spans="1:8">
      <c r="A86" s="75"/>
      <c r="B86" s="20"/>
      <c r="C86" s="20"/>
      <c r="D86" s="45"/>
      <c r="E86" s="92"/>
      <c r="F86" s="21"/>
      <c r="G86" s="20"/>
      <c r="H86" s="78"/>
    </row>
    <row r="87" spans="1:8" ht="51.75" customHeight="1">
      <c r="A87" s="76" t="s">
        <v>1521</v>
      </c>
      <c r="B87" s="25"/>
      <c r="C87" s="25"/>
      <c r="D87" s="98"/>
      <c r="E87" s="95"/>
      <c r="F87" s="26"/>
      <c r="G87" s="25"/>
      <c r="H87" s="82"/>
    </row>
    <row r="88" spans="1:8" ht="51.75" customHeight="1">
      <c r="A88" s="75" t="s">
        <v>1514</v>
      </c>
      <c r="B88" s="20" t="s">
        <v>1522</v>
      </c>
      <c r="C88" s="20" t="s">
        <v>1523</v>
      </c>
      <c r="D88" s="45"/>
      <c r="E88" s="92" t="s">
        <v>1524</v>
      </c>
      <c r="F88" s="21"/>
      <c r="G88" s="20"/>
      <c r="H88" s="78"/>
    </row>
    <row r="89" spans="1:8" ht="26.25" customHeight="1">
      <c r="A89" s="76" t="s">
        <v>1525</v>
      </c>
      <c r="B89" s="25" t="s">
        <v>1526</v>
      </c>
      <c r="C89" s="25" t="s">
        <v>1527</v>
      </c>
      <c r="D89" s="98"/>
      <c r="E89" s="95" t="s">
        <v>1528</v>
      </c>
      <c r="F89" s="26"/>
      <c r="G89" s="25"/>
      <c r="H89" s="82"/>
    </row>
    <row r="90" spans="1:8" ht="26.25" customHeight="1">
      <c r="A90" s="75" t="s">
        <v>1529</v>
      </c>
      <c r="B90" s="20" t="s">
        <v>1530</v>
      </c>
      <c r="C90" s="20" t="s">
        <v>1531</v>
      </c>
      <c r="D90" s="24" t="s">
        <v>189</v>
      </c>
      <c r="E90" s="92" t="s">
        <v>1532</v>
      </c>
      <c r="F90" s="21" t="s">
        <v>1473</v>
      </c>
      <c r="G90" s="93">
        <v>46089</v>
      </c>
      <c r="H90" s="78" t="s">
        <v>1533</v>
      </c>
    </row>
    <row r="91" spans="1:8" ht="26.25" customHeight="1">
      <c r="A91" s="76" t="s">
        <v>1534</v>
      </c>
      <c r="B91" s="25" t="s">
        <v>1535</v>
      </c>
      <c r="C91" s="25" t="s">
        <v>1536</v>
      </c>
      <c r="D91" s="29" t="s">
        <v>189</v>
      </c>
      <c r="E91" s="95" t="s">
        <v>1537</v>
      </c>
      <c r="F91" s="26" t="s">
        <v>1473</v>
      </c>
      <c r="G91" s="96">
        <v>46089</v>
      </c>
      <c r="H91" s="82" t="s">
        <v>1533</v>
      </c>
    </row>
    <row r="92" spans="1:8" ht="39" customHeight="1">
      <c r="A92" s="75" t="s">
        <v>1538</v>
      </c>
      <c r="B92" s="20" t="s">
        <v>1539</v>
      </c>
      <c r="C92" s="20" t="s">
        <v>1540</v>
      </c>
      <c r="D92" s="24" t="s">
        <v>189</v>
      </c>
      <c r="E92" s="92" t="s">
        <v>1541</v>
      </c>
      <c r="F92" s="21" t="s">
        <v>1473</v>
      </c>
      <c r="G92" s="93">
        <v>46089</v>
      </c>
      <c r="H92" s="78" t="s">
        <v>1533</v>
      </c>
    </row>
    <row r="93" spans="1:8" ht="26.25" customHeight="1">
      <c r="A93" s="76" t="s">
        <v>1542</v>
      </c>
      <c r="B93" s="25" t="s">
        <v>1543</v>
      </c>
      <c r="C93" s="25" t="s">
        <v>1544</v>
      </c>
      <c r="D93" s="29" t="s">
        <v>189</v>
      </c>
      <c r="E93" s="95" t="s">
        <v>1545</v>
      </c>
      <c r="F93" s="26" t="s">
        <v>1473</v>
      </c>
      <c r="G93" s="96">
        <v>46089</v>
      </c>
      <c r="H93" s="82" t="s">
        <v>1533</v>
      </c>
    </row>
    <row r="94" spans="1:8" ht="26.25" customHeight="1">
      <c r="A94" s="75" t="s">
        <v>1546</v>
      </c>
      <c r="B94" s="20" t="s">
        <v>1547</v>
      </c>
      <c r="C94" s="20" t="s">
        <v>1548</v>
      </c>
      <c r="D94" s="24" t="s">
        <v>189</v>
      </c>
      <c r="E94" s="92" t="s">
        <v>1549</v>
      </c>
      <c r="F94" s="21" t="s">
        <v>1473</v>
      </c>
      <c r="G94" s="93">
        <v>46089</v>
      </c>
      <c r="H94" s="78" t="s">
        <v>1533</v>
      </c>
    </row>
    <row r="95" spans="1:8">
      <c r="A95" s="76"/>
      <c r="B95" s="25"/>
      <c r="C95" s="25"/>
      <c r="D95" s="98"/>
      <c r="E95" s="95"/>
      <c r="F95" s="26"/>
      <c r="G95" s="25"/>
      <c r="H95" s="82"/>
    </row>
    <row r="96" spans="1:8" ht="128.25" customHeight="1">
      <c r="A96" s="75" t="s">
        <v>1550</v>
      </c>
      <c r="B96" s="20"/>
      <c r="C96" s="20"/>
      <c r="D96" s="45"/>
      <c r="E96" s="92"/>
      <c r="F96" s="21" t="s">
        <v>1077</v>
      </c>
      <c r="G96" s="20"/>
      <c r="H96" s="78"/>
    </row>
    <row r="97" spans="1:8" ht="26.25" customHeight="1">
      <c r="A97" s="76" t="s">
        <v>1551</v>
      </c>
      <c r="B97" s="25" t="s">
        <v>1552</v>
      </c>
      <c r="C97" s="25" t="s">
        <v>1553</v>
      </c>
      <c r="D97" s="29" t="s">
        <v>1230</v>
      </c>
      <c r="E97" s="95" t="s">
        <v>1554</v>
      </c>
      <c r="F97" s="26" t="s">
        <v>1077</v>
      </c>
      <c r="G97" s="25"/>
      <c r="H97" s="82" t="s">
        <v>1555</v>
      </c>
    </row>
    <row r="98" spans="1:8">
      <c r="A98" s="75" t="s">
        <v>1556</v>
      </c>
      <c r="B98" s="20" t="s">
        <v>1557</v>
      </c>
      <c r="C98" s="20" t="s">
        <v>1558</v>
      </c>
      <c r="D98" s="24" t="s">
        <v>1230</v>
      </c>
      <c r="E98" s="92" t="s">
        <v>1559</v>
      </c>
      <c r="F98" s="21" t="s">
        <v>1077</v>
      </c>
      <c r="G98" s="20"/>
      <c r="H98" s="78" t="s">
        <v>342</v>
      </c>
    </row>
    <row r="99" spans="1:8" ht="26.25" customHeight="1">
      <c r="A99" s="76" t="s">
        <v>1560</v>
      </c>
      <c r="B99" s="25" t="s">
        <v>1561</v>
      </c>
      <c r="C99" s="25" t="s">
        <v>1562</v>
      </c>
      <c r="D99" s="34" t="s">
        <v>1563</v>
      </c>
      <c r="E99" s="95" t="s">
        <v>1564</v>
      </c>
      <c r="F99" s="26" t="s">
        <v>1077</v>
      </c>
      <c r="G99" s="25"/>
      <c r="H99" s="82" t="s">
        <v>1565</v>
      </c>
    </row>
    <row r="100" spans="1:8" ht="26.25" customHeight="1">
      <c r="A100" s="75" t="s">
        <v>1566</v>
      </c>
      <c r="B100" s="20" t="s">
        <v>1567</v>
      </c>
      <c r="C100" s="20" t="s">
        <v>1568</v>
      </c>
      <c r="D100" s="24" t="s">
        <v>1230</v>
      </c>
      <c r="E100" s="92" t="s">
        <v>1569</v>
      </c>
      <c r="F100" s="21" t="s">
        <v>1077</v>
      </c>
      <c r="G100" s="20"/>
      <c r="H100" s="78" t="s">
        <v>342</v>
      </c>
    </row>
    <row r="101" spans="1:8" ht="26.25" customHeight="1">
      <c r="A101" s="76" t="s">
        <v>1570</v>
      </c>
      <c r="B101" s="25" t="s">
        <v>1571</v>
      </c>
      <c r="C101" s="25" t="s">
        <v>1572</v>
      </c>
      <c r="D101" s="29" t="s">
        <v>1573</v>
      </c>
      <c r="E101" s="95" t="s">
        <v>1574</v>
      </c>
      <c r="F101" s="26" t="s">
        <v>1077</v>
      </c>
      <c r="G101" s="25"/>
      <c r="H101" s="82" t="s">
        <v>1575</v>
      </c>
    </row>
    <row r="102" spans="1:8">
      <c r="A102" s="75" t="s">
        <v>1576</v>
      </c>
      <c r="B102" s="20" t="s">
        <v>1577</v>
      </c>
      <c r="C102" s="20" t="s">
        <v>1578</v>
      </c>
      <c r="D102" s="24" t="s">
        <v>1230</v>
      </c>
      <c r="E102" s="92" t="s">
        <v>1579</v>
      </c>
      <c r="F102" s="21" t="s">
        <v>1077</v>
      </c>
      <c r="G102" s="20"/>
      <c r="H102" s="78" t="s">
        <v>342</v>
      </c>
    </row>
    <row r="103" spans="1:8" ht="26.25" customHeight="1">
      <c r="A103" s="76" t="s">
        <v>1580</v>
      </c>
      <c r="B103" s="25" t="s">
        <v>1581</v>
      </c>
      <c r="C103" s="25" t="s">
        <v>1582</v>
      </c>
      <c r="D103" s="29" t="s">
        <v>1573</v>
      </c>
      <c r="E103" s="95" t="s">
        <v>1583</v>
      </c>
      <c r="F103" s="26" t="s">
        <v>1077</v>
      </c>
      <c r="G103" s="25"/>
      <c r="H103" s="82" t="s">
        <v>1575</v>
      </c>
    </row>
    <row r="104" spans="1:8" ht="26.25" customHeight="1">
      <c r="A104" s="75" t="s">
        <v>1584</v>
      </c>
      <c r="B104" s="20" t="s">
        <v>1585</v>
      </c>
      <c r="C104" s="20" t="s">
        <v>1586</v>
      </c>
      <c r="D104" s="24" t="s">
        <v>1230</v>
      </c>
      <c r="E104" s="92" t="s">
        <v>1587</v>
      </c>
      <c r="F104" s="21" t="s">
        <v>1077</v>
      </c>
      <c r="G104" s="20"/>
      <c r="H104" s="78" t="s">
        <v>342</v>
      </c>
    </row>
    <row r="105" spans="1:8" ht="26.25" customHeight="1">
      <c r="A105" s="76" t="s">
        <v>1588</v>
      </c>
      <c r="B105" s="25" t="s">
        <v>1589</v>
      </c>
      <c r="C105" s="25" t="s">
        <v>1590</v>
      </c>
      <c r="D105" s="34" t="s">
        <v>1591</v>
      </c>
      <c r="E105" s="95" t="s">
        <v>1592</v>
      </c>
      <c r="F105" s="26" t="s">
        <v>1077</v>
      </c>
      <c r="G105" s="25"/>
      <c r="H105" s="82" t="s">
        <v>1593</v>
      </c>
    </row>
    <row r="106" spans="1:8" ht="26.25" customHeight="1">
      <c r="A106" s="75" t="s">
        <v>1594</v>
      </c>
      <c r="B106" s="20" t="s">
        <v>1595</v>
      </c>
      <c r="C106" s="20" t="s">
        <v>1596</v>
      </c>
      <c r="D106" s="102" t="s">
        <v>1597</v>
      </c>
      <c r="E106" s="92" t="s">
        <v>1598</v>
      </c>
      <c r="F106" s="21" t="s">
        <v>1077</v>
      </c>
      <c r="G106" s="20"/>
      <c r="H106" s="78" t="s">
        <v>1599</v>
      </c>
    </row>
    <row r="107" spans="1:8" ht="26.25" customHeight="1">
      <c r="A107" s="76" t="s">
        <v>1600</v>
      </c>
      <c r="B107" s="25" t="s">
        <v>1601</v>
      </c>
      <c r="C107" s="25" t="s">
        <v>1602</v>
      </c>
      <c r="D107" s="39" t="s">
        <v>1603</v>
      </c>
      <c r="E107" s="95" t="s">
        <v>1604</v>
      </c>
      <c r="F107" s="26" t="s">
        <v>1077</v>
      </c>
      <c r="G107" s="25"/>
      <c r="H107" s="82" t="s">
        <v>1605</v>
      </c>
    </row>
    <row r="108" spans="1:8">
      <c r="A108" s="75" t="s">
        <v>1606</v>
      </c>
      <c r="B108" s="20" t="s">
        <v>1607</v>
      </c>
      <c r="C108" s="20" t="s">
        <v>1608</v>
      </c>
      <c r="D108" s="42" t="s">
        <v>1236</v>
      </c>
      <c r="E108" s="92" t="s">
        <v>1609</v>
      </c>
      <c r="F108" s="21" t="s">
        <v>1077</v>
      </c>
      <c r="G108" s="20"/>
      <c r="H108" s="78" t="s">
        <v>1610</v>
      </c>
    </row>
    <row r="109" spans="1:8">
      <c r="A109" s="76" t="s">
        <v>1611</v>
      </c>
      <c r="B109" s="25" t="s">
        <v>1612</v>
      </c>
      <c r="C109" s="25" t="s">
        <v>1613</v>
      </c>
      <c r="D109" s="94" t="s">
        <v>1236</v>
      </c>
      <c r="E109" s="95" t="s">
        <v>1614</v>
      </c>
      <c r="F109" s="26" t="s">
        <v>1077</v>
      </c>
      <c r="G109" s="25"/>
      <c r="H109" s="82" t="s">
        <v>1610</v>
      </c>
    </row>
    <row r="110" spans="1:8">
      <c r="A110" s="75" t="s">
        <v>1615</v>
      </c>
      <c r="B110" s="20" t="s">
        <v>1616</v>
      </c>
      <c r="C110" s="20" t="s">
        <v>1617</v>
      </c>
      <c r="D110" s="97" t="s">
        <v>1591</v>
      </c>
      <c r="E110" s="92" t="s">
        <v>1618</v>
      </c>
      <c r="F110" s="21" t="s">
        <v>1077</v>
      </c>
      <c r="G110" s="20"/>
      <c r="H110" s="78" t="s">
        <v>1619</v>
      </c>
    </row>
    <row r="111" spans="1:8" ht="26.25" customHeight="1">
      <c r="A111" s="76" t="s">
        <v>1620</v>
      </c>
      <c r="B111" s="25" t="s">
        <v>1621</v>
      </c>
      <c r="C111" s="25" t="s">
        <v>1622</v>
      </c>
      <c r="D111" s="94" t="s">
        <v>1236</v>
      </c>
      <c r="E111" s="95" t="s">
        <v>1623</v>
      </c>
      <c r="F111" s="26" t="s">
        <v>1077</v>
      </c>
      <c r="G111" s="25"/>
      <c r="H111" s="82" t="s">
        <v>1610</v>
      </c>
    </row>
    <row r="112" spans="1:8">
      <c r="A112" s="75" t="s">
        <v>1624</v>
      </c>
      <c r="B112" s="20" t="s">
        <v>1625</v>
      </c>
      <c r="C112" s="20" t="s">
        <v>1626</v>
      </c>
      <c r="D112" s="24" t="s">
        <v>1230</v>
      </c>
      <c r="E112" s="92" t="s">
        <v>1627</v>
      </c>
      <c r="F112" s="21" t="s">
        <v>1077</v>
      </c>
      <c r="G112" s="20"/>
      <c r="H112" s="78" t="s">
        <v>342</v>
      </c>
    </row>
    <row r="113" spans="1:8">
      <c r="A113" s="76"/>
      <c r="B113" s="25"/>
      <c r="C113" s="25"/>
      <c r="D113" s="98"/>
      <c r="E113" s="95"/>
      <c r="F113" s="26"/>
      <c r="G113" s="25"/>
      <c r="H113" s="82"/>
    </row>
    <row r="114" spans="1:8" ht="115.5" customHeight="1">
      <c r="A114" s="75" t="s">
        <v>1628</v>
      </c>
      <c r="B114" s="20"/>
      <c r="C114" s="20"/>
      <c r="D114" s="45"/>
      <c r="E114" s="92"/>
      <c r="F114" s="21"/>
      <c r="G114" s="20"/>
      <c r="H114" s="78"/>
    </row>
    <row r="115" spans="1:8">
      <c r="A115" s="76" t="s">
        <v>1629</v>
      </c>
      <c r="B115" s="25" t="s">
        <v>43</v>
      </c>
      <c r="C115" s="25" t="s">
        <v>385</v>
      </c>
      <c r="D115" s="98" t="s">
        <v>384</v>
      </c>
      <c r="E115" s="95" t="s">
        <v>1630</v>
      </c>
      <c r="F115" s="26"/>
      <c r="G115" s="25"/>
      <c r="H115" s="82"/>
    </row>
    <row r="116" spans="1:8" ht="51.75" customHeight="1">
      <c r="A116" s="75" t="s">
        <v>1631</v>
      </c>
      <c r="B116" s="20" t="s">
        <v>1632</v>
      </c>
      <c r="C116" s="20" t="s">
        <v>1633</v>
      </c>
      <c r="D116" s="45" t="s">
        <v>1634</v>
      </c>
      <c r="E116" s="92" t="s">
        <v>1635</v>
      </c>
      <c r="F116" s="21"/>
      <c r="G116" s="20"/>
      <c r="H116" s="78"/>
    </row>
    <row r="117" spans="1:8" ht="51.75" customHeight="1">
      <c r="A117" s="76" t="s">
        <v>1636</v>
      </c>
      <c r="B117" s="25" t="s">
        <v>1637</v>
      </c>
      <c r="C117" s="25" t="s">
        <v>1633</v>
      </c>
      <c r="D117" s="98" t="s">
        <v>1638</v>
      </c>
      <c r="E117" s="95" t="s">
        <v>1639</v>
      </c>
      <c r="F117" s="26"/>
      <c r="G117" s="25"/>
      <c r="H117" s="82"/>
    </row>
    <row r="118" spans="1:8" ht="51.75" customHeight="1">
      <c r="A118" s="75" t="s">
        <v>1640</v>
      </c>
      <c r="B118" s="20" t="s">
        <v>1637</v>
      </c>
      <c r="C118" s="20" t="s">
        <v>1641</v>
      </c>
      <c r="D118" s="45" t="s">
        <v>1642</v>
      </c>
      <c r="E118" s="92" t="s">
        <v>1643</v>
      </c>
      <c r="F118" s="21"/>
      <c r="G118" s="20"/>
      <c r="H118" s="78"/>
    </row>
    <row r="119" spans="1:8" ht="64.5" customHeight="1">
      <c r="A119" s="76" t="s">
        <v>1644</v>
      </c>
      <c r="B119" s="25" t="s">
        <v>1645</v>
      </c>
      <c r="C119" s="25" t="s">
        <v>1646</v>
      </c>
      <c r="D119" s="98" t="s">
        <v>1647</v>
      </c>
      <c r="E119" s="95" t="s">
        <v>1648</v>
      </c>
      <c r="F119" s="26"/>
      <c r="G119" s="25"/>
      <c r="H119" s="82"/>
    </row>
    <row r="120" spans="1:8" ht="51.75" customHeight="1">
      <c r="A120" s="75" t="s">
        <v>1649</v>
      </c>
      <c r="B120" s="20" t="s">
        <v>1645</v>
      </c>
      <c r="C120" s="20" t="s">
        <v>1646</v>
      </c>
      <c r="D120" s="45" t="s">
        <v>1650</v>
      </c>
      <c r="E120" s="92" t="s">
        <v>1651</v>
      </c>
      <c r="F120" s="21"/>
      <c r="G120" s="20"/>
      <c r="H120" s="78"/>
    </row>
    <row r="121" spans="1:8">
      <c r="A121" s="76"/>
      <c r="B121" s="25"/>
      <c r="C121" s="25"/>
      <c r="D121" s="98"/>
      <c r="E121" s="95"/>
      <c r="F121" s="26"/>
      <c r="G121" s="25"/>
      <c r="H121" s="82"/>
    </row>
    <row r="122" spans="1:8" ht="77.25" customHeight="1">
      <c r="A122" s="75" t="s">
        <v>1652</v>
      </c>
      <c r="B122" s="20"/>
      <c r="C122" s="20"/>
      <c r="D122" s="45"/>
      <c r="E122" s="92"/>
      <c r="F122" s="21"/>
      <c r="G122" s="20"/>
      <c r="H122" s="78"/>
    </row>
    <row r="123" spans="1:8" ht="26.25" customHeight="1">
      <c r="A123" s="76" t="s">
        <v>1653</v>
      </c>
      <c r="B123" s="25" t="s">
        <v>1654</v>
      </c>
      <c r="C123" s="25" t="s">
        <v>1655</v>
      </c>
      <c r="D123" s="29" t="s">
        <v>1656</v>
      </c>
      <c r="E123" s="95" t="s">
        <v>1657</v>
      </c>
      <c r="F123" s="26" t="s">
        <v>1077</v>
      </c>
      <c r="G123" s="25"/>
      <c r="H123" s="82" t="s">
        <v>1658</v>
      </c>
    </row>
    <row r="124" spans="1:8" ht="26.25" customHeight="1">
      <c r="A124" s="75" t="s">
        <v>1659</v>
      </c>
      <c r="B124" s="20" t="s">
        <v>1660</v>
      </c>
      <c r="C124" s="20" t="s">
        <v>1661</v>
      </c>
      <c r="D124" s="24" t="s">
        <v>1656</v>
      </c>
      <c r="E124" s="92" t="s">
        <v>1662</v>
      </c>
      <c r="F124" s="21" t="s">
        <v>1077</v>
      </c>
      <c r="G124" s="20"/>
      <c r="H124" s="78" t="s">
        <v>1658</v>
      </c>
    </row>
    <row r="125" spans="1:8" ht="26.25" customHeight="1">
      <c r="A125" s="76" t="s">
        <v>1663</v>
      </c>
      <c r="B125" s="25" t="s">
        <v>1664</v>
      </c>
      <c r="C125" s="25" t="s">
        <v>1665</v>
      </c>
      <c r="D125" s="94" t="s">
        <v>1666</v>
      </c>
      <c r="E125" s="95" t="s">
        <v>1667</v>
      </c>
      <c r="F125" s="26" t="s">
        <v>1077</v>
      </c>
      <c r="G125" s="25"/>
      <c r="H125" s="82" t="s">
        <v>1668</v>
      </c>
    </row>
    <row r="126" spans="1:8">
      <c r="A126" s="75"/>
      <c r="B126" s="20"/>
      <c r="C126" s="20"/>
      <c r="D126" s="45"/>
      <c r="E126" s="92"/>
      <c r="F126" s="21"/>
      <c r="G126" s="20"/>
      <c r="H126" s="78"/>
    </row>
    <row r="127" spans="1:8" ht="90" customHeight="1">
      <c r="A127" s="76" t="s">
        <v>1669</v>
      </c>
      <c r="B127" s="25"/>
      <c r="C127" s="25"/>
      <c r="D127" s="98"/>
      <c r="E127" s="95"/>
      <c r="F127" s="26"/>
      <c r="G127" s="25"/>
      <c r="H127" s="82"/>
    </row>
    <row r="128" spans="1:8" ht="26.25" customHeight="1">
      <c r="A128" s="75" t="s">
        <v>1670</v>
      </c>
      <c r="B128" s="20" t="s">
        <v>1671</v>
      </c>
      <c r="C128" s="20" t="s">
        <v>1672</v>
      </c>
      <c r="D128" s="97" t="s">
        <v>1673</v>
      </c>
      <c r="E128" s="92" t="s">
        <v>1674</v>
      </c>
      <c r="F128" s="21" t="s">
        <v>1077</v>
      </c>
      <c r="G128" s="20"/>
      <c r="H128" s="78" t="s">
        <v>1675</v>
      </c>
    </row>
    <row r="129" spans="1:8" ht="26.25" customHeight="1">
      <c r="A129" s="76" t="s">
        <v>1676</v>
      </c>
      <c r="B129" s="25" t="s">
        <v>1677</v>
      </c>
      <c r="C129" s="25" t="s">
        <v>1678</v>
      </c>
      <c r="D129" s="34" t="s">
        <v>1673</v>
      </c>
      <c r="E129" s="95" t="s">
        <v>1679</v>
      </c>
      <c r="F129" s="26" t="s">
        <v>1077</v>
      </c>
      <c r="G129" s="25"/>
      <c r="H129" s="82" t="s">
        <v>1680</v>
      </c>
    </row>
    <row r="130" spans="1:8" ht="26.25" customHeight="1">
      <c r="A130" s="75" t="s">
        <v>1681</v>
      </c>
      <c r="B130" s="20" t="s">
        <v>1682</v>
      </c>
      <c r="C130" s="20" t="s">
        <v>1683</v>
      </c>
      <c r="D130" s="24" t="s">
        <v>1230</v>
      </c>
      <c r="E130" s="92" t="s">
        <v>1684</v>
      </c>
      <c r="F130" s="21" t="s">
        <v>1077</v>
      </c>
      <c r="G130" s="20"/>
      <c r="H130" s="78" t="s">
        <v>1685</v>
      </c>
    </row>
    <row r="131" spans="1:8" ht="26.25" customHeight="1">
      <c r="A131" s="76" t="s">
        <v>1686</v>
      </c>
      <c r="B131" s="25" t="s">
        <v>1687</v>
      </c>
      <c r="C131" s="25" t="s">
        <v>1688</v>
      </c>
      <c r="D131" s="39" t="s">
        <v>1689</v>
      </c>
      <c r="E131" s="95" t="s">
        <v>1690</v>
      </c>
      <c r="F131" s="26" t="s">
        <v>1077</v>
      </c>
      <c r="G131" s="25"/>
      <c r="H131" s="82" t="s">
        <v>1691</v>
      </c>
    </row>
    <row r="132" spans="1:8" ht="39" customHeight="1">
      <c r="A132" s="75" t="s">
        <v>1692</v>
      </c>
      <c r="B132" s="20" t="s">
        <v>1693</v>
      </c>
      <c r="C132" s="20" t="s">
        <v>1694</v>
      </c>
      <c r="D132" s="102" t="s">
        <v>1689</v>
      </c>
      <c r="E132" s="92" t="s">
        <v>1695</v>
      </c>
      <c r="F132" s="21" t="s">
        <v>1077</v>
      </c>
      <c r="G132" s="20"/>
      <c r="H132" s="78" t="s">
        <v>1696</v>
      </c>
    </row>
    <row r="133" spans="1:8" ht="26.25" customHeight="1">
      <c r="A133" s="76" t="s">
        <v>1697</v>
      </c>
      <c r="B133" s="25" t="s">
        <v>1698</v>
      </c>
      <c r="C133" s="25" t="s">
        <v>1699</v>
      </c>
      <c r="D133" s="39" t="s">
        <v>1689</v>
      </c>
      <c r="E133" s="95" t="s">
        <v>1700</v>
      </c>
      <c r="F133" s="26" t="s">
        <v>1077</v>
      </c>
      <c r="G133" s="25"/>
      <c r="H133" s="82" t="s">
        <v>1701</v>
      </c>
    </row>
    <row r="134" spans="1:8">
      <c r="A134" s="75"/>
      <c r="B134" s="20"/>
      <c r="C134" s="20"/>
      <c r="D134" s="45"/>
      <c r="E134" s="92"/>
      <c r="F134" s="21"/>
      <c r="G134" s="20"/>
      <c r="H134" s="78"/>
    </row>
    <row r="135" spans="1:8" ht="102.75" customHeight="1">
      <c r="A135" s="76" t="s">
        <v>1702</v>
      </c>
      <c r="B135" s="25"/>
      <c r="C135" s="25"/>
      <c r="D135" s="98"/>
      <c r="E135" s="95"/>
      <c r="F135" s="26"/>
      <c r="G135" s="25"/>
      <c r="H135" s="82"/>
    </row>
    <row r="136" spans="1:8" ht="39" customHeight="1">
      <c r="A136" s="75" t="s">
        <v>1703</v>
      </c>
      <c r="B136" s="20" t="s">
        <v>1704</v>
      </c>
      <c r="C136" s="20" t="s">
        <v>1705</v>
      </c>
      <c r="D136" s="24" t="s">
        <v>1706</v>
      </c>
      <c r="E136" s="92" t="s">
        <v>1707</v>
      </c>
      <c r="F136" s="21" t="s">
        <v>1077</v>
      </c>
      <c r="G136" s="20"/>
      <c r="H136" s="78" t="s">
        <v>1708</v>
      </c>
    </row>
    <row r="137" spans="1:8" ht="51.75" customHeight="1">
      <c r="A137" s="76" t="s">
        <v>1709</v>
      </c>
      <c r="B137" s="25" t="s">
        <v>1710</v>
      </c>
      <c r="C137" s="25" t="s">
        <v>1705</v>
      </c>
      <c r="D137" s="29" t="s">
        <v>1706</v>
      </c>
      <c r="E137" s="95" t="s">
        <v>1711</v>
      </c>
      <c r="F137" s="26" t="s">
        <v>1077</v>
      </c>
      <c r="G137" s="25"/>
      <c r="H137" s="82" t="s">
        <v>1708</v>
      </c>
    </row>
    <row r="138" spans="1:8" ht="51.75" customHeight="1">
      <c r="A138" s="75" t="s">
        <v>1712</v>
      </c>
      <c r="B138" s="20" t="s">
        <v>1713</v>
      </c>
      <c r="C138" s="20" t="s">
        <v>1714</v>
      </c>
      <c r="D138" s="24" t="s">
        <v>1230</v>
      </c>
      <c r="E138" s="92" t="s">
        <v>1715</v>
      </c>
      <c r="F138" s="21" t="s">
        <v>1077</v>
      </c>
      <c r="G138" s="20"/>
      <c r="H138" s="78" t="s">
        <v>1716</v>
      </c>
    </row>
    <row r="139" spans="1:8" ht="39" customHeight="1">
      <c r="A139" s="76" t="s">
        <v>1717</v>
      </c>
      <c r="B139" s="25" t="s">
        <v>1718</v>
      </c>
      <c r="C139" s="25" t="s">
        <v>1719</v>
      </c>
      <c r="D139" s="34" t="s">
        <v>1720</v>
      </c>
      <c r="E139" s="95" t="s">
        <v>1721</v>
      </c>
      <c r="F139" s="26" t="s">
        <v>1077</v>
      </c>
      <c r="G139" s="25"/>
      <c r="H139" s="82" t="s">
        <v>1722</v>
      </c>
    </row>
    <row r="140" spans="1:8" ht="39" customHeight="1">
      <c r="A140" s="75" t="s">
        <v>1723</v>
      </c>
      <c r="B140" s="20" t="s">
        <v>1724</v>
      </c>
      <c r="C140" s="20" t="s">
        <v>1725</v>
      </c>
      <c r="D140" s="97" t="s">
        <v>1720</v>
      </c>
      <c r="E140" s="92" t="s">
        <v>1726</v>
      </c>
      <c r="F140" s="21" t="s">
        <v>1077</v>
      </c>
      <c r="G140" s="20"/>
      <c r="H140" s="78" t="s">
        <v>1722</v>
      </c>
    </row>
    <row r="141" spans="1:8" ht="39" customHeight="1">
      <c r="A141" s="76" t="s">
        <v>1727</v>
      </c>
      <c r="B141" s="25" t="s">
        <v>1728</v>
      </c>
      <c r="C141" s="25" t="s">
        <v>1729</v>
      </c>
      <c r="D141" s="29" t="s">
        <v>1706</v>
      </c>
      <c r="E141" s="95" t="s">
        <v>1730</v>
      </c>
      <c r="F141" s="26" t="s">
        <v>1077</v>
      </c>
      <c r="G141" s="25"/>
      <c r="H141" s="82" t="s">
        <v>1731</v>
      </c>
    </row>
    <row r="142" spans="1:8" ht="39" customHeight="1">
      <c r="A142" s="75"/>
      <c r="B142" s="20" t="s">
        <v>1732</v>
      </c>
      <c r="C142" s="20"/>
      <c r="D142" s="45"/>
      <c r="E142" s="92"/>
      <c r="F142" s="21"/>
      <c r="G142" s="20"/>
      <c r="H142" s="78"/>
    </row>
    <row r="143" spans="1:8" ht="115.5" customHeight="1">
      <c r="A143" s="76" t="s">
        <v>1733</v>
      </c>
      <c r="B143" s="25"/>
      <c r="C143" s="25"/>
      <c r="D143" s="98"/>
      <c r="E143" s="95"/>
      <c r="F143" s="26"/>
      <c r="G143" s="25"/>
      <c r="H143" s="82"/>
    </row>
    <row r="144" spans="1:8" ht="26.25" customHeight="1">
      <c r="A144" s="75" t="s">
        <v>1734</v>
      </c>
      <c r="B144" s="20" t="s">
        <v>1735</v>
      </c>
      <c r="C144" s="20" t="s">
        <v>1736</v>
      </c>
      <c r="D144" s="24" t="s">
        <v>1230</v>
      </c>
      <c r="E144" s="92" t="s">
        <v>1737</v>
      </c>
      <c r="F144" s="21" t="s">
        <v>1738</v>
      </c>
      <c r="G144" s="20" t="s">
        <v>1739</v>
      </c>
      <c r="H144" s="78"/>
    </row>
    <row r="145" spans="1:8" ht="26.25" customHeight="1">
      <c r="A145" s="76" t="s">
        <v>1740</v>
      </c>
      <c r="B145" s="25" t="s">
        <v>1741</v>
      </c>
      <c r="C145" s="25" t="s">
        <v>1742</v>
      </c>
      <c r="D145" s="29" t="s">
        <v>1230</v>
      </c>
      <c r="E145" s="95" t="s">
        <v>1743</v>
      </c>
      <c r="F145" s="26" t="s">
        <v>1738</v>
      </c>
      <c r="G145" s="25" t="s">
        <v>1739</v>
      </c>
      <c r="H145" s="82"/>
    </row>
    <row r="146" spans="1:8" ht="26.25" customHeight="1">
      <c r="A146" s="75" t="s">
        <v>1744</v>
      </c>
      <c r="B146" s="20" t="s">
        <v>1745</v>
      </c>
      <c r="C146" s="20" t="s">
        <v>1746</v>
      </c>
      <c r="D146" s="24" t="s">
        <v>1230</v>
      </c>
      <c r="E146" s="92" t="s">
        <v>1747</v>
      </c>
      <c r="F146" s="21" t="s">
        <v>1738</v>
      </c>
      <c r="G146" s="20" t="s">
        <v>1739</v>
      </c>
      <c r="H146" s="78"/>
    </row>
    <row r="147" spans="1:8" ht="26.25" customHeight="1">
      <c r="A147" s="76" t="s">
        <v>1748</v>
      </c>
      <c r="B147" s="25" t="s">
        <v>1749</v>
      </c>
      <c r="C147" s="25" t="s">
        <v>1750</v>
      </c>
      <c r="D147" s="29" t="s">
        <v>1230</v>
      </c>
      <c r="E147" s="95" t="s">
        <v>1751</v>
      </c>
      <c r="F147" s="26" t="s">
        <v>1738</v>
      </c>
      <c r="G147" s="25" t="s">
        <v>1739</v>
      </c>
      <c r="H147" s="82"/>
    </row>
    <row r="148" spans="1:8" ht="26.25" customHeight="1">
      <c r="A148" s="75" t="s">
        <v>1752</v>
      </c>
      <c r="B148" s="20" t="s">
        <v>1753</v>
      </c>
      <c r="C148" s="20" t="s">
        <v>1754</v>
      </c>
      <c r="D148" s="24" t="s">
        <v>1230</v>
      </c>
      <c r="E148" s="92" t="s">
        <v>1755</v>
      </c>
      <c r="F148" s="21" t="s">
        <v>1738</v>
      </c>
      <c r="G148" s="20" t="s">
        <v>1739</v>
      </c>
      <c r="H148" s="78"/>
    </row>
    <row r="149" spans="1:8" ht="26.25" customHeight="1">
      <c r="A149" s="76" t="s">
        <v>1756</v>
      </c>
      <c r="B149" s="25" t="s">
        <v>1757</v>
      </c>
      <c r="C149" s="25" t="s">
        <v>1758</v>
      </c>
      <c r="D149" s="29" t="s">
        <v>1230</v>
      </c>
      <c r="E149" s="95" t="s">
        <v>1759</v>
      </c>
      <c r="F149" s="26" t="s">
        <v>1738</v>
      </c>
      <c r="G149" s="25" t="s">
        <v>1739</v>
      </c>
      <c r="H149" s="82"/>
    </row>
    <row r="150" spans="1:8" ht="26.25" customHeight="1">
      <c r="A150" s="75" t="s">
        <v>1760</v>
      </c>
      <c r="B150" s="20" t="s">
        <v>1761</v>
      </c>
      <c r="C150" s="20" t="s">
        <v>1762</v>
      </c>
      <c r="D150" s="24" t="s">
        <v>1230</v>
      </c>
      <c r="E150" s="92" t="s">
        <v>1763</v>
      </c>
      <c r="F150" s="21" t="s">
        <v>1738</v>
      </c>
      <c r="G150" s="20" t="s">
        <v>1739</v>
      </c>
      <c r="H150" s="78"/>
    </row>
    <row r="151" spans="1:8" ht="26.25" customHeight="1">
      <c r="A151" s="76" t="s">
        <v>1764</v>
      </c>
      <c r="B151" s="25" t="s">
        <v>1765</v>
      </c>
      <c r="C151" s="25" t="s">
        <v>1766</v>
      </c>
      <c r="D151" s="29" t="s">
        <v>1230</v>
      </c>
      <c r="E151" s="95" t="s">
        <v>1767</v>
      </c>
      <c r="F151" s="26" t="s">
        <v>1738</v>
      </c>
      <c r="G151" s="25" t="s">
        <v>1739</v>
      </c>
      <c r="H151" s="82"/>
    </row>
    <row r="152" spans="1:8" ht="26.25" customHeight="1">
      <c r="A152" s="75" t="s">
        <v>1768</v>
      </c>
      <c r="B152" s="20" t="s">
        <v>1769</v>
      </c>
      <c r="C152" s="20" t="s">
        <v>1770</v>
      </c>
      <c r="D152" s="24" t="s">
        <v>1230</v>
      </c>
      <c r="E152" s="92" t="s">
        <v>1771</v>
      </c>
      <c r="F152" s="21" t="s">
        <v>1738</v>
      </c>
      <c r="G152" s="20" t="s">
        <v>1739</v>
      </c>
      <c r="H152" s="78"/>
    </row>
    <row r="153" spans="1:8" ht="26.25" customHeight="1">
      <c r="A153" s="76" t="s">
        <v>1772</v>
      </c>
      <c r="B153" s="25" t="s">
        <v>1773</v>
      </c>
      <c r="C153" s="25" t="s">
        <v>1774</v>
      </c>
      <c r="D153" s="29" t="s">
        <v>1230</v>
      </c>
      <c r="E153" s="95" t="s">
        <v>1775</v>
      </c>
      <c r="F153" s="26" t="s">
        <v>1738</v>
      </c>
      <c r="G153" s="25" t="s">
        <v>1739</v>
      </c>
      <c r="H153" s="82"/>
    </row>
    <row r="154" spans="1:8" ht="26.25" customHeight="1">
      <c r="A154" s="75" t="s">
        <v>1776</v>
      </c>
      <c r="B154" s="20" t="s">
        <v>1777</v>
      </c>
      <c r="C154" s="20" t="s">
        <v>1778</v>
      </c>
      <c r="D154" s="24" t="s">
        <v>1230</v>
      </c>
      <c r="E154" s="92" t="s">
        <v>1779</v>
      </c>
      <c r="F154" s="21" t="s">
        <v>1738</v>
      </c>
      <c r="G154" s="20" t="s">
        <v>1739</v>
      </c>
      <c r="H154" s="78"/>
    </row>
    <row r="155" spans="1:8" ht="26.25" customHeight="1">
      <c r="A155" s="76" t="s">
        <v>1780</v>
      </c>
      <c r="B155" s="25" t="s">
        <v>1781</v>
      </c>
      <c r="C155" s="25" t="s">
        <v>1782</v>
      </c>
      <c r="D155" s="29" t="s">
        <v>1230</v>
      </c>
      <c r="E155" s="95" t="s">
        <v>1783</v>
      </c>
      <c r="F155" s="26" t="s">
        <v>1738</v>
      </c>
      <c r="G155" s="25" t="s">
        <v>1784</v>
      </c>
      <c r="H155" s="82"/>
    </row>
    <row r="156" spans="1:8" ht="26.25" customHeight="1">
      <c r="A156" s="75" t="s">
        <v>1785</v>
      </c>
      <c r="B156" s="20" t="s">
        <v>1786</v>
      </c>
      <c r="C156" s="20" t="s">
        <v>1787</v>
      </c>
      <c r="D156" s="24" t="s">
        <v>1230</v>
      </c>
      <c r="E156" s="92" t="s">
        <v>1788</v>
      </c>
      <c r="F156" s="21" t="s">
        <v>1738</v>
      </c>
      <c r="G156" s="20" t="s">
        <v>1789</v>
      </c>
      <c r="H156" s="78"/>
    </row>
    <row r="157" spans="1:8" ht="26.25" customHeight="1">
      <c r="A157" s="76" t="s">
        <v>1790</v>
      </c>
      <c r="B157" s="25" t="s">
        <v>1791</v>
      </c>
      <c r="C157" s="25" t="s">
        <v>1792</v>
      </c>
      <c r="D157" s="29" t="s">
        <v>1230</v>
      </c>
      <c r="E157" s="95" t="s">
        <v>1793</v>
      </c>
      <c r="F157" s="26" t="s">
        <v>1738</v>
      </c>
      <c r="G157" s="25" t="s">
        <v>1739</v>
      </c>
      <c r="H157" s="82"/>
    </row>
    <row r="158" spans="1:8" ht="26.25" customHeight="1">
      <c r="A158" s="75" t="s">
        <v>1794</v>
      </c>
      <c r="B158" s="20" t="s">
        <v>1795</v>
      </c>
      <c r="C158" s="20" t="s">
        <v>1796</v>
      </c>
      <c r="D158" s="24" t="s">
        <v>1230</v>
      </c>
      <c r="E158" s="92" t="s">
        <v>1797</v>
      </c>
      <c r="F158" s="21" t="s">
        <v>1738</v>
      </c>
      <c r="G158" s="20" t="s">
        <v>1798</v>
      </c>
      <c r="H158" s="78"/>
    </row>
    <row r="159" spans="1:8" ht="26.25" customHeight="1">
      <c r="A159" s="76" t="s">
        <v>1799</v>
      </c>
      <c r="B159" s="25" t="s">
        <v>1800</v>
      </c>
      <c r="C159" s="25" t="s">
        <v>1801</v>
      </c>
      <c r="D159" s="29" t="s">
        <v>1230</v>
      </c>
      <c r="E159" s="95" t="s">
        <v>1802</v>
      </c>
      <c r="F159" s="26" t="s">
        <v>1738</v>
      </c>
      <c r="G159" s="25" t="s">
        <v>1784</v>
      </c>
      <c r="H159" s="82"/>
    </row>
    <row r="160" spans="1:8" ht="26.25" customHeight="1">
      <c r="A160" s="75" t="s">
        <v>1803</v>
      </c>
      <c r="B160" s="20" t="s">
        <v>1804</v>
      </c>
      <c r="C160" s="20" t="s">
        <v>1805</v>
      </c>
      <c r="D160" s="24" t="s">
        <v>1230</v>
      </c>
      <c r="E160" s="92" t="s">
        <v>1806</v>
      </c>
      <c r="F160" s="21" t="s">
        <v>1738</v>
      </c>
      <c r="G160" s="20" t="s">
        <v>1807</v>
      </c>
      <c r="H160" s="78"/>
    </row>
    <row r="161" spans="1:8" ht="26.25" customHeight="1">
      <c r="A161" s="76" t="s">
        <v>1808</v>
      </c>
      <c r="B161" s="25" t="s">
        <v>1809</v>
      </c>
      <c r="C161" s="25" t="s">
        <v>1810</v>
      </c>
      <c r="D161" s="29" t="s">
        <v>1230</v>
      </c>
      <c r="E161" s="95" t="s">
        <v>1811</v>
      </c>
      <c r="F161" s="26" t="s">
        <v>1738</v>
      </c>
      <c r="G161" s="25" t="s">
        <v>1812</v>
      </c>
      <c r="H161" s="82"/>
    </row>
    <row r="162" spans="1:8" ht="26.25" customHeight="1">
      <c r="A162" s="75" t="s">
        <v>1813</v>
      </c>
      <c r="B162" s="20" t="s">
        <v>1814</v>
      </c>
      <c r="C162" s="20" t="s">
        <v>1815</v>
      </c>
      <c r="D162" s="24" t="s">
        <v>1230</v>
      </c>
      <c r="E162" s="92" t="s">
        <v>1816</v>
      </c>
      <c r="F162" s="21" t="s">
        <v>1738</v>
      </c>
      <c r="G162" s="20" t="s">
        <v>1817</v>
      </c>
      <c r="H162" s="78"/>
    </row>
    <row r="163" spans="1:8" ht="26.25" customHeight="1">
      <c r="A163" s="76" t="s">
        <v>1818</v>
      </c>
      <c r="B163" s="25" t="s">
        <v>1819</v>
      </c>
      <c r="C163" s="25" t="s">
        <v>1820</v>
      </c>
      <c r="D163" s="29" t="s">
        <v>1230</v>
      </c>
      <c r="E163" s="95" t="s">
        <v>1821</v>
      </c>
      <c r="F163" s="26" t="s">
        <v>1738</v>
      </c>
      <c r="G163" s="25" t="s">
        <v>1822</v>
      </c>
      <c r="H163" s="82"/>
    </row>
    <row r="164" spans="1:8" ht="26.25" customHeight="1">
      <c r="A164" s="75" t="s">
        <v>1823</v>
      </c>
      <c r="B164" s="20" t="s">
        <v>1824</v>
      </c>
      <c r="C164" s="20" t="s">
        <v>1825</v>
      </c>
      <c r="D164" s="24" t="s">
        <v>1230</v>
      </c>
      <c r="E164" s="92" t="s">
        <v>1826</v>
      </c>
      <c r="F164" s="21" t="s">
        <v>1738</v>
      </c>
      <c r="G164" s="20" t="s">
        <v>1827</v>
      </c>
      <c r="H164" s="78"/>
    </row>
    <row r="165" spans="1:8" ht="26.25" customHeight="1">
      <c r="A165" s="76" t="s">
        <v>1828</v>
      </c>
      <c r="B165" s="25" t="s">
        <v>1829</v>
      </c>
      <c r="C165" s="25" t="s">
        <v>1830</v>
      </c>
      <c r="D165" s="29" t="s">
        <v>1230</v>
      </c>
      <c r="E165" s="95" t="s">
        <v>1831</v>
      </c>
      <c r="F165" s="26" t="s">
        <v>1738</v>
      </c>
      <c r="G165" s="25" t="s">
        <v>1832</v>
      </c>
      <c r="H165" s="82"/>
    </row>
    <row r="166" spans="1:8" ht="26.25" customHeight="1">
      <c r="A166" s="75" t="s">
        <v>1833</v>
      </c>
      <c r="B166" s="20" t="s">
        <v>1834</v>
      </c>
      <c r="C166" s="20" t="s">
        <v>1835</v>
      </c>
      <c r="D166" s="24" t="s">
        <v>1230</v>
      </c>
      <c r="E166" s="92" t="s">
        <v>1836</v>
      </c>
      <c r="F166" s="21" t="s">
        <v>1738</v>
      </c>
      <c r="G166" s="20" t="s">
        <v>1837</v>
      </c>
      <c r="H166" s="78"/>
    </row>
    <row r="167" spans="1:8" ht="26.25" customHeight="1">
      <c r="A167" s="76" t="s">
        <v>1838</v>
      </c>
      <c r="B167" s="25" t="s">
        <v>1839</v>
      </c>
      <c r="C167" s="25" t="s">
        <v>1840</v>
      </c>
      <c r="D167" s="39" t="s">
        <v>1689</v>
      </c>
      <c r="E167" s="95" t="s">
        <v>1841</v>
      </c>
      <c r="F167" s="26" t="s">
        <v>1738</v>
      </c>
      <c r="G167" s="25" t="s">
        <v>1739</v>
      </c>
      <c r="H167" s="82"/>
    </row>
    <row r="168" spans="1:8" ht="26.25" customHeight="1">
      <c r="A168" s="75" t="s">
        <v>1842</v>
      </c>
      <c r="B168" s="20" t="s">
        <v>1843</v>
      </c>
      <c r="C168" s="20" t="s">
        <v>1844</v>
      </c>
      <c r="D168" s="102" t="s">
        <v>1689</v>
      </c>
      <c r="E168" s="92" t="s">
        <v>1841</v>
      </c>
      <c r="F168" s="21" t="s">
        <v>1738</v>
      </c>
      <c r="G168" s="20" t="s">
        <v>1739</v>
      </c>
      <c r="H168" s="78"/>
    </row>
    <row r="169" spans="1:8" ht="26.25" customHeight="1">
      <c r="A169" s="76" t="s">
        <v>1845</v>
      </c>
      <c r="B169" s="25" t="s">
        <v>1846</v>
      </c>
      <c r="C169" s="25" t="s">
        <v>1847</v>
      </c>
      <c r="D169" s="39" t="s">
        <v>1689</v>
      </c>
      <c r="E169" s="95" t="s">
        <v>1848</v>
      </c>
      <c r="F169" s="26" t="s">
        <v>1738</v>
      </c>
      <c r="G169" s="25" t="s">
        <v>1739</v>
      </c>
      <c r="H169" s="82"/>
    </row>
    <row r="170" spans="1:8" ht="26.25" customHeight="1">
      <c r="A170" s="75" t="s">
        <v>1849</v>
      </c>
      <c r="B170" s="20" t="s">
        <v>1850</v>
      </c>
      <c r="C170" s="20" t="s">
        <v>1851</v>
      </c>
      <c r="D170" s="102" t="s">
        <v>1689</v>
      </c>
      <c r="E170" s="92" t="s">
        <v>1852</v>
      </c>
      <c r="F170" s="21" t="s">
        <v>1738</v>
      </c>
      <c r="G170" s="20" t="s">
        <v>1739</v>
      </c>
      <c r="H170" s="78"/>
    </row>
    <row r="171" spans="1:8" ht="26.25" customHeight="1">
      <c r="A171" s="76" t="s">
        <v>1853</v>
      </c>
      <c r="B171" s="25" t="s">
        <v>1854</v>
      </c>
      <c r="C171" s="25" t="s">
        <v>1855</v>
      </c>
      <c r="D171" s="34" t="s">
        <v>1856</v>
      </c>
      <c r="E171" s="95" t="s">
        <v>1857</v>
      </c>
      <c r="F171" s="26" t="s">
        <v>1738</v>
      </c>
      <c r="G171" s="25" t="s">
        <v>1739</v>
      </c>
      <c r="H171" s="82"/>
    </row>
    <row r="172" spans="1:8" ht="26.25" customHeight="1">
      <c r="A172" s="75" t="s">
        <v>1858</v>
      </c>
      <c r="B172" s="20" t="s">
        <v>1859</v>
      </c>
      <c r="C172" s="20" t="s">
        <v>1860</v>
      </c>
      <c r="D172" s="42" t="s">
        <v>1236</v>
      </c>
      <c r="E172" s="92" t="s">
        <v>1861</v>
      </c>
      <c r="F172" s="21" t="s">
        <v>1738</v>
      </c>
      <c r="G172" s="20" t="s">
        <v>1739</v>
      </c>
      <c r="H172" s="78"/>
    </row>
    <row r="173" spans="1:8" ht="26.25" customHeight="1">
      <c r="A173" s="76" t="s">
        <v>1862</v>
      </c>
      <c r="B173" s="25" t="s">
        <v>1863</v>
      </c>
      <c r="C173" s="25" t="s">
        <v>1864</v>
      </c>
      <c r="D173" s="94" t="s">
        <v>1236</v>
      </c>
      <c r="E173" s="95" t="s">
        <v>1865</v>
      </c>
      <c r="F173" s="26" t="s">
        <v>1738</v>
      </c>
      <c r="G173" s="25" t="s">
        <v>1866</v>
      </c>
      <c r="H173" s="82"/>
    </row>
    <row r="174" spans="1:8" ht="26.25" customHeight="1">
      <c r="A174" s="75" t="s">
        <v>1867</v>
      </c>
      <c r="B174" s="20" t="s">
        <v>1868</v>
      </c>
      <c r="C174" s="20" t="s">
        <v>1869</v>
      </c>
      <c r="D174" s="42" t="s">
        <v>1236</v>
      </c>
      <c r="E174" s="92" t="s">
        <v>1870</v>
      </c>
      <c r="F174" s="21" t="s">
        <v>1738</v>
      </c>
      <c r="G174" s="20" t="s">
        <v>1866</v>
      </c>
      <c r="H174" s="78"/>
    </row>
    <row r="175" spans="1:8">
      <c r="A175" s="76"/>
      <c r="B175" s="25"/>
      <c r="C175" s="25"/>
      <c r="D175" s="98"/>
      <c r="E175" s="95"/>
      <c r="F175" s="26"/>
      <c r="G175" s="25"/>
      <c r="H175" s="82"/>
    </row>
    <row r="176" spans="1:8">
      <c r="A176" s="75"/>
      <c r="B176" s="20"/>
      <c r="C176" s="20"/>
      <c r="D176" s="45"/>
      <c r="E176" s="92"/>
      <c r="F176" s="21"/>
      <c r="G176" s="20"/>
      <c r="H176" s="78"/>
    </row>
    <row r="177" spans="1:8" ht="102.75" customHeight="1">
      <c r="A177" s="76" t="s">
        <v>1871</v>
      </c>
      <c r="B177" s="25"/>
      <c r="C177" s="25"/>
      <c r="D177" s="98"/>
      <c r="E177" s="95"/>
      <c r="F177" s="26"/>
      <c r="G177" s="25"/>
      <c r="H177" s="82"/>
    </row>
    <row r="178" spans="1:8">
      <c r="A178" s="75" t="s">
        <v>1872</v>
      </c>
      <c r="B178" s="20" t="s">
        <v>1873</v>
      </c>
      <c r="C178" s="103">
        <v>0.77400000000000002</v>
      </c>
      <c r="D178" s="24" t="s">
        <v>251</v>
      </c>
      <c r="E178" s="92" t="s">
        <v>1874</v>
      </c>
      <c r="F178" s="21"/>
      <c r="G178" s="20"/>
      <c r="H178" s="78"/>
    </row>
    <row r="179" spans="1:8" ht="26.25" customHeight="1">
      <c r="A179" s="76" t="s">
        <v>1875</v>
      </c>
      <c r="B179" s="25" t="s">
        <v>1876</v>
      </c>
      <c r="C179" s="104">
        <v>0.129</v>
      </c>
      <c r="D179" s="39" t="s">
        <v>1877</v>
      </c>
      <c r="E179" s="95" t="s">
        <v>1878</v>
      </c>
      <c r="F179" s="26"/>
      <c r="G179" s="25"/>
      <c r="H179" s="82"/>
    </row>
    <row r="180" spans="1:8" ht="39" customHeight="1">
      <c r="A180" s="75" t="s">
        <v>1879</v>
      </c>
      <c r="B180" s="20" t="s">
        <v>1880</v>
      </c>
      <c r="C180" s="103">
        <v>3.2000000000000001E-2</v>
      </c>
      <c r="D180" s="97" t="s">
        <v>1881</v>
      </c>
      <c r="E180" s="92" t="s">
        <v>1882</v>
      </c>
      <c r="F180" s="21"/>
      <c r="G180" s="20"/>
      <c r="H180" s="78"/>
    </row>
    <row r="181" spans="1:8" ht="26.25" customHeight="1">
      <c r="A181" s="76" t="s">
        <v>1883</v>
      </c>
      <c r="B181" s="25" t="s">
        <v>1884</v>
      </c>
      <c r="C181" s="104">
        <v>9.7000000000000003E-2</v>
      </c>
      <c r="D181" s="94" t="s">
        <v>1885</v>
      </c>
      <c r="E181" s="95" t="s">
        <v>1886</v>
      </c>
      <c r="F181" s="26"/>
      <c r="G181" s="25"/>
      <c r="H181" s="82"/>
    </row>
    <row r="182" spans="1:8">
      <c r="A182" s="75"/>
      <c r="B182" s="20"/>
      <c r="C182" s="20"/>
      <c r="D182" s="45"/>
      <c r="E182" s="92"/>
      <c r="F182" s="21"/>
      <c r="G182" s="20"/>
      <c r="H182" s="78"/>
    </row>
    <row r="183" spans="1:8" ht="39" customHeight="1">
      <c r="A183" s="76" t="s">
        <v>1887</v>
      </c>
      <c r="B183" s="25"/>
      <c r="C183" s="25"/>
      <c r="D183" s="98"/>
      <c r="E183" s="95"/>
      <c r="F183" s="26"/>
      <c r="G183" s="25"/>
      <c r="H183" s="82"/>
    </row>
    <row r="184" spans="1:8" ht="26.25" customHeight="1">
      <c r="A184" s="75">
        <v>1</v>
      </c>
      <c r="B184" s="20" t="s">
        <v>1888</v>
      </c>
      <c r="C184" s="20"/>
      <c r="D184" s="45"/>
      <c r="E184" s="92"/>
      <c r="F184" s="21"/>
      <c r="G184" s="20"/>
      <c r="H184" s="78"/>
    </row>
    <row r="185" spans="1:8" ht="26.25" customHeight="1">
      <c r="A185" s="76">
        <v>2</v>
      </c>
      <c r="B185" s="25" t="s">
        <v>1889</v>
      </c>
      <c r="C185" s="25"/>
      <c r="D185" s="98"/>
      <c r="E185" s="95"/>
      <c r="F185" s="26"/>
      <c r="G185" s="25"/>
      <c r="H185" s="82"/>
    </row>
    <row r="186" spans="1:8" ht="26.25" customHeight="1">
      <c r="A186" s="75">
        <v>3</v>
      </c>
      <c r="B186" s="20" t="s">
        <v>1890</v>
      </c>
      <c r="C186" s="20"/>
      <c r="D186" s="45"/>
      <c r="E186" s="92"/>
      <c r="F186" s="21"/>
      <c r="G186" s="20"/>
      <c r="H186" s="78"/>
    </row>
    <row r="187" spans="1:8" ht="39" customHeight="1">
      <c r="A187" s="76">
        <v>4</v>
      </c>
      <c r="B187" s="25" t="s">
        <v>1891</v>
      </c>
      <c r="C187" s="25"/>
      <c r="D187" s="98"/>
      <c r="E187" s="95"/>
      <c r="F187" s="26"/>
      <c r="G187" s="25"/>
      <c r="H187" s="82"/>
    </row>
    <row r="188" spans="1:8" ht="26.25" customHeight="1">
      <c r="A188" s="75">
        <v>5</v>
      </c>
      <c r="B188" s="20" t="s">
        <v>1892</v>
      </c>
      <c r="C188" s="20"/>
      <c r="D188" s="45"/>
      <c r="E188" s="92"/>
      <c r="F188" s="21"/>
      <c r="G188" s="20"/>
      <c r="H188" s="78"/>
    </row>
    <row r="189" spans="1:8" ht="26.25" customHeight="1">
      <c r="A189" s="76">
        <v>6</v>
      </c>
      <c r="B189" s="25" t="s">
        <v>1893</v>
      </c>
      <c r="C189" s="25"/>
      <c r="D189" s="98"/>
      <c r="E189" s="95"/>
      <c r="F189" s="26"/>
      <c r="G189" s="25"/>
      <c r="H189" s="82"/>
    </row>
    <row r="190" spans="1:8" ht="39" customHeight="1">
      <c r="A190" s="75">
        <v>7</v>
      </c>
      <c r="B190" s="20" t="s">
        <v>1894</v>
      </c>
      <c r="C190" s="20"/>
      <c r="D190" s="45"/>
      <c r="E190" s="92"/>
      <c r="F190" s="21"/>
      <c r="G190" s="20"/>
      <c r="H190" s="78"/>
    </row>
    <row r="191" spans="1:8" ht="26.25" customHeight="1">
      <c r="A191" s="76">
        <v>8</v>
      </c>
      <c r="B191" s="25" t="s">
        <v>1895</v>
      </c>
      <c r="C191" s="25"/>
      <c r="D191" s="98"/>
      <c r="E191" s="95"/>
      <c r="F191" s="26"/>
      <c r="G191" s="25"/>
      <c r="H191" s="82"/>
    </row>
    <row r="192" spans="1:8" ht="39" customHeight="1">
      <c r="A192" s="75">
        <v>9</v>
      </c>
      <c r="B192" s="20" t="s">
        <v>1896</v>
      </c>
      <c r="C192" s="20"/>
      <c r="D192" s="45"/>
      <c r="E192" s="92"/>
      <c r="F192" s="21"/>
      <c r="G192" s="20"/>
      <c r="H192" s="78"/>
    </row>
    <row r="193" spans="1:8">
      <c r="A193" s="76" t="s">
        <v>1897</v>
      </c>
      <c r="B193" s="25" t="s">
        <v>1898</v>
      </c>
      <c r="C193" s="25"/>
      <c r="D193" s="98"/>
      <c r="E193" s="95"/>
      <c r="F193" s="26"/>
      <c r="G193" s="25"/>
      <c r="H193" s="82"/>
    </row>
    <row r="194" spans="1:8" ht="51.75" customHeight="1">
      <c r="A194" s="75" t="s">
        <v>1899</v>
      </c>
      <c r="B194" s="20" t="s">
        <v>1900</v>
      </c>
      <c r="C194" s="20"/>
      <c r="D194" s="45"/>
      <c r="E194" s="92"/>
      <c r="F194" s="21"/>
      <c r="G194" s="20"/>
      <c r="H194" s="78"/>
    </row>
    <row r="195" spans="1:8" ht="51.75" customHeight="1">
      <c r="A195" s="76" t="s">
        <v>1491</v>
      </c>
      <c r="B195" s="25" t="s">
        <v>1901</v>
      </c>
      <c r="C195" s="25"/>
      <c r="D195" s="98"/>
      <c r="E195" s="95"/>
      <c r="F195" s="26"/>
      <c r="G195" s="25"/>
      <c r="H195" s="82"/>
    </row>
    <row r="196" spans="1:8" ht="51.75" customHeight="1">
      <c r="A196" s="75" t="s">
        <v>1902</v>
      </c>
      <c r="B196" s="20" t="s">
        <v>1903</v>
      </c>
      <c r="C196" s="20"/>
      <c r="D196" s="45"/>
      <c r="E196" s="92"/>
      <c r="F196" s="21"/>
      <c r="G196" s="20"/>
      <c r="H196" s="78"/>
    </row>
    <row r="197" spans="1:8" ht="51.75" customHeight="1">
      <c r="A197" s="76" t="s">
        <v>1904</v>
      </c>
      <c r="B197" s="25" t="s">
        <v>1905</v>
      </c>
      <c r="C197" s="25"/>
      <c r="D197" s="98"/>
      <c r="E197" s="95"/>
      <c r="F197" s="26"/>
      <c r="G197" s="25"/>
      <c r="H197" s="82"/>
    </row>
    <row r="198" spans="1:8" ht="51.75" customHeight="1">
      <c r="A198" s="75" t="s">
        <v>1906</v>
      </c>
      <c r="B198" s="20" t="s">
        <v>1905</v>
      </c>
      <c r="C198" s="20"/>
      <c r="D198" s="45"/>
      <c r="E198" s="92"/>
      <c r="F198" s="21"/>
      <c r="G198" s="20"/>
      <c r="H198" s="78"/>
    </row>
    <row r="199" spans="1:8" ht="64.5" customHeight="1">
      <c r="A199" s="76" t="s">
        <v>1907</v>
      </c>
      <c r="B199" s="25" t="s">
        <v>1908</v>
      </c>
      <c r="C199" s="25"/>
      <c r="D199" s="98"/>
      <c r="E199" s="95"/>
      <c r="F199" s="26"/>
      <c r="G199" s="25"/>
      <c r="H199" s="82"/>
    </row>
    <row r="200" spans="1:8" ht="39" customHeight="1">
      <c r="A200" s="75" t="s">
        <v>1909</v>
      </c>
      <c r="B200" s="20" t="s">
        <v>1910</v>
      </c>
      <c r="C200" s="20"/>
      <c r="D200" s="45"/>
      <c r="E200" s="92"/>
      <c r="F200" s="21"/>
      <c r="G200" s="20"/>
      <c r="H200" s="78"/>
    </row>
    <row r="201" spans="1:8" ht="39" customHeight="1">
      <c r="A201" s="76" t="s">
        <v>1911</v>
      </c>
      <c r="B201" s="25" t="s">
        <v>1912</v>
      </c>
      <c r="C201" s="25"/>
      <c r="D201" s="98"/>
      <c r="E201" s="95"/>
      <c r="F201" s="26"/>
      <c r="G201" s="25"/>
      <c r="H201" s="82"/>
    </row>
    <row r="202" spans="1:8" ht="51.75" customHeight="1">
      <c r="A202" s="75" t="s">
        <v>1913</v>
      </c>
      <c r="B202" s="20" t="s">
        <v>1914</v>
      </c>
      <c r="C202" s="20"/>
      <c r="D202" s="45"/>
      <c r="E202" s="92"/>
      <c r="F202" s="21"/>
      <c r="G202" s="20"/>
      <c r="H202" s="78"/>
    </row>
    <row r="203" spans="1:8" ht="26.25" customHeight="1">
      <c r="A203" s="76" t="s">
        <v>1915</v>
      </c>
      <c r="B203" s="25" t="s">
        <v>1916</v>
      </c>
      <c r="C203" s="25"/>
      <c r="D203" s="98"/>
      <c r="E203" s="95"/>
      <c r="F203" s="26"/>
      <c r="G203" s="25"/>
      <c r="H203" s="82"/>
    </row>
    <row r="204" spans="1:8">
      <c r="A204" s="75"/>
      <c r="B204" s="20"/>
      <c r="C204" s="20"/>
      <c r="D204" s="45"/>
      <c r="E204" s="92"/>
      <c r="F204" s="21"/>
      <c r="G204" s="20"/>
      <c r="H204" s="78"/>
    </row>
    <row r="205" spans="1:8" ht="115.5" customHeight="1">
      <c r="A205" s="76" t="s">
        <v>1917</v>
      </c>
      <c r="B205" s="25"/>
      <c r="C205" s="25"/>
      <c r="D205" s="98"/>
      <c r="E205" s="95"/>
      <c r="F205" s="26" t="s">
        <v>1112</v>
      </c>
      <c r="G205" s="25"/>
      <c r="H205" s="82"/>
    </row>
    <row r="206" spans="1:8" ht="51.75" customHeight="1">
      <c r="A206" s="75" t="s">
        <v>1918</v>
      </c>
      <c r="B206" s="20" t="s">
        <v>1919</v>
      </c>
      <c r="C206" s="20" t="s">
        <v>1920</v>
      </c>
      <c r="D206" s="24" t="s">
        <v>390</v>
      </c>
      <c r="E206" s="92" t="s">
        <v>1921</v>
      </c>
      <c r="F206" s="21" t="s">
        <v>1112</v>
      </c>
      <c r="G206" s="93">
        <v>46090</v>
      </c>
      <c r="H206" s="78" t="s">
        <v>1922</v>
      </c>
    </row>
    <row r="207" spans="1:8" ht="26.25" customHeight="1">
      <c r="A207" s="76" t="s">
        <v>1923</v>
      </c>
      <c r="B207" s="25" t="s">
        <v>1924</v>
      </c>
      <c r="C207" s="25" t="s">
        <v>1925</v>
      </c>
      <c r="D207" s="29" t="s">
        <v>1230</v>
      </c>
      <c r="E207" s="95" t="s">
        <v>1926</v>
      </c>
      <c r="F207" s="26" t="s">
        <v>1112</v>
      </c>
      <c r="G207" s="96">
        <v>46090</v>
      </c>
      <c r="H207" s="82" t="s">
        <v>342</v>
      </c>
    </row>
    <row r="208" spans="1:8" ht="51.75" customHeight="1">
      <c r="A208" s="75" t="s">
        <v>1927</v>
      </c>
      <c r="B208" s="20"/>
      <c r="C208" s="20"/>
      <c r="D208" s="45"/>
      <c r="E208" s="92"/>
      <c r="F208" s="21"/>
      <c r="G208" s="20"/>
      <c r="H208" s="78"/>
    </row>
    <row r="209" spans="1:8" ht="51.75" customHeight="1">
      <c r="A209" s="76" t="s">
        <v>1928</v>
      </c>
      <c r="B209" s="25" t="s">
        <v>1929</v>
      </c>
      <c r="C209" s="25" t="s">
        <v>1930</v>
      </c>
      <c r="D209" s="29" t="s">
        <v>434</v>
      </c>
      <c r="E209" s="95" t="s">
        <v>1931</v>
      </c>
      <c r="F209" s="26" t="s">
        <v>1116</v>
      </c>
      <c r="G209" s="25" t="s">
        <v>1932</v>
      </c>
      <c r="H209" s="82" t="s">
        <v>1933</v>
      </c>
    </row>
    <row r="210" spans="1:8" ht="39" customHeight="1">
      <c r="A210" s="75" t="s">
        <v>1934</v>
      </c>
      <c r="B210" s="20" t="s">
        <v>1935</v>
      </c>
      <c r="C210" s="20" t="s">
        <v>1936</v>
      </c>
      <c r="D210" s="45" t="s">
        <v>1340</v>
      </c>
      <c r="E210" s="92" t="s">
        <v>1937</v>
      </c>
      <c r="F210" s="21" t="s">
        <v>1116</v>
      </c>
      <c r="G210" s="20" t="s">
        <v>1932</v>
      </c>
      <c r="H210" s="78" t="s">
        <v>1938</v>
      </c>
    </row>
    <row r="211" spans="1:8" ht="39" customHeight="1">
      <c r="A211" s="76" t="s">
        <v>1939</v>
      </c>
      <c r="B211" s="25" t="s">
        <v>1940</v>
      </c>
      <c r="C211" s="25" t="s">
        <v>1941</v>
      </c>
      <c r="D211" s="98" t="s">
        <v>1942</v>
      </c>
      <c r="E211" s="95" t="s">
        <v>1943</v>
      </c>
      <c r="F211" s="26" t="s">
        <v>1116</v>
      </c>
      <c r="G211" s="25" t="s">
        <v>1944</v>
      </c>
      <c r="H211" s="82" t="s">
        <v>1945</v>
      </c>
    </row>
    <row r="212" spans="1:8" ht="39" customHeight="1">
      <c r="A212" s="75" t="s">
        <v>1946</v>
      </c>
      <c r="B212" s="20" t="s">
        <v>1947</v>
      </c>
      <c r="C212" s="20" t="s">
        <v>1844</v>
      </c>
      <c r="D212" s="42" t="s">
        <v>1236</v>
      </c>
      <c r="E212" s="92" t="s">
        <v>1948</v>
      </c>
      <c r="F212" s="21" t="s">
        <v>1116</v>
      </c>
      <c r="G212" s="20" t="s">
        <v>1944</v>
      </c>
      <c r="H212" s="78" t="s">
        <v>1949</v>
      </c>
    </row>
    <row r="213" spans="1:8" ht="39" customHeight="1">
      <c r="A213" s="76" t="s">
        <v>1950</v>
      </c>
      <c r="B213" s="25" t="s">
        <v>1951</v>
      </c>
      <c r="C213" s="25" t="s">
        <v>1952</v>
      </c>
      <c r="D213" s="29" t="s">
        <v>1230</v>
      </c>
      <c r="E213" s="95" t="s">
        <v>1953</v>
      </c>
      <c r="F213" s="26" t="s">
        <v>1116</v>
      </c>
      <c r="G213" s="25" t="s">
        <v>1944</v>
      </c>
      <c r="H213" s="82" t="s">
        <v>1954</v>
      </c>
    </row>
    <row r="214" spans="1:8" ht="26.25" customHeight="1">
      <c r="A214" s="75" t="s">
        <v>1955</v>
      </c>
      <c r="B214" s="20" t="s">
        <v>1956</v>
      </c>
      <c r="C214" s="20" t="s">
        <v>1957</v>
      </c>
      <c r="D214" s="24" t="s">
        <v>1230</v>
      </c>
      <c r="E214" s="92" t="s">
        <v>1958</v>
      </c>
      <c r="F214" s="21" t="s">
        <v>1116</v>
      </c>
      <c r="G214" s="20" t="s">
        <v>1959</v>
      </c>
      <c r="H214" s="78" t="s">
        <v>342</v>
      </c>
    </row>
    <row r="215" spans="1:8">
      <c r="A215" s="76"/>
      <c r="B215" s="25"/>
      <c r="C215" s="25"/>
      <c r="D215" s="98"/>
      <c r="E215" s="95"/>
      <c r="F215" s="26"/>
      <c r="G215" s="25"/>
      <c r="H215" s="82"/>
    </row>
    <row r="216" spans="1:8">
      <c r="A216" s="75"/>
      <c r="B216" s="20"/>
      <c r="C216" s="20"/>
      <c r="D216" s="45"/>
      <c r="E216" s="92"/>
      <c r="F216" s="21"/>
      <c r="G216" s="20"/>
      <c r="H216" s="78"/>
    </row>
    <row r="217" spans="1:8">
      <c r="A217" s="76"/>
      <c r="B217" s="25"/>
      <c r="C217" s="25"/>
      <c r="D217" s="98"/>
      <c r="E217" s="95"/>
      <c r="F217" s="26"/>
      <c r="G217" s="25"/>
      <c r="H217" s="82"/>
    </row>
    <row r="218" spans="1:8" ht="102.75" customHeight="1">
      <c r="A218" s="75" t="s">
        <v>1960</v>
      </c>
      <c r="B218" s="18" t="s">
        <v>1961</v>
      </c>
      <c r="C218" s="18" t="s">
        <v>1962</v>
      </c>
      <c r="D218" s="45"/>
      <c r="E218" s="92"/>
      <c r="F218" s="21"/>
      <c r="G218" s="20"/>
      <c r="H218" s="78"/>
    </row>
    <row r="219" spans="1:8">
      <c r="A219" s="76" t="s">
        <v>1963</v>
      </c>
      <c r="B219" s="25" t="s">
        <v>1964</v>
      </c>
      <c r="C219" s="25" t="s">
        <v>1965</v>
      </c>
      <c r="D219" s="29" t="s">
        <v>1230</v>
      </c>
      <c r="E219" s="95" t="s">
        <v>1966</v>
      </c>
      <c r="F219" s="26" t="s">
        <v>1116</v>
      </c>
      <c r="G219" s="96">
        <v>46090</v>
      </c>
      <c r="H219" s="82" t="s">
        <v>342</v>
      </c>
    </row>
    <row r="220" spans="1:8">
      <c r="A220" s="75" t="s">
        <v>1967</v>
      </c>
      <c r="B220" s="20" t="s">
        <v>1968</v>
      </c>
      <c r="C220" s="20" t="s">
        <v>1969</v>
      </c>
      <c r="D220" s="24" t="s">
        <v>1230</v>
      </c>
      <c r="E220" s="92" t="s">
        <v>1970</v>
      </c>
      <c r="F220" s="21" t="s">
        <v>1116</v>
      </c>
      <c r="G220" s="93">
        <v>46090</v>
      </c>
      <c r="H220" s="78" t="s">
        <v>342</v>
      </c>
    </row>
    <row r="221" spans="1:8">
      <c r="A221" s="76" t="s">
        <v>1971</v>
      </c>
      <c r="B221" s="25" t="s">
        <v>1972</v>
      </c>
      <c r="C221" s="25" t="s">
        <v>1973</v>
      </c>
      <c r="D221" s="29" t="s">
        <v>1230</v>
      </c>
      <c r="E221" s="95" t="s">
        <v>1974</v>
      </c>
      <c r="F221" s="26" t="s">
        <v>1116</v>
      </c>
      <c r="G221" s="96">
        <v>46090</v>
      </c>
      <c r="H221" s="82" t="s">
        <v>342</v>
      </c>
    </row>
    <row r="222" spans="1:8">
      <c r="A222" s="75" t="s">
        <v>1975</v>
      </c>
      <c r="B222" s="20" t="s">
        <v>1976</v>
      </c>
      <c r="C222" s="20" t="s">
        <v>1977</v>
      </c>
      <c r="D222" s="24" t="s">
        <v>1230</v>
      </c>
      <c r="E222" s="92" t="s">
        <v>1978</v>
      </c>
      <c r="F222" s="21" t="s">
        <v>1116</v>
      </c>
      <c r="G222" s="93">
        <v>46090</v>
      </c>
      <c r="H222" s="78" t="s">
        <v>342</v>
      </c>
    </row>
    <row r="223" spans="1:8">
      <c r="A223" s="76" t="s">
        <v>392</v>
      </c>
      <c r="B223" s="25" t="s">
        <v>1979</v>
      </c>
      <c r="C223" s="25" t="s">
        <v>1980</v>
      </c>
      <c r="D223" s="34" t="s">
        <v>1981</v>
      </c>
      <c r="E223" s="95" t="s">
        <v>1982</v>
      </c>
      <c r="F223" s="26" t="s">
        <v>1116</v>
      </c>
      <c r="G223" s="96">
        <v>46090</v>
      </c>
      <c r="H223" s="82" t="s">
        <v>1983</v>
      </c>
    </row>
    <row r="224" spans="1:8">
      <c r="A224" s="75" t="s">
        <v>1984</v>
      </c>
      <c r="B224" s="20" t="s">
        <v>1985</v>
      </c>
      <c r="C224" s="20" t="s">
        <v>1986</v>
      </c>
      <c r="D224" s="102" t="s">
        <v>1689</v>
      </c>
      <c r="E224" s="92" t="s">
        <v>1987</v>
      </c>
      <c r="F224" s="21" t="s">
        <v>1116</v>
      </c>
      <c r="G224" s="93">
        <v>46090</v>
      </c>
      <c r="H224" s="78" t="s">
        <v>1988</v>
      </c>
    </row>
    <row r="225" spans="1:8">
      <c r="A225" s="76" t="s">
        <v>1989</v>
      </c>
      <c r="B225" s="25" t="s">
        <v>1990</v>
      </c>
      <c r="C225" s="25" t="s">
        <v>1991</v>
      </c>
      <c r="D225" s="94" t="s">
        <v>1236</v>
      </c>
      <c r="E225" s="95" t="s">
        <v>1992</v>
      </c>
      <c r="F225" s="26" t="s">
        <v>1116</v>
      </c>
      <c r="G225" s="96">
        <v>46090</v>
      </c>
      <c r="H225" s="82" t="s">
        <v>1993</v>
      </c>
    </row>
    <row r="226" spans="1:8">
      <c r="A226" s="75" t="s">
        <v>1994</v>
      </c>
      <c r="B226" s="20" t="s">
        <v>1995</v>
      </c>
      <c r="C226" s="20" t="s">
        <v>1996</v>
      </c>
      <c r="D226" s="24" t="s">
        <v>1230</v>
      </c>
      <c r="E226" s="92" t="s">
        <v>1997</v>
      </c>
      <c r="F226" s="21" t="s">
        <v>1116</v>
      </c>
      <c r="G226" s="93">
        <v>46090</v>
      </c>
      <c r="H226" s="78" t="s">
        <v>342</v>
      </c>
    </row>
    <row r="227" spans="1:8">
      <c r="A227" s="76" t="s">
        <v>1998</v>
      </c>
      <c r="B227" s="25" t="s">
        <v>1999</v>
      </c>
      <c r="C227" s="25" t="s">
        <v>2000</v>
      </c>
      <c r="D227" s="29" t="s">
        <v>1230</v>
      </c>
      <c r="E227" s="95" t="s">
        <v>2001</v>
      </c>
      <c r="F227" s="26" t="s">
        <v>1116</v>
      </c>
      <c r="G227" s="96">
        <v>46090</v>
      </c>
      <c r="H227" s="82" t="s">
        <v>342</v>
      </c>
    </row>
    <row r="228" spans="1:8">
      <c r="A228" s="75" t="s">
        <v>2002</v>
      </c>
      <c r="B228" s="20" t="s">
        <v>2003</v>
      </c>
      <c r="C228" s="20" t="s">
        <v>2004</v>
      </c>
      <c r="D228" s="24" t="s">
        <v>1230</v>
      </c>
      <c r="E228" s="92" t="s">
        <v>2005</v>
      </c>
      <c r="F228" s="21" t="s">
        <v>1116</v>
      </c>
      <c r="G228" s="93">
        <v>46090</v>
      </c>
      <c r="H228" s="78" t="s">
        <v>342</v>
      </c>
    </row>
    <row r="229" spans="1:8">
      <c r="A229" s="76" t="s">
        <v>2006</v>
      </c>
      <c r="B229" s="25" t="s">
        <v>2007</v>
      </c>
      <c r="C229" s="25" t="s">
        <v>2008</v>
      </c>
      <c r="D229" s="29" t="s">
        <v>1230</v>
      </c>
      <c r="E229" s="95" t="s">
        <v>2009</v>
      </c>
      <c r="F229" s="26" t="s">
        <v>1116</v>
      </c>
      <c r="G229" s="96">
        <v>46090</v>
      </c>
      <c r="H229" s="82" t="s">
        <v>342</v>
      </c>
    </row>
    <row r="230" spans="1:8">
      <c r="A230" s="75" t="s">
        <v>2010</v>
      </c>
      <c r="B230" s="20" t="s">
        <v>2011</v>
      </c>
      <c r="C230" s="20" t="s">
        <v>2012</v>
      </c>
      <c r="D230" s="24" t="s">
        <v>1230</v>
      </c>
      <c r="E230" s="92" t="s">
        <v>2013</v>
      </c>
      <c r="F230" s="21" t="s">
        <v>1116</v>
      </c>
      <c r="G230" s="93">
        <v>46090</v>
      </c>
      <c r="H230" s="78" t="s">
        <v>342</v>
      </c>
    </row>
    <row r="231" spans="1:8">
      <c r="A231" s="76" t="s">
        <v>2014</v>
      </c>
      <c r="B231" s="25" t="s">
        <v>2015</v>
      </c>
      <c r="C231" s="25" t="s">
        <v>2016</v>
      </c>
      <c r="D231" s="29" t="s">
        <v>1230</v>
      </c>
      <c r="E231" s="95" t="s">
        <v>2017</v>
      </c>
      <c r="F231" s="26" t="s">
        <v>1116</v>
      </c>
      <c r="G231" s="96">
        <v>46090</v>
      </c>
      <c r="H231" s="82" t="s">
        <v>342</v>
      </c>
    </row>
    <row r="232" spans="1:8">
      <c r="A232" s="75" t="s">
        <v>2018</v>
      </c>
      <c r="B232" s="20" t="s">
        <v>2019</v>
      </c>
      <c r="C232" s="20" t="s">
        <v>2020</v>
      </c>
      <c r="D232" s="24" t="s">
        <v>1230</v>
      </c>
      <c r="E232" s="92" t="s">
        <v>2021</v>
      </c>
      <c r="F232" s="21" t="s">
        <v>1116</v>
      </c>
      <c r="G232" s="93">
        <v>46090</v>
      </c>
      <c r="H232" s="78" t="s">
        <v>342</v>
      </c>
    </row>
    <row r="233" spans="1:8">
      <c r="A233" s="76" t="s">
        <v>2022</v>
      </c>
      <c r="B233" s="25" t="s">
        <v>2023</v>
      </c>
      <c r="C233" s="25" t="s">
        <v>2024</v>
      </c>
      <c r="D233" s="29" t="s">
        <v>1230</v>
      </c>
      <c r="E233" s="95" t="s">
        <v>2025</v>
      </c>
      <c r="F233" s="26" t="s">
        <v>1116</v>
      </c>
      <c r="G233" s="96">
        <v>46090</v>
      </c>
      <c r="H233" s="82" t="s">
        <v>342</v>
      </c>
    </row>
    <row r="234" spans="1:8">
      <c r="A234" s="75" t="s">
        <v>2026</v>
      </c>
      <c r="B234" s="20" t="s">
        <v>2027</v>
      </c>
      <c r="C234" s="20" t="s">
        <v>2028</v>
      </c>
      <c r="D234" s="24" t="s">
        <v>1230</v>
      </c>
      <c r="E234" s="92" t="s">
        <v>2029</v>
      </c>
      <c r="F234" s="21" t="s">
        <v>1116</v>
      </c>
      <c r="G234" s="93">
        <v>46090</v>
      </c>
      <c r="H234" s="78" t="s">
        <v>342</v>
      </c>
    </row>
    <row r="235" spans="1:8">
      <c r="A235" s="76" t="s">
        <v>400</v>
      </c>
      <c r="B235" s="25" t="s">
        <v>2030</v>
      </c>
      <c r="C235" s="25" t="s">
        <v>2031</v>
      </c>
      <c r="D235" s="39" t="s">
        <v>1603</v>
      </c>
      <c r="E235" s="95" t="s">
        <v>2032</v>
      </c>
      <c r="F235" s="26" t="s">
        <v>1116</v>
      </c>
      <c r="G235" s="96">
        <v>46090</v>
      </c>
      <c r="H235" s="82" t="s">
        <v>2033</v>
      </c>
    </row>
    <row r="236" spans="1:8">
      <c r="A236" s="75" t="s">
        <v>2034</v>
      </c>
      <c r="B236" s="20" t="s">
        <v>2035</v>
      </c>
      <c r="C236" s="20" t="s">
        <v>2036</v>
      </c>
      <c r="D236" s="24" t="s">
        <v>1230</v>
      </c>
      <c r="E236" s="92" t="s">
        <v>2037</v>
      </c>
      <c r="F236" s="21" t="s">
        <v>1116</v>
      </c>
      <c r="G236" s="93">
        <v>46090</v>
      </c>
      <c r="H236" s="78" t="s">
        <v>342</v>
      </c>
    </row>
    <row r="237" spans="1:8">
      <c r="A237" s="76" t="s">
        <v>2038</v>
      </c>
      <c r="B237" s="25" t="s">
        <v>2039</v>
      </c>
      <c r="C237" s="25" t="s">
        <v>2040</v>
      </c>
      <c r="D237" s="94" t="s">
        <v>2041</v>
      </c>
      <c r="E237" s="95" t="s">
        <v>2042</v>
      </c>
      <c r="F237" s="26" t="s">
        <v>1116</v>
      </c>
      <c r="G237" s="96">
        <v>46090</v>
      </c>
      <c r="H237" s="82" t="s">
        <v>2043</v>
      </c>
    </row>
    <row r="238" spans="1:8">
      <c r="A238" s="75" t="s">
        <v>2044</v>
      </c>
      <c r="B238" s="20" t="s">
        <v>2045</v>
      </c>
      <c r="C238" s="20" t="s">
        <v>2046</v>
      </c>
      <c r="D238" s="42" t="s">
        <v>2041</v>
      </c>
      <c r="E238" s="92" t="s">
        <v>2042</v>
      </c>
      <c r="F238" s="21" t="s">
        <v>1116</v>
      </c>
      <c r="G238" s="93">
        <v>46090</v>
      </c>
      <c r="H238" s="78" t="s">
        <v>2043</v>
      </c>
    </row>
    <row r="239" spans="1:8">
      <c r="A239" s="76" t="s">
        <v>2047</v>
      </c>
      <c r="B239" s="25" t="s">
        <v>2048</v>
      </c>
      <c r="C239" s="25" t="s">
        <v>2049</v>
      </c>
      <c r="D239" s="29" t="s">
        <v>1230</v>
      </c>
      <c r="E239" s="95" t="s">
        <v>2050</v>
      </c>
      <c r="F239" s="26" t="s">
        <v>1116</v>
      </c>
      <c r="G239" s="96">
        <v>46090</v>
      </c>
      <c r="H239" s="82" t="s">
        <v>342</v>
      </c>
    </row>
    <row r="240" spans="1:8">
      <c r="A240" s="75" t="s">
        <v>2051</v>
      </c>
      <c r="B240" s="20" t="s">
        <v>2052</v>
      </c>
      <c r="C240" s="20" t="s">
        <v>2053</v>
      </c>
      <c r="D240" s="24" t="s">
        <v>1230</v>
      </c>
      <c r="E240" s="92" t="s">
        <v>2054</v>
      </c>
      <c r="F240" s="21" t="s">
        <v>1116</v>
      </c>
      <c r="G240" s="93">
        <v>46090</v>
      </c>
      <c r="H240" s="78" t="s">
        <v>342</v>
      </c>
    </row>
    <row r="241" spans="1:8">
      <c r="A241" s="76" t="s">
        <v>2055</v>
      </c>
      <c r="B241" s="25" t="s">
        <v>2056</v>
      </c>
      <c r="C241" s="25" t="s">
        <v>2057</v>
      </c>
      <c r="D241" s="94" t="s">
        <v>2041</v>
      </c>
      <c r="E241" s="95" t="s">
        <v>2058</v>
      </c>
      <c r="F241" s="26" t="s">
        <v>1116</v>
      </c>
      <c r="G241" s="96">
        <v>46090</v>
      </c>
      <c r="H241" s="82" t="s">
        <v>2059</v>
      </c>
    </row>
    <row r="242" spans="1:8">
      <c r="A242" s="75" t="s">
        <v>2060</v>
      </c>
      <c r="B242" s="20" t="s">
        <v>2061</v>
      </c>
      <c r="C242" s="20" t="s">
        <v>2062</v>
      </c>
      <c r="D242" s="42" t="s">
        <v>2041</v>
      </c>
      <c r="E242" s="92" t="s">
        <v>2063</v>
      </c>
      <c r="F242" s="21" t="s">
        <v>1116</v>
      </c>
      <c r="G242" s="93">
        <v>46090</v>
      </c>
      <c r="H242" s="78" t="s">
        <v>2064</v>
      </c>
    </row>
    <row r="243" spans="1:8">
      <c r="A243" s="76" t="s">
        <v>2065</v>
      </c>
      <c r="B243" s="25" t="s">
        <v>2066</v>
      </c>
      <c r="C243" s="25" t="s">
        <v>2067</v>
      </c>
      <c r="D243" s="94" t="s">
        <v>2068</v>
      </c>
      <c r="E243" s="95" t="s">
        <v>2069</v>
      </c>
      <c r="F243" s="26" t="s">
        <v>1116</v>
      </c>
      <c r="G243" s="96">
        <v>46090</v>
      </c>
      <c r="H243" s="82" t="s">
        <v>2070</v>
      </c>
    </row>
    <row r="244" spans="1:8">
      <c r="A244" s="75" t="s">
        <v>2071</v>
      </c>
      <c r="B244" s="20" t="s">
        <v>2072</v>
      </c>
      <c r="C244" s="20" t="s">
        <v>2073</v>
      </c>
      <c r="D244" s="42" t="s">
        <v>2068</v>
      </c>
      <c r="E244" s="92" t="s">
        <v>2069</v>
      </c>
      <c r="F244" s="21" t="s">
        <v>1116</v>
      </c>
      <c r="G244" s="93">
        <v>46090</v>
      </c>
      <c r="H244" s="78" t="s">
        <v>2074</v>
      </c>
    </row>
    <row r="245" spans="1:8">
      <c r="A245" s="76" t="s">
        <v>2075</v>
      </c>
      <c r="B245" s="25" t="s">
        <v>2076</v>
      </c>
      <c r="C245" s="25" t="s">
        <v>2077</v>
      </c>
      <c r="D245" s="94" t="s">
        <v>2068</v>
      </c>
      <c r="E245" s="95" t="s">
        <v>2078</v>
      </c>
      <c r="F245" s="26" t="s">
        <v>1116</v>
      </c>
      <c r="G245" s="96">
        <v>46090</v>
      </c>
      <c r="H245" s="82" t="s">
        <v>2079</v>
      </c>
    </row>
    <row r="246" spans="1:8">
      <c r="A246" s="75" t="s">
        <v>2080</v>
      </c>
      <c r="B246" s="20" t="s">
        <v>2081</v>
      </c>
      <c r="C246" s="20" t="s">
        <v>2082</v>
      </c>
      <c r="D246" s="42" t="s">
        <v>2068</v>
      </c>
      <c r="E246" s="92" t="s">
        <v>2078</v>
      </c>
      <c r="F246" s="21" t="s">
        <v>1116</v>
      </c>
      <c r="G246" s="93">
        <v>46090</v>
      </c>
      <c r="H246" s="78" t="s">
        <v>2079</v>
      </c>
    </row>
    <row r="247" spans="1:8">
      <c r="A247" s="76" t="s">
        <v>2083</v>
      </c>
      <c r="B247" s="25" t="s">
        <v>2084</v>
      </c>
      <c r="C247" s="25" t="s">
        <v>2085</v>
      </c>
      <c r="D247" s="34" t="s">
        <v>2086</v>
      </c>
      <c r="E247" s="95" t="s">
        <v>2087</v>
      </c>
      <c r="F247" s="26" t="s">
        <v>1116</v>
      </c>
      <c r="G247" s="96">
        <v>46090</v>
      </c>
      <c r="H247" s="82" t="s">
        <v>2088</v>
      </c>
    </row>
    <row r="248" spans="1:8">
      <c r="A248" s="75" t="s">
        <v>2089</v>
      </c>
      <c r="B248" s="20" t="s">
        <v>2090</v>
      </c>
      <c r="C248" s="20" t="s">
        <v>2091</v>
      </c>
      <c r="D248" s="97" t="s">
        <v>2086</v>
      </c>
      <c r="E248" s="92" t="s">
        <v>2092</v>
      </c>
      <c r="F248" s="21" t="s">
        <v>1116</v>
      </c>
      <c r="G248" s="93">
        <v>46090</v>
      </c>
      <c r="H248" s="78" t="s">
        <v>2088</v>
      </c>
    </row>
    <row r="249" spans="1:8">
      <c r="A249" s="76" t="s">
        <v>2093</v>
      </c>
      <c r="B249" s="25" t="s">
        <v>2094</v>
      </c>
      <c r="C249" s="25" t="s">
        <v>2095</v>
      </c>
      <c r="D249" s="34" t="s">
        <v>2086</v>
      </c>
      <c r="E249" s="95" t="s">
        <v>2096</v>
      </c>
      <c r="F249" s="26" t="s">
        <v>1116</v>
      </c>
      <c r="G249" s="96">
        <v>46090</v>
      </c>
      <c r="H249" s="82" t="s">
        <v>2088</v>
      </c>
    </row>
    <row r="250" spans="1:8">
      <c r="A250" s="75" t="s">
        <v>2097</v>
      </c>
      <c r="B250" s="20" t="s">
        <v>2098</v>
      </c>
      <c r="C250" s="20" t="s">
        <v>2099</v>
      </c>
      <c r="D250" s="97" t="s">
        <v>2086</v>
      </c>
      <c r="E250" s="92" t="s">
        <v>2100</v>
      </c>
      <c r="F250" s="21" t="s">
        <v>1116</v>
      </c>
      <c r="G250" s="93">
        <v>46090</v>
      </c>
      <c r="H250" s="78" t="s">
        <v>2088</v>
      </c>
    </row>
    <row r="251" spans="1:8">
      <c r="A251" s="76" t="s">
        <v>2101</v>
      </c>
      <c r="B251" s="25" t="s">
        <v>2102</v>
      </c>
      <c r="C251" s="25" t="s">
        <v>2103</v>
      </c>
      <c r="D251" s="34" t="s">
        <v>2086</v>
      </c>
      <c r="E251" s="95" t="s">
        <v>2104</v>
      </c>
      <c r="F251" s="26" t="s">
        <v>1116</v>
      </c>
      <c r="G251" s="96">
        <v>46090</v>
      </c>
      <c r="H251" s="82" t="s">
        <v>2088</v>
      </c>
    </row>
    <row r="252" spans="1:8">
      <c r="A252" s="75" t="s">
        <v>2105</v>
      </c>
      <c r="B252" s="20" t="s">
        <v>2106</v>
      </c>
      <c r="C252" s="20" t="s">
        <v>2107</v>
      </c>
      <c r="D252" s="97" t="s">
        <v>2086</v>
      </c>
      <c r="E252" s="92" t="s">
        <v>2108</v>
      </c>
      <c r="F252" s="21" t="s">
        <v>1116</v>
      </c>
      <c r="G252" s="93">
        <v>46090</v>
      </c>
      <c r="H252" s="78" t="s">
        <v>2088</v>
      </c>
    </row>
    <row r="253" spans="1:8">
      <c r="A253" s="76"/>
      <c r="B253" s="25"/>
      <c r="C253" s="25"/>
      <c r="D253" s="98"/>
      <c r="E253" s="95"/>
      <c r="F253" s="26"/>
      <c r="G253" s="25"/>
      <c r="H253" s="82"/>
    </row>
    <row r="254" spans="1:8" ht="64.5" customHeight="1">
      <c r="A254" s="75" t="s">
        <v>2109</v>
      </c>
      <c r="B254" s="20"/>
      <c r="C254" s="20"/>
      <c r="D254" s="45"/>
      <c r="E254" s="92"/>
      <c r="F254" s="21"/>
      <c r="G254" s="20"/>
      <c r="H254" s="78"/>
    </row>
    <row r="255" spans="1:8" ht="39" customHeight="1">
      <c r="A255" s="76" t="s">
        <v>2110</v>
      </c>
      <c r="B255" s="25">
        <v>34</v>
      </c>
      <c r="C255" s="25" t="s">
        <v>1230</v>
      </c>
      <c r="D255" s="51">
        <v>17</v>
      </c>
      <c r="E255" s="95" t="s">
        <v>1689</v>
      </c>
      <c r="F255" s="26">
        <v>2</v>
      </c>
      <c r="G255" s="25" t="s">
        <v>2111</v>
      </c>
      <c r="H255" s="82">
        <v>9</v>
      </c>
    </row>
    <row r="256" spans="1:8" ht="26.25" customHeight="1">
      <c r="A256" s="75" t="s">
        <v>2086</v>
      </c>
      <c r="B256" s="20">
        <v>6</v>
      </c>
      <c r="C256" s="20" t="s">
        <v>2112</v>
      </c>
      <c r="D256" s="105">
        <v>0.61</v>
      </c>
      <c r="E256" s="92" t="s">
        <v>2113</v>
      </c>
      <c r="F256" s="106">
        <v>0.89</v>
      </c>
      <c r="G256" s="20"/>
      <c r="H256" s="78"/>
    </row>
    <row r="257" spans="1:8">
      <c r="A257" s="76"/>
      <c r="B257" s="25"/>
      <c r="C257" s="25"/>
      <c r="D257" s="98"/>
      <c r="E257" s="95"/>
      <c r="F257" s="26"/>
      <c r="G257" s="25"/>
      <c r="H257" s="82"/>
    </row>
    <row r="258" spans="1:8" ht="51.75" customHeight="1">
      <c r="A258" s="75" t="s">
        <v>2114</v>
      </c>
      <c r="B258" s="20"/>
      <c r="C258" s="20"/>
      <c r="D258" s="45"/>
      <c r="E258" s="92"/>
      <c r="F258" s="21"/>
      <c r="G258" s="20"/>
      <c r="H258" s="78"/>
    </row>
    <row r="259" spans="1:8" ht="26.25" customHeight="1">
      <c r="A259" s="76">
        <v>1</v>
      </c>
      <c r="B259" s="25" t="s">
        <v>388</v>
      </c>
      <c r="C259" s="25" t="s">
        <v>2115</v>
      </c>
      <c r="D259" s="29" t="s">
        <v>2116</v>
      </c>
      <c r="E259" s="95"/>
      <c r="F259" s="26"/>
      <c r="G259" s="25"/>
      <c r="H259" s="82"/>
    </row>
    <row r="260" spans="1:8" ht="26.25" customHeight="1">
      <c r="A260" s="75">
        <v>2</v>
      </c>
      <c r="B260" s="20" t="s">
        <v>393</v>
      </c>
      <c r="C260" s="20" t="s">
        <v>2117</v>
      </c>
      <c r="D260" s="24" t="s">
        <v>2118</v>
      </c>
      <c r="E260" s="92"/>
      <c r="F260" s="21"/>
      <c r="G260" s="20"/>
      <c r="H260" s="78"/>
    </row>
    <row r="261" spans="1:8" ht="26.25" customHeight="1">
      <c r="A261" s="76">
        <v>3</v>
      </c>
      <c r="B261" s="25" t="s">
        <v>2119</v>
      </c>
      <c r="C261" s="25" t="s">
        <v>2120</v>
      </c>
      <c r="D261" s="29" t="s">
        <v>2121</v>
      </c>
      <c r="E261" s="95"/>
      <c r="F261" s="26"/>
      <c r="G261" s="25"/>
      <c r="H261" s="82"/>
    </row>
    <row r="262" spans="1:8" ht="26.25" customHeight="1">
      <c r="A262" s="75">
        <v>4</v>
      </c>
      <c r="B262" s="20" t="s">
        <v>2122</v>
      </c>
      <c r="C262" s="20" t="s">
        <v>2123</v>
      </c>
      <c r="D262" s="24" t="s">
        <v>2124</v>
      </c>
      <c r="E262" s="92"/>
      <c r="F262" s="21"/>
      <c r="G262" s="20"/>
      <c r="H262" s="78"/>
    </row>
    <row r="263" spans="1:8" ht="39" customHeight="1">
      <c r="A263" s="76">
        <v>5</v>
      </c>
      <c r="B263" s="25" t="s">
        <v>2125</v>
      </c>
      <c r="C263" s="25" t="s">
        <v>2126</v>
      </c>
      <c r="D263" s="94" t="s">
        <v>2127</v>
      </c>
      <c r="E263" s="95"/>
      <c r="F263" s="26"/>
      <c r="G263" s="25"/>
      <c r="H263" s="82"/>
    </row>
    <row r="264" spans="1:8" ht="39" customHeight="1">
      <c r="A264" s="75">
        <v>6</v>
      </c>
      <c r="B264" s="20" t="s">
        <v>2128</v>
      </c>
      <c r="C264" s="20" t="s">
        <v>2129</v>
      </c>
      <c r="D264" s="45" t="s">
        <v>2130</v>
      </c>
      <c r="E264" s="92"/>
      <c r="F264" s="21"/>
      <c r="G264" s="20"/>
      <c r="H264" s="78"/>
    </row>
    <row r="265" spans="1:8" ht="26.25" customHeight="1">
      <c r="A265" s="76">
        <v>7</v>
      </c>
      <c r="B265" s="25" t="s">
        <v>2131</v>
      </c>
      <c r="C265" s="25" t="s">
        <v>2132</v>
      </c>
      <c r="D265" s="98" t="s">
        <v>2133</v>
      </c>
      <c r="E265" s="95"/>
      <c r="F265" s="26"/>
      <c r="G265" s="25"/>
      <c r="H265" s="82"/>
    </row>
    <row r="266" spans="1:8" ht="26.25" customHeight="1">
      <c r="A266" s="75">
        <v>8</v>
      </c>
      <c r="B266" s="20" t="s">
        <v>2134</v>
      </c>
      <c r="C266" s="20" t="s">
        <v>2135</v>
      </c>
      <c r="D266" s="45" t="s">
        <v>2136</v>
      </c>
      <c r="E266" s="92"/>
      <c r="F266" s="21"/>
      <c r="G266" s="20"/>
      <c r="H266" s="78"/>
    </row>
    <row r="267" spans="1:8">
      <c r="A267" s="76"/>
      <c r="B267" s="25"/>
      <c r="C267" s="25"/>
      <c r="D267" s="98"/>
      <c r="E267" s="95"/>
      <c r="F267" s="26"/>
      <c r="G267" s="25"/>
      <c r="H267" s="82"/>
    </row>
    <row r="268" spans="1:8" ht="128.25" customHeight="1">
      <c r="A268" s="75" t="s">
        <v>2137</v>
      </c>
      <c r="B268" s="20"/>
      <c r="C268" s="20"/>
      <c r="D268" s="45"/>
      <c r="E268" s="92"/>
      <c r="F268" s="21" t="s">
        <v>2138</v>
      </c>
      <c r="G268" s="20"/>
      <c r="H268" s="78"/>
    </row>
    <row r="269" spans="1:8" ht="26.25" customHeight="1">
      <c r="A269" s="76" t="s">
        <v>2139</v>
      </c>
      <c r="B269" s="25" t="s">
        <v>2140</v>
      </c>
      <c r="C269" s="25" t="s">
        <v>2141</v>
      </c>
      <c r="D269" s="29" t="s">
        <v>1230</v>
      </c>
      <c r="E269" s="95" t="s">
        <v>2142</v>
      </c>
      <c r="F269" s="26" t="s">
        <v>2138</v>
      </c>
      <c r="G269" s="25" t="s">
        <v>2143</v>
      </c>
      <c r="H269" s="82" t="s">
        <v>2144</v>
      </c>
    </row>
    <row r="270" spans="1:8" ht="26.25" customHeight="1">
      <c r="A270" s="75" t="s">
        <v>2145</v>
      </c>
      <c r="B270" s="20" t="s">
        <v>2146</v>
      </c>
      <c r="C270" s="20" t="s">
        <v>2147</v>
      </c>
      <c r="D270" s="24" t="s">
        <v>390</v>
      </c>
      <c r="E270" s="92" t="s">
        <v>2148</v>
      </c>
      <c r="F270" s="21" t="s">
        <v>2138</v>
      </c>
      <c r="G270" s="20" t="s">
        <v>2149</v>
      </c>
      <c r="H270" s="78" t="s">
        <v>2150</v>
      </c>
    </row>
    <row r="271" spans="1:8" ht="26.25" customHeight="1">
      <c r="A271" s="76" t="s">
        <v>2151</v>
      </c>
      <c r="B271" s="25" t="s">
        <v>2152</v>
      </c>
      <c r="C271" s="25" t="s">
        <v>2153</v>
      </c>
      <c r="D271" s="29" t="s">
        <v>1230</v>
      </c>
      <c r="E271" s="95" t="s">
        <v>2154</v>
      </c>
      <c r="F271" s="26" t="s">
        <v>2138</v>
      </c>
      <c r="G271" s="25" t="s">
        <v>2155</v>
      </c>
      <c r="H271" s="82" t="s">
        <v>2156</v>
      </c>
    </row>
    <row r="272" spans="1:8" ht="26.25" customHeight="1">
      <c r="A272" s="75" t="s">
        <v>422</v>
      </c>
      <c r="B272" s="20" t="s">
        <v>2157</v>
      </c>
      <c r="C272" s="20" t="s">
        <v>2158</v>
      </c>
      <c r="D272" s="24" t="s">
        <v>1230</v>
      </c>
      <c r="E272" s="92" t="s">
        <v>2159</v>
      </c>
      <c r="F272" s="21" t="s">
        <v>2138</v>
      </c>
      <c r="G272" s="20" t="s">
        <v>2160</v>
      </c>
      <c r="H272" s="78" t="s">
        <v>2161</v>
      </c>
    </row>
    <row r="273" spans="1:8" ht="26.25" customHeight="1">
      <c r="A273" s="76" t="s">
        <v>2162</v>
      </c>
      <c r="B273" s="25" t="s">
        <v>2163</v>
      </c>
      <c r="C273" s="25" t="s">
        <v>2164</v>
      </c>
      <c r="D273" s="29" t="s">
        <v>1230</v>
      </c>
      <c r="E273" s="95" t="s">
        <v>2165</v>
      </c>
      <c r="F273" s="26" t="s">
        <v>2138</v>
      </c>
      <c r="G273" s="25" t="s">
        <v>2166</v>
      </c>
      <c r="H273" s="82" t="s">
        <v>2167</v>
      </c>
    </row>
    <row r="274" spans="1:8" ht="26.25" customHeight="1">
      <c r="A274" s="75" t="s">
        <v>2168</v>
      </c>
      <c r="B274" s="20" t="s">
        <v>2169</v>
      </c>
      <c r="C274" s="20" t="s">
        <v>2170</v>
      </c>
      <c r="D274" s="24" t="s">
        <v>1230</v>
      </c>
      <c r="E274" s="92" t="s">
        <v>2171</v>
      </c>
      <c r="F274" s="21" t="s">
        <v>1120</v>
      </c>
      <c r="G274" s="20" t="s">
        <v>2172</v>
      </c>
      <c r="H274" s="78" t="s">
        <v>2173</v>
      </c>
    </row>
    <row r="275" spans="1:8" ht="39" customHeight="1">
      <c r="A275" s="76" t="s">
        <v>2174</v>
      </c>
      <c r="B275" s="25" t="s">
        <v>2169</v>
      </c>
      <c r="C275" s="25" t="s">
        <v>2175</v>
      </c>
      <c r="D275" s="29" t="s">
        <v>1230</v>
      </c>
      <c r="E275" s="95" t="s">
        <v>2176</v>
      </c>
      <c r="F275" s="26" t="s">
        <v>1120</v>
      </c>
      <c r="G275" s="25" t="s">
        <v>2177</v>
      </c>
      <c r="H275" s="82" t="s">
        <v>2178</v>
      </c>
    </row>
    <row r="276" spans="1:8" ht="26.25" customHeight="1">
      <c r="A276" s="75" t="s">
        <v>2179</v>
      </c>
      <c r="B276" s="20" t="s">
        <v>2169</v>
      </c>
      <c r="C276" s="20" t="s">
        <v>2180</v>
      </c>
      <c r="D276" s="24" t="s">
        <v>1230</v>
      </c>
      <c r="E276" s="92" t="s">
        <v>2181</v>
      </c>
      <c r="F276" s="21" t="s">
        <v>1120</v>
      </c>
      <c r="G276" s="20" t="s">
        <v>2182</v>
      </c>
      <c r="H276" s="78" t="s">
        <v>2183</v>
      </c>
    </row>
    <row r="277" spans="1:8" ht="26.25" customHeight="1">
      <c r="A277" s="76" t="s">
        <v>396</v>
      </c>
      <c r="B277" s="25" t="s">
        <v>2184</v>
      </c>
      <c r="C277" s="25" t="s">
        <v>2185</v>
      </c>
      <c r="D277" s="29" t="s">
        <v>1230</v>
      </c>
      <c r="E277" s="95" t="s">
        <v>2186</v>
      </c>
      <c r="F277" s="26" t="s">
        <v>1120</v>
      </c>
      <c r="G277" s="25" t="s">
        <v>2187</v>
      </c>
      <c r="H277" s="82" t="s">
        <v>2188</v>
      </c>
    </row>
    <row r="278" spans="1:8" ht="26.25" customHeight="1">
      <c r="A278" s="75" t="s">
        <v>2189</v>
      </c>
      <c r="B278" s="20" t="s">
        <v>2190</v>
      </c>
      <c r="C278" s="20" t="s">
        <v>2191</v>
      </c>
      <c r="D278" s="24" t="s">
        <v>1230</v>
      </c>
      <c r="E278" s="92" t="s">
        <v>2192</v>
      </c>
      <c r="F278" s="21" t="s">
        <v>1120</v>
      </c>
      <c r="G278" s="20" t="s">
        <v>2187</v>
      </c>
      <c r="H278" s="78" t="s">
        <v>2193</v>
      </c>
    </row>
    <row r="279" spans="1:8" ht="26.25" customHeight="1">
      <c r="A279" s="76" t="s">
        <v>2194</v>
      </c>
      <c r="B279" s="25" t="s">
        <v>2195</v>
      </c>
      <c r="C279" s="25" t="s">
        <v>2196</v>
      </c>
      <c r="D279" s="29" t="s">
        <v>1230</v>
      </c>
      <c r="E279" s="95" t="s">
        <v>2197</v>
      </c>
      <c r="F279" s="26" t="s">
        <v>2198</v>
      </c>
      <c r="G279" s="25" t="s">
        <v>2199</v>
      </c>
      <c r="H279" s="82"/>
    </row>
    <row r="280" spans="1:8" ht="26.25" customHeight="1">
      <c r="A280" s="75" t="s">
        <v>2200</v>
      </c>
      <c r="B280" s="20" t="s">
        <v>2201</v>
      </c>
      <c r="C280" s="20" t="s">
        <v>2202</v>
      </c>
      <c r="D280" s="24" t="s">
        <v>1230</v>
      </c>
      <c r="E280" s="92" t="s">
        <v>2203</v>
      </c>
      <c r="F280" s="21" t="s">
        <v>2198</v>
      </c>
      <c r="G280" s="20" t="s">
        <v>2204</v>
      </c>
      <c r="H280" s="78"/>
    </row>
    <row r="281" spans="1:8" ht="26.25" customHeight="1">
      <c r="A281" s="76" t="s">
        <v>2205</v>
      </c>
      <c r="B281" s="25" t="s">
        <v>2206</v>
      </c>
      <c r="C281" s="25" t="s">
        <v>2207</v>
      </c>
      <c r="D281" s="39" t="s">
        <v>1689</v>
      </c>
      <c r="E281" s="95" t="s">
        <v>2208</v>
      </c>
      <c r="F281" s="26" t="s">
        <v>2198</v>
      </c>
      <c r="G281" s="25" t="s">
        <v>2209</v>
      </c>
      <c r="H281" s="82" t="s">
        <v>2210</v>
      </c>
    </row>
    <row r="282" spans="1:8" ht="26.25" customHeight="1">
      <c r="A282" s="75" t="s">
        <v>2211</v>
      </c>
      <c r="B282" s="20" t="s">
        <v>2212</v>
      </c>
      <c r="C282" s="20" t="s">
        <v>2213</v>
      </c>
      <c r="D282" s="24" t="s">
        <v>1230</v>
      </c>
      <c r="E282" s="92" t="s">
        <v>2214</v>
      </c>
      <c r="F282" s="21" t="s">
        <v>2198</v>
      </c>
      <c r="G282" s="20" t="s">
        <v>2215</v>
      </c>
      <c r="H282" s="78"/>
    </row>
    <row r="283" spans="1:8" ht="26.25" customHeight="1">
      <c r="A283" s="76" t="s">
        <v>2216</v>
      </c>
      <c r="B283" s="25" t="s">
        <v>2217</v>
      </c>
      <c r="C283" s="25" t="s">
        <v>2218</v>
      </c>
      <c r="D283" s="29" t="s">
        <v>1230</v>
      </c>
      <c r="E283" s="95" t="s">
        <v>2219</v>
      </c>
      <c r="F283" s="26" t="s">
        <v>2198</v>
      </c>
      <c r="G283" s="25" t="s">
        <v>2220</v>
      </c>
      <c r="H283" s="82"/>
    </row>
    <row r="284" spans="1:8" ht="39" customHeight="1">
      <c r="A284" s="75" t="s">
        <v>2221</v>
      </c>
      <c r="B284" s="20" t="s">
        <v>2222</v>
      </c>
      <c r="C284" s="20" t="s">
        <v>2223</v>
      </c>
      <c r="D284" s="24" t="s">
        <v>1230</v>
      </c>
      <c r="E284" s="92" t="s">
        <v>2224</v>
      </c>
      <c r="F284" s="21" t="s">
        <v>2198</v>
      </c>
      <c r="G284" s="20" t="s">
        <v>2225</v>
      </c>
      <c r="H284" s="78"/>
    </row>
    <row r="285" spans="1:8" ht="26.25" customHeight="1">
      <c r="A285" s="76" t="s">
        <v>2226</v>
      </c>
      <c r="B285" s="25" t="s">
        <v>2227</v>
      </c>
      <c r="C285" s="25" t="s">
        <v>2228</v>
      </c>
      <c r="D285" s="29" t="s">
        <v>1230</v>
      </c>
      <c r="E285" s="95" t="s">
        <v>2229</v>
      </c>
      <c r="F285" s="26" t="s">
        <v>2198</v>
      </c>
      <c r="G285" s="25" t="s">
        <v>2215</v>
      </c>
      <c r="H285" s="82"/>
    </row>
    <row r="286" spans="1:8" ht="39" customHeight="1">
      <c r="A286" s="75" t="s">
        <v>2230</v>
      </c>
      <c r="B286" s="20" t="s">
        <v>2231</v>
      </c>
      <c r="C286" s="20" t="s">
        <v>2232</v>
      </c>
      <c r="D286" s="24" t="s">
        <v>1230</v>
      </c>
      <c r="E286" s="92" t="s">
        <v>2233</v>
      </c>
      <c r="F286" s="21" t="s">
        <v>2198</v>
      </c>
      <c r="G286" s="20" t="s">
        <v>2234</v>
      </c>
      <c r="H286" s="78"/>
    </row>
    <row r="287" spans="1:8" ht="26.25" customHeight="1">
      <c r="A287" s="76" t="s">
        <v>2235</v>
      </c>
      <c r="B287" s="25" t="s">
        <v>2236</v>
      </c>
      <c r="C287" s="25" t="s">
        <v>2237</v>
      </c>
      <c r="D287" s="29" t="s">
        <v>1230</v>
      </c>
      <c r="E287" s="95" t="s">
        <v>2238</v>
      </c>
      <c r="F287" s="26" t="s">
        <v>2198</v>
      </c>
      <c r="G287" s="25" t="s">
        <v>2239</v>
      </c>
      <c r="H287" s="82"/>
    </row>
    <row r="288" spans="1:8" ht="26.25" customHeight="1">
      <c r="A288" s="75" t="s">
        <v>2240</v>
      </c>
      <c r="B288" s="20" t="s">
        <v>2241</v>
      </c>
      <c r="C288" s="20" t="s">
        <v>2242</v>
      </c>
      <c r="D288" s="24" t="s">
        <v>1230</v>
      </c>
      <c r="E288" s="92" t="s">
        <v>2243</v>
      </c>
      <c r="F288" s="21" t="s">
        <v>2198</v>
      </c>
      <c r="G288" s="20" t="s">
        <v>2244</v>
      </c>
      <c r="H288" s="78"/>
    </row>
    <row r="289" spans="1:8" ht="26.25" customHeight="1">
      <c r="A289" s="76" t="s">
        <v>2245</v>
      </c>
      <c r="B289" s="25" t="s">
        <v>2246</v>
      </c>
      <c r="C289" s="25" t="s">
        <v>2247</v>
      </c>
      <c r="D289" s="94" t="s">
        <v>1236</v>
      </c>
      <c r="E289" s="95" t="s">
        <v>2248</v>
      </c>
      <c r="F289" s="26" t="s">
        <v>2198</v>
      </c>
      <c r="G289" s="25" t="s">
        <v>2249</v>
      </c>
      <c r="H289" s="82" t="s">
        <v>2250</v>
      </c>
    </row>
    <row r="290" spans="1:8" ht="26.25" customHeight="1">
      <c r="A290" s="75" t="s">
        <v>2251</v>
      </c>
      <c r="B290" s="20" t="s">
        <v>2252</v>
      </c>
      <c r="C290" s="20" t="s">
        <v>2253</v>
      </c>
      <c r="D290" s="42" t="s">
        <v>1236</v>
      </c>
      <c r="E290" s="92" t="s">
        <v>2254</v>
      </c>
      <c r="F290" s="21" t="s">
        <v>2198</v>
      </c>
      <c r="G290" s="20" t="s">
        <v>2249</v>
      </c>
      <c r="H290" s="78" t="s">
        <v>2255</v>
      </c>
    </row>
    <row r="291" spans="1:8" ht="26.25" customHeight="1">
      <c r="A291" s="76" t="s">
        <v>2256</v>
      </c>
      <c r="B291" s="25" t="s">
        <v>2257</v>
      </c>
      <c r="C291" s="25" t="s">
        <v>2258</v>
      </c>
      <c r="D291" s="94" t="s">
        <v>1236</v>
      </c>
      <c r="E291" s="95" t="s">
        <v>2254</v>
      </c>
      <c r="F291" s="26" t="s">
        <v>2198</v>
      </c>
      <c r="G291" s="25" t="s">
        <v>2249</v>
      </c>
      <c r="H291" s="82" t="s">
        <v>2255</v>
      </c>
    </row>
    <row r="292" spans="1:8" ht="26.25" customHeight="1">
      <c r="A292" s="75" t="s">
        <v>2259</v>
      </c>
      <c r="B292" s="20" t="s">
        <v>2260</v>
      </c>
      <c r="C292" s="20" t="s">
        <v>2261</v>
      </c>
      <c r="D292" s="42" t="s">
        <v>1236</v>
      </c>
      <c r="E292" s="92" t="s">
        <v>2262</v>
      </c>
      <c r="F292" s="21" t="s">
        <v>2198</v>
      </c>
      <c r="G292" s="20" t="s">
        <v>2249</v>
      </c>
      <c r="H292" s="78" t="s">
        <v>2255</v>
      </c>
    </row>
    <row r="293" spans="1:8" ht="26.25" customHeight="1">
      <c r="A293" s="76" t="s">
        <v>2263</v>
      </c>
      <c r="B293" s="25" t="s">
        <v>2264</v>
      </c>
      <c r="C293" s="25" t="s">
        <v>2265</v>
      </c>
      <c r="D293" s="29" t="s">
        <v>1230</v>
      </c>
      <c r="E293" s="95" t="s">
        <v>2266</v>
      </c>
      <c r="F293" s="26" t="s">
        <v>2198</v>
      </c>
      <c r="G293" s="25" t="s">
        <v>2267</v>
      </c>
      <c r="H293" s="82" t="s">
        <v>2268</v>
      </c>
    </row>
    <row r="294" spans="1:8" ht="39" customHeight="1">
      <c r="A294" s="75" t="s">
        <v>2269</v>
      </c>
      <c r="B294" s="20" t="s">
        <v>2264</v>
      </c>
      <c r="C294" s="20" t="s">
        <v>2270</v>
      </c>
      <c r="D294" s="24" t="s">
        <v>1230</v>
      </c>
      <c r="E294" s="92" t="s">
        <v>2271</v>
      </c>
      <c r="F294" s="21" t="s">
        <v>2198</v>
      </c>
      <c r="G294" s="20" t="s">
        <v>2272</v>
      </c>
      <c r="H294" s="78" t="s">
        <v>2273</v>
      </c>
    </row>
    <row r="295" spans="1:8">
      <c r="A295" s="37"/>
      <c r="B295" s="37"/>
      <c r="C295" s="37"/>
      <c r="D295" s="37"/>
      <c r="E295" s="37"/>
      <c r="F295" s="37"/>
      <c r="G295" s="37"/>
      <c r="H295" s="37"/>
    </row>
    <row r="296" spans="1:8">
      <c r="A296" s="37"/>
      <c r="B296" s="37"/>
      <c r="C296" s="37"/>
      <c r="D296" s="37"/>
      <c r="E296" s="37"/>
      <c r="F296" s="37"/>
      <c r="G296" s="37"/>
      <c r="H296" s="37"/>
    </row>
    <row r="297" spans="1:8" ht="121.5" customHeight="1">
      <c r="A297" s="60" t="s">
        <v>2274</v>
      </c>
      <c r="B297" s="37"/>
      <c r="C297" s="37" t="s">
        <v>2275</v>
      </c>
      <c r="D297" s="37"/>
      <c r="E297" s="37"/>
      <c r="F297" s="37"/>
      <c r="G297" s="37"/>
      <c r="H297" s="37"/>
    </row>
    <row r="298" spans="1:8" ht="27" customHeight="1">
      <c r="A298" s="37" t="s">
        <v>2276</v>
      </c>
      <c r="B298" s="37" t="s">
        <v>1228</v>
      </c>
      <c r="C298" s="37" t="s">
        <v>2277</v>
      </c>
      <c r="D298" s="37" t="s">
        <v>1230</v>
      </c>
      <c r="E298" s="37" t="s">
        <v>2278</v>
      </c>
      <c r="F298" s="37" t="s">
        <v>1125</v>
      </c>
      <c r="G298" s="37" t="s">
        <v>2279</v>
      </c>
      <c r="H298" s="37" t="s">
        <v>342</v>
      </c>
    </row>
    <row r="299" spans="1:8" ht="54" customHeight="1">
      <c r="A299" s="37" t="s">
        <v>404</v>
      </c>
      <c r="B299" s="37" t="s">
        <v>2280</v>
      </c>
      <c r="C299" s="37" t="s">
        <v>2281</v>
      </c>
      <c r="D299" s="37" t="s">
        <v>390</v>
      </c>
      <c r="E299" s="37" t="s">
        <v>2282</v>
      </c>
      <c r="F299" s="37" t="s">
        <v>1125</v>
      </c>
      <c r="G299" s="37" t="s">
        <v>2283</v>
      </c>
      <c r="H299" s="37" t="s">
        <v>2284</v>
      </c>
    </row>
    <row r="300" spans="1:8" ht="27" customHeight="1">
      <c r="A300" s="37" t="s">
        <v>2285</v>
      </c>
      <c r="B300" s="37" t="s">
        <v>2286</v>
      </c>
      <c r="C300" s="37" t="s">
        <v>2287</v>
      </c>
      <c r="D300" s="37" t="s">
        <v>2288</v>
      </c>
      <c r="E300" s="37" t="s">
        <v>2289</v>
      </c>
      <c r="F300" s="37" t="s">
        <v>1125</v>
      </c>
      <c r="G300" s="37" t="s">
        <v>2290</v>
      </c>
      <c r="H300" s="37" t="s">
        <v>342</v>
      </c>
    </row>
    <row r="301" spans="1:8" ht="40.5" customHeight="1">
      <c r="A301" s="37" t="s">
        <v>2291</v>
      </c>
      <c r="B301" s="37" t="s">
        <v>2292</v>
      </c>
      <c r="C301" s="37" t="s">
        <v>2293</v>
      </c>
      <c r="D301" s="37" t="s">
        <v>1673</v>
      </c>
      <c r="E301" s="37" t="s">
        <v>2294</v>
      </c>
      <c r="F301" s="37" t="s">
        <v>1125</v>
      </c>
      <c r="G301" s="37" t="s">
        <v>2295</v>
      </c>
      <c r="H301" s="37" t="s">
        <v>2296</v>
      </c>
    </row>
    <row r="302" spans="1:8" ht="27" customHeight="1">
      <c r="A302" s="37" t="s">
        <v>2297</v>
      </c>
      <c r="B302" s="37" t="s">
        <v>2298</v>
      </c>
      <c r="C302" s="37" t="s">
        <v>2299</v>
      </c>
      <c r="D302" s="37" t="s">
        <v>2300</v>
      </c>
      <c r="E302" s="37" t="s">
        <v>2301</v>
      </c>
      <c r="F302" s="37" t="s">
        <v>1125</v>
      </c>
      <c r="G302" s="37" t="s">
        <v>2302</v>
      </c>
      <c r="H302" s="37" t="s">
        <v>2303</v>
      </c>
    </row>
    <row r="303" spans="1:8" ht="27" customHeight="1">
      <c r="A303" s="37" t="s">
        <v>2304</v>
      </c>
      <c r="B303" s="37" t="s">
        <v>2305</v>
      </c>
      <c r="C303" s="37" t="s">
        <v>1558</v>
      </c>
      <c r="D303" s="37" t="s">
        <v>1230</v>
      </c>
      <c r="E303" s="37" t="s">
        <v>2306</v>
      </c>
      <c r="F303" s="37" t="s">
        <v>1125</v>
      </c>
      <c r="G303" s="37" t="s">
        <v>2307</v>
      </c>
      <c r="H303" s="37" t="s">
        <v>342</v>
      </c>
    </row>
    <row r="304" spans="1:8" ht="27" customHeight="1">
      <c r="A304" s="37" t="s">
        <v>2308</v>
      </c>
      <c r="B304" s="37" t="s">
        <v>2309</v>
      </c>
      <c r="C304" s="37" t="s">
        <v>1969</v>
      </c>
      <c r="D304" s="37" t="s">
        <v>1230</v>
      </c>
      <c r="E304" s="37" t="s">
        <v>2310</v>
      </c>
      <c r="F304" s="37" t="s">
        <v>1125</v>
      </c>
      <c r="G304" s="37" t="s">
        <v>2311</v>
      </c>
      <c r="H304" s="37" t="s">
        <v>342</v>
      </c>
    </row>
    <row r="305" spans="1:8" ht="27" customHeight="1">
      <c r="A305" s="37" t="s">
        <v>2312</v>
      </c>
      <c r="B305" s="37" t="s">
        <v>2313</v>
      </c>
      <c r="C305" s="37" t="s">
        <v>1973</v>
      </c>
      <c r="D305" s="37" t="s">
        <v>1230</v>
      </c>
      <c r="E305" s="37" t="s">
        <v>2314</v>
      </c>
      <c r="F305" s="37" t="s">
        <v>1125</v>
      </c>
      <c r="G305" s="37" t="s">
        <v>2315</v>
      </c>
      <c r="H305" s="37" t="s">
        <v>342</v>
      </c>
    </row>
    <row r="306" spans="1:8" ht="27" customHeight="1">
      <c r="A306" s="37" t="s">
        <v>2316</v>
      </c>
      <c r="B306" s="37" t="s">
        <v>2317</v>
      </c>
      <c r="C306" s="37" t="s">
        <v>2318</v>
      </c>
      <c r="D306" s="37" t="s">
        <v>1981</v>
      </c>
      <c r="E306" s="37" t="s">
        <v>2319</v>
      </c>
      <c r="F306" s="37" t="s">
        <v>1125</v>
      </c>
      <c r="G306" s="37" t="s">
        <v>2320</v>
      </c>
      <c r="H306" s="37" t="s">
        <v>2321</v>
      </c>
    </row>
    <row r="307" spans="1:8" ht="27" customHeight="1">
      <c r="A307" s="37" t="s">
        <v>2322</v>
      </c>
      <c r="B307" s="37" t="s">
        <v>2323</v>
      </c>
      <c r="C307" s="37" t="s">
        <v>1626</v>
      </c>
      <c r="D307" s="37" t="s">
        <v>1230</v>
      </c>
      <c r="E307" s="37" t="s">
        <v>2324</v>
      </c>
      <c r="F307" s="37" t="s">
        <v>1125</v>
      </c>
      <c r="G307" s="37" t="s">
        <v>2325</v>
      </c>
      <c r="H307" s="37" t="s">
        <v>342</v>
      </c>
    </row>
    <row r="308" spans="1:8" ht="27" customHeight="1">
      <c r="A308" s="37" t="s">
        <v>2326</v>
      </c>
      <c r="B308" s="37" t="s">
        <v>2327</v>
      </c>
      <c r="C308" s="37" t="s">
        <v>2328</v>
      </c>
      <c r="D308" s="37" t="s">
        <v>2329</v>
      </c>
      <c r="E308" s="37" t="s">
        <v>2330</v>
      </c>
      <c r="F308" s="37" t="s">
        <v>1125</v>
      </c>
      <c r="G308" s="37" t="s">
        <v>2331</v>
      </c>
      <c r="H308" s="37" t="s">
        <v>342</v>
      </c>
    </row>
    <row r="309" spans="1:8" ht="27" customHeight="1">
      <c r="A309" s="37" t="s">
        <v>2332</v>
      </c>
      <c r="B309" s="37" t="s">
        <v>2333</v>
      </c>
      <c r="C309" s="37" t="s">
        <v>1986</v>
      </c>
      <c r="D309" s="37" t="s">
        <v>1230</v>
      </c>
      <c r="E309" s="37" t="s">
        <v>2334</v>
      </c>
      <c r="F309" s="37" t="s">
        <v>1125</v>
      </c>
      <c r="G309" s="37" t="s">
        <v>2335</v>
      </c>
      <c r="H309" s="37" t="s">
        <v>342</v>
      </c>
    </row>
    <row r="310" spans="1:8" ht="27" customHeight="1">
      <c r="A310" s="37" t="s">
        <v>2336</v>
      </c>
      <c r="B310" s="37" t="s">
        <v>2163</v>
      </c>
      <c r="C310" s="37" t="s">
        <v>2164</v>
      </c>
      <c r="D310" s="37" t="s">
        <v>1230</v>
      </c>
      <c r="E310" s="37" t="s">
        <v>2337</v>
      </c>
      <c r="F310" s="37" t="s">
        <v>1125</v>
      </c>
      <c r="G310" s="37" t="s">
        <v>2338</v>
      </c>
      <c r="H310" s="37" t="s">
        <v>342</v>
      </c>
    </row>
    <row r="311" spans="1:8" ht="27" customHeight="1">
      <c r="A311" s="37" t="s">
        <v>2339</v>
      </c>
      <c r="B311" s="37" t="s">
        <v>2340</v>
      </c>
      <c r="C311" s="37" t="s">
        <v>2341</v>
      </c>
      <c r="D311" s="37" t="s">
        <v>2288</v>
      </c>
      <c r="E311" s="37" t="s">
        <v>2342</v>
      </c>
      <c r="F311" s="37" t="s">
        <v>1125</v>
      </c>
      <c r="G311" s="37" t="s">
        <v>2343</v>
      </c>
      <c r="H311" s="37" t="s">
        <v>342</v>
      </c>
    </row>
    <row r="312" spans="1:8">
      <c r="A312" s="37"/>
      <c r="B312" s="37"/>
      <c r="C312" s="37"/>
      <c r="D312" s="37"/>
      <c r="E312" s="37"/>
      <c r="F312" s="37"/>
      <c r="G312" s="37"/>
      <c r="H312" s="37"/>
    </row>
    <row r="313" spans="1:8" ht="148.5" customHeight="1">
      <c r="A313" s="60" t="s">
        <v>2344</v>
      </c>
      <c r="B313" s="37"/>
      <c r="C313" s="37"/>
      <c r="D313" s="37"/>
      <c r="E313" s="37"/>
      <c r="F313" s="37"/>
      <c r="G313" s="37"/>
      <c r="H313" s="37"/>
    </row>
    <row r="314" spans="1:8">
      <c r="A314" s="37" t="s">
        <v>2345</v>
      </c>
      <c r="B314" s="37" t="s">
        <v>1985</v>
      </c>
      <c r="C314" s="37" t="s">
        <v>2346</v>
      </c>
      <c r="D314" s="37" t="s">
        <v>1230</v>
      </c>
      <c r="E314" s="37" t="s">
        <v>2347</v>
      </c>
      <c r="F314" s="37" t="s">
        <v>1131</v>
      </c>
      <c r="G314" s="37">
        <v>46091</v>
      </c>
      <c r="H314" s="37"/>
    </row>
    <row r="315" spans="1:8" ht="27" customHeight="1">
      <c r="A315" s="37" t="s">
        <v>2348</v>
      </c>
      <c r="B315" s="37" t="s">
        <v>2030</v>
      </c>
      <c r="C315" s="37" t="s">
        <v>2349</v>
      </c>
      <c r="D315" s="37" t="s">
        <v>1230</v>
      </c>
      <c r="E315" s="37" t="s">
        <v>2350</v>
      </c>
      <c r="F315" s="37" t="s">
        <v>1131</v>
      </c>
      <c r="G315" s="37">
        <v>46091</v>
      </c>
      <c r="H315" s="37"/>
    </row>
    <row r="316" spans="1:8" ht="27" customHeight="1">
      <c r="A316" s="37" t="s">
        <v>2351</v>
      </c>
      <c r="B316" s="37" t="s">
        <v>1964</v>
      </c>
      <c r="C316" s="37" t="s">
        <v>1736</v>
      </c>
      <c r="D316" s="37" t="s">
        <v>1230</v>
      </c>
      <c r="E316" s="37" t="s">
        <v>2352</v>
      </c>
      <c r="F316" s="37" t="s">
        <v>1131</v>
      </c>
      <c r="G316" s="37">
        <v>46091</v>
      </c>
      <c r="H316" s="37"/>
    </row>
    <row r="317" spans="1:8">
      <c r="A317" s="37" t="s">
        <v>2353</v>
      </c>
      <c r="B317" s="37" t="s">
        <v>1976</v>
      </c>
      <c r="C317" s="37" t="s">
        <v>2354</v>
      </c>
      <c r="D317" s="37" t="s">
        <v>1230</v>
      </c>
      <c r="E317" s="37" t="s">
        <v>2355</v>
      </c>
      <c r="F317" s="37" t="s">
        <v>1131</v>
      </c>
      <c r="G317" s="37">
        <v>46091</v>
      </c>
      <c r="H317" s="37"/>
    </row>
    <row r="318" spans="1:8">
      <c r="A318" s="37" t="s">
        <v>2356</v>
      </c>
      <c r="B318" s="37" t="s">
        <v>2011</v>
      </c>
      <c r="C318" s="37" t="s">
        <v>1801</v>
      </c>
      <c r="D318" s="37" t="s">
        <v>1230</v>
      </c>
      <c r="E318" s="37" t="s">
        <v>2357</v>
      </c>
      <c r="F318" s="37" t="s">
        <v>1131</v>
      </c>
      <c r="G318" s="37">
        <v>46091</v>
      </c>
      <c r="H318" s="37"/>
    </row>
    <row r="319" spans="1:8">
      <c r="A319" s="37" t="s">
        <v>2358</v>
      </c>
      <c r="B319" s="37" t="s">
        <v>1979</v>
      </c>
      <c r="C319" s="37" t="s">
        <v>2359</v>
      </c>
      <c r="D319" s="37" t="s">
        <v>2360</v>
      </c>
      <c r="E319" s="37" t="s">
        <v>2361</v>
      </c>
      <c r="F319" s="37" t="s">
        <v>1131</v>
      </c>
      <c r="G319" s="37">
        <v>46091</v>
      </c>
      <c r="H319" s="37"/>
    </row>
    <row r="320" spans="1:8">
      <c r="A320" s="37" t="s">
        <v>2362</v>
      </c>
      <c r="B320" s="37" t="s">
        <v>2035</v>
      </c>
      <c r="C320" s="37" t="s">
        <v>2363</v>
      </c>
      <c r="D320" s="37" t="s">
        <v>1230</v>
      </c>
      <c r="E320" s="37" t="s">
        <v>2364</v>
      </c>
      <c r="F320" s="37" t="s">
        <v>1131</v>
      </c>
      <c r="G320" s="37">
        <v>46091</v>
      </c>
      <c r="H320" s="37"/>
    </row>
    <row r="321" spans="1:8" ht="27" customHeight="1">
      <c r="A321" s="37" t="s">
        <v>2365</v>
      </c>
      <c r="B321" s="37" t="s">
        <v>2094</v>
      </c>
      <c r="C321" s="37" t="s">
        <v>2366</v>
      </c>
      <c r="D321" s="37" t="s">
        <v>1230</v>
      </c>
      <c r="E321" s="37" t="s">
        <v>2367</v>
      </c>
      <c r="F321" s="37" t="s">
        <v>1131</v>
      </c>
      <c r="G321" s="37">
        <v>46091</v>
      </c>
      <c r="H321" s="37"/>
    </row>
    <row r="322" spans="1:8">
      <c r="A322" s="37" t="s">
        <v>2368</v>
      </c>
      <c r="B322" s="37" t="s">
        <v>2007</v>
      </c>
      <c r="C322" s="37" t="s">
        <v>2369</v>
      </c>
      <c r="D322" s="37" t="s">
        <v>1230</v>
      </c>
      <c r="E322" s="37" t="s">
        <v>2370</v>
      </c>
      <c r="F322" s="37" t="s">
        <v>1131</v>
      </c>
      <c r="G322" s="37">
        <v>46091</v>
      </c>
      <c r="H322" s="37"/>
    </row>
    <row r="323" spans="1:8">
      <c r="A323" s="37" t="s">
        <v>2371</v>
      </c>
      <c r="B323" s="37" t="s">
        <v>2003</v>
      </c>
      <c r="C323" s="37" t="s">
        <v>1820</v>
      </c>
      <c r="D323" s="37" t="s">
        <v>1230</v>
      </c>
      <c r="E323" s="37" t="s">
        <v>2372</v>
      </c>
      <c r="F323" s="37" t="s">
        <v>1131</v>
      </c>
      <c r="G323" s="37">
        <v>46091</v>
      </c>
      <c r="H323" s="37"/>
    </row>
    <row r="324" spans="1:8">
      <c r="A324" s="37" t="s">
        <v>2373</v>
      </c>
      <c r="B324" s="37" t="s">
        <v>1999</v>
      </c>
      <c r="C324" s="37" t="s">
        <v>2374</v>
      </c>
      <c r="D324" s="37" t="s">
        <v>1230</v>
      </c>
      <c r="E324" s="37" t="s">
        <v>2375</v>
      </c>
      <c r="F324" s="37" t="s">
        <v>1131</v>
      </c>
      <c r="G324" s="37">
        <v>46091</v>
      </c>
      <c r="H324" s="37"/>
    </row>
    <row r="325" spans="1:8">
      <c r="A325" s="37" t="s">
        <v>2376</v>
      </c>
      <c r="B325" s="37" t="s">
        <v>2023</v>
      </c>
      <c r="C325" s="37" t="s">
        <v>2377</v>
      </c>
      <c r="D325" s="37" t="s">
        <v>1230</v>
      </c>
      <c r="E325" s="37" t="s">
        <v>2378</v>
      </c>
      <c r="F325" s="37" t="s">
        <v>1131</v>
      </c>
      <c r="G325" s="37">
        <v>46091</v>
      </c>
      <c r="H325" s="37"/>
    </row>
    <row r="326" spans="1:8" ht="27" customHeight="1">
      <c r="A326" s="37" t="s">
        <v>2379</v>
      </c>
      <c r="B326" s="37" t="s">
        <v>1995</v>
      </c>
      <c r="C326" s="37" t="s">
        <v>2380</v>
      </c>
      <c r="D326" s="37" t="s">
        <v>1230</v>
      </c>
      <c r="E326" s="37" t="s">
        <v>2381</v>
      </c>
      <c r="F326" s="37" t="s">
        <v>1131</v>
      </c>
      <c r="G326" s="37">
        <v>46091</v>
      </c>
      <c r="H326" s="37"/>
    </row>
    <row r="327" spans="1:8" ht="27" customHeight="1">
      <c r="A327" s="37" t="s">
        <v>2382</v>
      </c>
      <c r="B327" s="37" t="s">
        <v>2056</v>
      </c>
      <c r="C327" s="37" t="s">
        <v>2383</v>
      </c>
      <c r="D327" s="37" t="s">
        <v>2384</v>
      </c>
      <c r="E327" s="37" t="s">
        <v>2385</v>
      </c>
      <c r="F327" s="37" t="s">
        <v>1131</v>
      </c>
      <c r="G327" s="37">
        <v>46091</v>
      </c>
      <c r="H327" s="37"/>
    </row>
    <row r="328" spans="1:8">
      <c r="A328" s="37" t="s">
        <v>2386</v>
      </c>
      <c r="B328" s="37" t="s">
        <v>1968</v>
      </c>
      <c r="C328" s="37" t="s">
        <v>2387</v>
      </c>
      <c r="D328" s="37" t="s">
        <v>2388</v>
      </c>
      <c r="E328" s="37" t="s">
        <v>2389</v>
      </c>
      <c r="F328" s="37" t="s">
        <v>1131</v>
      </c>
      <c r="G328" s="37">
        <v>46091</v>
      </c>
      <c r="H328" s="37"/>
    </row>
    <row r="329" spans="1:8">
      <c r="A329" s="37" t="s">
        <v>2390</v>
      </c>
      <c r="B329" s="37" t="s">
        <v>2015</v>
      </c>
      <c r="C329" s="37" t="s">
        <v>2391</v>
      </c>
      <c r="D329" s="37" t="s">
        <v>2388</v>
      </c>
      <c r="E329" s="37" t="s">
        <v>2389</v>
      </c>
      <c r="F329" s="37" t="s">
        <v>1131</v>
      </c>
      <c r="G329" s="37">
        <v>46091</v>
      </c>
      <c r="H329" s="37"/>
    </row>
    <row r="330" spans="1:8">
      <c r="A330" s="37" t="s">
        <v>2392</v>
      </c>
      <c r="B330" s="37" t="s">
        <v>1972</v>
      </c>
      <c r="C330" s="37" t="s">
        <v>2393</v>
      </c>
      <c r="D330" s="37" t="s">
        <v>2388</v>
      </c>
      <c r="E330" s="37" t="s">
        <v>2389</v>
      </c>
      <c r="F330" s="37" t="s">
        <v>1131</v>
      </c>
      <c r="G330" s="37">
        <v>46091</v>
      </c>
      <c r="H330" s="37"/>
    </row>
    <row r="331" spans="1:8">
      <c r="A331" s="37" t="s">
        <v>2394</v>
      </c>
      <c r="B331" s="37" t="s">
        <v>2066</v>
      </c>
      <c r="C331" s="37" t="s">
        <v>2395</v>
      </c>
      <c r="D331" s="37" t="s">
        <v>2388</v>
      </c>
      <c r="E331" s="37" t="s">
        <v>2396</v>
      </c>
      <c r="F331" s="37" t="s">
        <v>1131</v>
      </c>
      <c r="G331" s="37">
        <v>46091</v>
      </c>
      <c r="H331" s="37"/>
    </row>
    <row r="332" spans="1:8">
      <c r="A332" s="37"/>
      <c r="B332" s="37"/>
      <c r="C332" s="37"/>
      <c r="D332" s="37"/>
      <c r="E332" s="37"/>
      <c r="F332" s="37"/>
      <c r="G332" s="37"/>
      <c r="H332" s="37"/>
    </row>
    <row r="333" spans="1:8" ht="94.5" customHeight="1">
      <c r="A333" s="37" t="s">
        <v>2397</v>
      </c>
      <c r="B333" s="37" t="s">
        <v>2398</v>
      </c>
      <c r="C333" s="37" t="s">
        <v>2399</v>
      </c>
      <c r="D333" s="37">
        <v>200</v>
      </c>
      <c r="E333" s="37" t="s">
        <v>1230</v>
      </c>
      <c r="F333" s="37" t="s">
        <v>2400</v>
      </c>
      <c r="G333" s="61">
        <v>46091</v>
      </c>
      <c r="H333" s="37"/>
    </row>
    <row r="334" spans="1:8" ht="67.5" customHeight="1">
      <c r="A334" s="37" t="s">
        <v>2401</v>
      </c>
      <c r="B334" s="37" t="s">
        <v>2402</v>
      </c>
      <c r="C334" s="37" t="s">
        <v>2359</v>
      </c>
      <c r="D334" s="37">
        <v>200</v>
      </c>
      <c r="E334" s="37" t="s">
        <v>1230</v>
      </c>
      <c r="F334" s="37" t="s">
        <v>2403</v>
      </c>
      <c r="G334" s="61">
        <v>46091</v>
      </c>
      <c r="H334" s="37"/>
    </row>
    <row r="335" spans="1:8" ht="94.5" customHeight="1">
      <c r="A335" s="37" t="s">
        <v>2404</v>
      </c>
      <c r="B335" s="37" t="s">
        <v>1968</v>
      </c>
      <c r="C335" s="37" t="s">
        <v>2405</v>
      </c>
      <c r="D335" s="37">
        <v>200</v>
      </c>
      <c r="E335" s="37" t="s">
        <v>1230</v>
      </c>
      <c r="F335" s="37" t="s">
        <v>2406</v>
      </c>
      <c r="G335" s="61">
        <v>46091</v>
      </c>
      <c r="H335" s="37"/>
    </row>
    <row r="336" spans="1:8" ht="67.5" customHeight="1">
      <c r="A336" s="37" t="s">
        <v>2407</v>
      </c>
      <c r="B336" s="37" t="s">
        <v>2015</v>
      </c>
      <c r="C336" s="37" t="s">
        <v>2408</v>
      </c>
      <c r="D336" s="37">
        <v>200</v>
      </c>
      <c r="E336" s="37" t="s">
        <v>1230</v>
      </c>
      <c r="F336" s="37" t="s">
        <v>2409</v>
      </c>
      <c r="G336" s="61">
        <v>46091</v>
      </c>
      <c r="H336" s="37"/>
    </row>
    <row r="337" spans="1:8" ht="108" customHeight="1">
      <c r="A337" s="37" t="s">
        <v>2410</v>
      </c>
      <c r="B337" s="37" t="s">
        <v>1972</v>
      </c>
      <c r="C337" s="37" t="s">
        <v>2411</v>
      </c>
      <c r="D337" s="37">
        <v>200</v>
      </c>
      <c r="E337" s="37" t="s">
        <v>1230</v>
      </c>
      <c r="F337" s="37" t="s">
        <v>2412</v>
      </c>
      <c r="G337" s="61">
        <v>46091</v>
      </c>
      <c r="H337" s="37"/>
    </row>
    <row r="338" spans="1:8" ht="148.5" customHeight="1">
      <c r="A338" s="37" t="s">
        <v>2413</v>
      </c>
      <c r="B338" s="37" t="s">
        <v>2414</v>
      </c>
      <c r="C338" s="37" t="s">
        <v>2415</v>
      </c>
      <c r="D338" s="37" t="s">
        <v>2416</v>
      </c>
      <c r="E338" s="37" t="s">
        <v>2417</v>
      </c>
      <c r="F338" s="37" t="s">
        <v>2418</v>
      </c>
      <c r="G338" s="61">
        <v>46091</v>
      </c>
      <c r="H338" s="37"/>
    </row>
    <row r="339" spans="1:8" ht="162" customHeight="1">
      <c r="A339" s="37" t="s">
        <v>2419</v>
      </c>
      <c r="B339" s="37" t="s">
        <v>2066</v>
      </c>
      <c r="C339" s="37" t="s">
        <v>1840</v>
      </c>
      <c r="D339" s="37" t="s">
        <v>1883</v>
      </c>
      <c r="E339" s="37" t="s">
        <v>2420</v>
      </c>
      <c r="F339" s="37" t="s">
        <v>2421</v>
      </c>
      <c r="G339" s="61">
        <v>46091</v>
      </c>
      <c r="H339" s="37"/>
    </row>
    <row r="340" spans="1:8">
      <c r="A340" s="37"/>
      <c r="B340" s="37"/>
      <c r="C340" s="37"/>
      <c r="D340" s="37"/>
      <c r="E340" s="37"/>
      <c r="F340" s="37"/>
      <c r="G340" s="37"/>
      <c r="H340" s="37"/>
    </row>
    <row r="341" spans="1:8" ht="54" customHeight="1">
      <c r="A341" s="37" t="s">
        <v>2422</v>
      </c>
      <c r="B341" s="37" t="s">
        <v>2423</v>
      </c>
      <c r="C341" s="37"/>
      <c r="D341" s="37"/>
      <c r="E341" s="37"/>
      <c r="F341" s="37" t="s">
        <v>2424</v>
      </c>
      <c r="G341" s="61">
        <v>46091</v>
      </c>
      <c r="H341" s="37"/>
    </row>
    <row r="342" spans="1:8">
      <c r="A342" s="37"/>
      <c r="B342" s="37"/>
      <c r="C342" s="37"/>
      <c r="D342" s="37"/>
      <c r="E342" s="37"/>
      <c r="F342" s="37"/>
      <c r="G342" s="37"/>
      <c r="H342" s="37"/>
    </row>
    <row r="343" spans="1:8" ht="175.5" customHeight="1">
      <c r="A343" s="37" t="s">
        <v>2425</v>
      </c>
      <c r="B343" s="37" t="s">
        <v>2426</v>
      </c>
      <c r="C343" s="37" t="s">
        <v>2427</v>
      </c>
      <c r="D343" s="37">
        <v>200</v>
      </c>
      <c r="E343" s="37" t="s">
        <v>189</v>
      </c>
      <c r="F343" s="37" t="s">
        <v>2428</v>
      </c>
      <c r="G343" s="61">
        <v>46091</v>
      </c>
      <c r="H343" s="37"/>
    </row>
    <row r="344" spans="1:8">
      <c r="A344" s="37"/>
      <c r="B344" s="37"/>
      <c r="C344" s="37"/>
      <c r="D344" s="37"/>
      <c r="E344" s="37"/>
      <c r="F344" s="37"/>
      <c r="G344" s="37"/>
      <c r="H344" s="37"/>
    </row>
    <row r="345" spans="1:8" ht="94.5" customHeight="1">
      <c r="A345" s="37" t="s">
        <v>2429</v>
      </c>
      <c r="B345" s="37" t="s">
        <v>2430</v>
      </c>
      <c r="C345" s="37"/>
      <c r="D345" s="37"/>
      <c r="E345" s="37"/>
      <c r="F345" s="37" t="s">
        <v>2431</v>
      </c>
      <c r="G345" s="61">
        <v>46091</v>
      </c>
      <c r="H345" s="37"/>
    </row>
    <row r="346" spans="1:8">
      <c r="A346" s="37"/>
      <c r="B346" s="37"/>
      <c r="C346" s="37"/>
      <c r="D346" s="37"/>
      <c r="E346" s="37"/>
      <c r="F346" s="37"/>
      <c r="G346" s="37"/>
      <c r="H346" s="37"/>
    </row>
    <row r="347" spans="1:8" ht="148.5" customHeight="1">
      <c r="A347" s="37" t="s">
        <v>2432</v>
      </c>
      <c r="B347" s="37" t="s">
        <v>2433</v>
      </c>
      <c r="C347" s="37" t="s">
        <v>2434</v>
      </c>
      <c r="D347" s="37"/>
      <c r="E347" s="37"/>
      <c r="F347" s="37"/>
      <c r="G347" s="37"/>
      <c r="H347" s="37"/>
    </row>
    <row r="348" spans="1:8">
      <c r="A348" s="37" t="s">
        <v>2435</v>
      </c>
      <c r="B348" s="37" t="s">
        <v>1228</v>
      </c>
      <c r="C348" s="37" t="s">
        <v>2277</v>
      </c>
      <c r="D348" s="37" t="s">
        <v>1230</v>
      </c>
      <c r="E348" s="37" t="s">
        <v>2436</v>
      </c>
      <c r="F348" s="37" t="s">
        <v>1141</v>
      </c>
      <c r="G348" s="37">
        <v>46092</v>
      </c>
      <c r="H348" s="37" t="s">
        <v>342</v>
      </c>
    </row>
    <row r="349" spans="1:8">
      <c r="A349" s="37" t="s">
        <v>2437</v>
      </c>
      <c r="B349" s="37" t="s">
        <v>1735</v>
      </c>
      <c r="C349" s="37" t="s">
        <v>1558</v>
      </c>
      <c r="D349" s="37" t="s">
        <v>1230</v>
      </c>
      <c r="E349" s="37" t="s">
        <v>2438</v>
      </c>
      <c r="F349" s="37" t="s">
        <v>1141</v>
      </c>
      <c r="G349" s="37">
        <v>46092</v>
      </c>
      <c r="H349" s="37" t="s">
        <v>342</v>
      </c>
    </row>
    <row r="350" spans="1:8">
      <c r="A350" s="37" t="s">
        <v>2439</v>
      </c>
      <c r="B350" s="37" t="s">
        <v>1757</v>
      </c>
      <c r="C350" s="37" t="s">
        <v>1969</v>
      </c>
      <c r="D350" s="37" t="s">
        <v>1230</v>
      </c>
      <c r="E350" s="37" t="s">
        <v>2440</v>
      </c>
      <c r="F350" s="37" t="s">
        <v>1141</v>
      </c>
      <c r="G350" s="37">
        <v>46092</v>
      </c>
      <c r="H350" s="37" t="s">
        <v>342</v>
      </c>
    </row>
    <row r="351" spans="1:8">
      <c r="A351" s="37" t="s">
        <v>2441</v>
      </c>
      <c r="B351" s="37" t="s">
        <v>1745</v>
      </c>
      <c r="C351" s="37" t="s">
        <v>1973</v>
      </c>
      <c r="D351" s="37" t="s">
        <v>1230</v>
      </c>
      <c r="E351" s="37" t="s">
        <v>2442</v>
      </c>
      <c r="F351" s="37" t="s">
        <v>1141</v>
      </c>
      <c r="G351" s="37">
        <v>46092</v>
      </c>
      <c r="H351" s="37" t="s">
        <v>342</v>
      </c>
    </row>
    <row r="352" spans="1:8">
      <c r="A352" s="37" t="s">
        <v>2443</v>
      </c>
      <c r="B352" s="37" t="s">
        <v>1786</v>
      </c>
      <c r="C352" s="37" t="s">
        <v>2444</v>
      </c>
      <c r="D352" s="37" t="s">
        <v>1230</v>
      </c>
      <c r="E352" s="37" t="s">
        <v>2445</v>
      </c>
      <c r="F352" s="37" t="s">
        <v>1141</v>
      </c>
      <c r="G352" s="37">
        <v>46092</v>
      </c>
      <c r="H352" s="37" t="s">
        <v>342</v>
      </c>
    </row>
    <row r="353" spans="1:8">
      <c r="A353" s="37" t="s">
        <v>2446</v>
      </c>
      <c r="B353" s="37" t="s">
        <v>1749</v>
      </c>
      <c r="C353" s="37" t="s">
        <v>2447</v>
      </c>
      <c r="D353" s="37" t="s">
        <v>1230</v>
      </c>
      <c r="E353" s="37" t="s">
        <v>2448</v>
      </c>
      <c r="F353" s="37" t="s">
        <v>1141</v>
      </c>
      <c r="G353" s="37">
        <v>46092</v>
      </c>
      <c r="H353" s="37" t="s">
        <v>342</v>
      </c>
    </row>
    <row r="354" spans="1:8">
      <c r="A354" s="37" t="s">
        <v>2449</v>
      </c>
      <c r="B354" s="37" t="s">
        <v>1753</v>
      </c>
      <c r="C354" s="37" t="s">
        <v>2450</v>
      </c>
      <c r="D354" s="37" t="s">
        <v>1230</v>
      </c>
      <c r="E354" s="37" t="s">
        <v>2451</v>
      </c>
      <c r="F354" s="37" t="s">
        <v>1141</v>
      </c>
      <c r="G354" s="37">
        <v>46092</v>
      </c>
      <c r="H354" s="37" t="s">
        <v>342</v>
      </c>
    </row>
    <row r="355" spans="1:8">
      <c r="A355" s="37" t="s">
        <v>2452</v>
      </c>
      <c r="B355" s="37" t="s">
        <v>1850</v>
      </c>
      <c r="C355" s="37" t="s">
        <v>2318</v>
      </c>
      <c r="D355" s="37" t="s">
        <v>1230</v>
      </c>
      <c r="E355" s="37" t="s">
        <v>2453</v>
      </c>
      <c r="F355" s="37" t="s">
        <v>1141</v>
      </c>
      <c r="G355" s="37">
        <v>46092</v>
      </c>
      <c r="H355" s="37" t="s">
        <v>342</v>
      </c>
    </row>
    <row r="356" spans="1:8">
      <c r="A356" s="37" t="s">
        <v>2454</v>
      </c>
      <c r="B356" s="37" t="s">
        <v>1800</v>
      </c>
      <c r="C356" s="37" t="s">
        <v>2455</v>
      </c>
      <c r="D356" s="37" t="s">
        <v>1230</v>
      </c>
      <c r="E356" s="37" t="s">
        <v>2456</v>
      </c>
      <c r="F356" s="37" t="s">
        <v>1141</v>
      </c>
      <c r="G356" s="37">
        <v>46092</v>
      </c>
      <c r="H356" s="37" t="s">
        <v>342</v>
      </c>
    </row>
    <row r="357" spans="1:8">
      <c r="A357" s="37" t="s">
        <v>2457</v>
      </c>
      <c r="B357" s="37" t="s">
        <v>1854</v>
      </c>
      <c r="C357" s="37" t="s">
        <v>2016</v>
      </c>
      <c r="D357" s="37" t="s">
        <v>1230</v>
      </c>
      <c r="E357" s="37" t="s">
        <v>2458</v>
      </c>
      <c r="F357" s="37" t="s">
        <v>1141</v>
      </c>
      <c r="G357" s="37">
        <v>46092</v>
      </c>
      <c r="H357" s="37" t="s">
        <v>342</v>
      </c>
    </row>
    <row r="358" spans="1:8">
      <c r="A358" s="37" t="s">
        <v>2459</v>
      </c>
      <c r="B358" s="37" t="s">
        <v>1761</v>
      </c>
      <c r="C358" s="37" t="s">
        <v>2028</v>
      </c>
      <c r="D358" s="37" t="s">
        <v>1230</v>
      </c>
      <c r="E358" s="37" t="s">
        <v>2460</v>
      </c>
      <c r="F358" s="37" t="s">
        <v>1141</v>
      </c>
      <c r="G358" s="37">
        <v>46092</v>
      </c>
      <c r="H358" s="37" t="s">
        <v>342</v>
      </c>
    </row>
    <row r="359" spans="1:8">
      <c r="A359" s="37" t="s">
        <v>2461</v>
      </c>
      <c r="B359" s="37" t="s">
        <v>1741</v>
      </c>
      <c r="C359" s="37" t="s">
        <v>1626</v>
      </c>
      <c r="D359" s="37" t="s">
        <v>1230</v>
      </c>
      <c r="E359" s="37" t="s">
        <v>2462</v>
      </c>
      <c r="F359" s="37" t="s">
        <v>1141</v>
      </c>
      <c r="G359" s="37">
        <v>46092</v>
      </c>
      <c r="H359" s="37" t="s">
        <v>342</v>
      </c>
    </row>
    <row r="360" spans="1:8">
      <c r="A360" s="37" t="s">
        <v>2463</v>
      </c>
      <c r="B360" s="37" t="s">
        <v>1814</v>
      </c>
      <c r="C360" s="37" t="s">
        <v>2464</v>
      </c>
      <c r="D360" s="37" t="s">
        <v>1230</v>
      </c>
      <c r="E360" s="37" t="s">
        <v>2465</v>
      </c>
      <c r="F360" s="37" t="s">
        <v>1141</v>
      </c>
      <c r="G360" s="37">
        <v>46092</v>
      </c>
      <c r="H360" s="37" t="s">
        <v>342</v>
      </c>
    </row>
    <row r="361" spans="1:8">
      <c r="A361" s="37" t="s">
        <v>2466</v>
      </c>
      <c r="B361" s="37" t="s">
        <v>1824</v>
      </c>
      <c r="C361" s="37" t="s">
        <v>2467</v>
      </c>
      <c r="D361" s="37" t="s">
        <v>1230</v>
      </c>
      <c r="E361" s="37" t="s">
        <v>2468</v>
      </c>
      <c r="F361" s="37" t="s">
        <v>1141</v>
      </c>
      <c r="G361" s="37">
        <v>46092</v>
      </c>
      <c r="H361" s="37" t="s">
        <v>342</v>
      </c>
    </row>
    <row r="362" spans="1:8">
      <c r="A362" s="37" t="s">
        <v>2469</v>
      </c>
      <c r="B362" s="37" t="s">
        <v>1819</v>
      </c>
      <c r="C362" s="37" t="s">
        <v>2470</v>
      </c>
      <c r="D362" s="37" t="s">
        <v>1230</v>
      </c>
      <c r="E362" s="37" t="s">
        <v>2471</v>
      </c>
      <c r="F362" s="37" t="s">
        <v>1141</v>
      </c>
      <c r="G362" s="37">
        <v>46092</v>
      </c>
      <c r="H362" s="37" t="s">
        <v>342</v>
      </c>
    </row>
    <row r="363" spans="1:8">
      <c r="A363" s="37" t="s">
        <v>2472</v>
      </c>
      <c r="B363" s="37" t="s">
        <v>1791</v>
      </c>
      <c r="C363" s="37" t="s">
        <v>2473</v>
      </c>
      <c r="D363" s="37" t="s">
        <v>1230</v>
      </c>
      <c r="E363" s="37" t="s">
        <v>2474</v>
      </c>
      <c r="F363" s="37" t="s">
        <v>1141</v>
      </c>
      <c r="G363" s="37">
        <v>46092</v>
      </c>
      <c r="H363" s="37" t="s">
        <v>342</v>
      </c>
    </row>
    <row r="364" spans="1:8">
      <c r="A364" s="37" t="s">
        <v>2475</v>
      </c>
      <c r="B364" s="37" t="s">
        <v>1804</v>
      </c>
      <c r="C364" s="37" t="s">
        <v>2476</v>
      </c>
      <c r="D364" s="37" t="s">
        <v>1230</v>
      </c>
      <c r="E364" s="37" t="s">
        <v>2477</v>
      </c>
      <c r="F364" s="37" t="s">
        <v>1141</v>
      </c>
      <c r="G364" s="37">
        <v>46092</v>
      </c>
      <c r="H364" s="37" t="s">
        <v>342</v>
      </c>
    </row>
    <row r="365" spans="1:8">
      <c r="A365" s="37" t="s">
        <v>2478</v>
      </c>
      <c r="B365" s="37" t="s">
        <v>1773</v>
      </c>
      <c r="C365" s="37" t="s">
        <v>2479</v>
      </c>
      <c r="D365" s="37" t="s">
        <v>1230</v>
      </c>
      <c r="E365" s="37" t="s">
        <v>2480</v>
      </c>
      <c r="F365" s="37" t="s">
        <v>1141</v>
      </c>
      <c r="G365" s="37">
        <v>46092</v>
      </c>
      <c r="H365" s="37" t="s">
        <v>2481</v>
      </c>
    </row>
    <row r="366" spans="1:8">
      <c r="A366" s="37" t="s">
        <v>2482</v>
      </c>
      <c r="B366" s="37" t="s">
        <v>2483</v>
      </c>
      <c r="C366" s="37" t="s">
        <v>2484</v>
      </c>
      <c r="D366" s="37" t="s">
        <v>1230</v>
      </c>
      <c r="E366" s="37" t="s">
        <v>2485</v>
      </c>
      <c r="F366" s="37" t="s">
        <v>1141</v>
      </c>
      <c r="G366" s="37">
        <v>46092</v>
      </c>
      <c r="H366" s="37" t="s">
        <v>2486</v>
      </c>
    </row>
    <row r="367" spans="1:8">
      <c r="A367" s="37" t="s">
        <v>2487</v>
      </c>
      <c r="B367" s="37" t="s">
        <v>2488</v>
      </c>
      <c r="C367" s="37" t="s">
        <v>1986</v>
      </c>
      <c r="D367" s="37" t="s">
        <v>1230</v>
      </c>
      <c r="E367" s="37" t="s">
        <v>2489</v>
      </c>
      <c r="F367" s="37" t="s">
        <v>1141</v>
      </c>
      <c r="G367" s="37">
        <v>46092</v>
      </c>
      <c r="H367" s="37" t="s">
        <v>342</v>
      </c>
    </row>
    <row r="368" spans="1:8">
      <c r="A368" s="37" t="s">
        <v>2490</v>
      </c>
      <c r="B368" s="37" t="s">
        <v>1859</v>
      </c>
      <c r="C368" s="37" t="s">
        <v>2491</v>
      </c>
      <c r="D368" s="37" t="s">
        <v>1230</v>
      </c>
      <c r="E368" s="37" t="s">
        <v>2492</v>
      </c>
      <c r="F368" s="37" t="s">
        <v>1141</v>
      </c>
      <c r="G368" s="37">
        <v>46092</v>
      </c>
      <c r="H368" s="37" t="s">
        <v>2493</v>
      </c>
    </row>
    <row r="369" spans="1:8" ht="27" customHeight="1">
      <c r="A369" s="37" t="s">
        <v>2494</v>
      </c>
      <c r="B369" s="37" t="s">
        <v>1839</v>
      </c>
      <c r="C369" s="37" t="s">
        <v>2495</v>
      </c>
      <c r="D369" s="37" t="s">
        <v>1230</v>
      </c>
      <c r="E369" s="37" t="s">
        <v>2496</v>
      </c>
      <c r="F369" s="37" t="s">
        <v>1141</v>
      </c>
      <c r="G369" s="37">
        <v>46092</v>
      </c>
      <c r="H369" s="37" t="s">
        <v>2493</v>
      </c>
    </row>
    <row r="370" spans="1:8">
      <c r="A370" s="37" t="s">
        <v>2497</v>
      </c>
      <c r="B370" s="37" t="s">
        <v>1777</v>
      </c>
      <c r="C370" s="37" t="s">
        <v>2498</v>
      </c>
      <c r="D370" s="37" t="s">
        <v>1230</v>
      </c>
      <c r="E370" s="37" t="s">
        <v>2499</v>
      </c>
      <c r="F370" s="37" t="s">
        <v>1141</v>
      </c>
      <c r="G370" s="37">
        <v>46092</v>
      </c>
      <c r="H370" s="37" t="s">
        <v>342</v>
      </c>
    </row>
    <row r="371" spans="1:8">
      <c r="A371" s="37" t="s">
        <v>2500</v>
      </c>
      <c r="B371" s="37" t="s">
        <v>1843</v>
      </c>
      <c r="C371" s="37" t="s">
        <v>2501</v>
      </c>
      <c r="D371" s="37" t="s">
        <v>1230</v>
      </c>
      <c r="E371" s="37" t="s">
        <v>2502</v>
      </c>
      <c r="F371" s="37" t="s">
        <v>1141</v>
      </c>
      <c r="G371" s="37">
        <v>46092</v>
      </c>
      <c r="H371" s="37" t="s">
        <v>2493</v>
      </c>
    </row>
    <row r="372" spans="1:8">
      <c r="A372" s="37" t="s">
        <v>2503</v>
      </c>
      <c r="B372" s="37" t="s">
        <v>1769</v>
      </c>
      <c r="C372" s="37" t="s">
        <v>2504</v>
      </c>
      <c r="D372" s="37" t="s">
        <v>1230</v>
      </c>
      <c r="E372" s="37" t="s">
        <v>2505</v>
      </c>
      <c r="F372" s="37" t="s">
        <v>1141</v>
      </c>
      <c r="G372" s="37">
        <v>46092</v>
      </c>
      <c r="H372" s="37" t="s">
        <v>342</v>
      </c>
    </row>
    <row r="373" spans="1:8">
      <c r="A373" s="37" t="s">
        <v>2506</v>
      </c>
      <c r="B373" s="37" t="s">
        <v>1863</v>
      </c>
      <c r="C373" s="37" t="s">
        <v>2507</v>
      </c>
      <c r="D373" s="37" t="s">
        <v>1230</v>
      </c>
      <c r="E373" s="37" t="s">
        <v>2508</v>
      </c>
      <c r="F373" s="37" t="s">
        <v>1141</v>
      </c>
      <c r="G373" s="37">
        <v>46092</v>
      </c>
      <c r="H373" s="37" t="s">
        <v>2493</v>
      </c>
    </row>
    <row r="374" spans="1:8">
      <c r="A374" s="37" t="s">
        <v>2509</v>
      </c>
      <c r="B374" s="37" t="s">
        <v>1765</v>
      </c>
      <c r="C374" s="37" t="s">
        <v>2510</v>
      </c>
      <c r="D374" s="37" t="s">
        <v>1230</v>
      </c>
      <c r="E374" s="37" t="s">
        <v>2511</v>
      </c>
      <c r="F374" s="37" t="s">
        <v>1141</v>
      </c>
      <c r="G374" s="37">
        <v>46092</v>
      </c>
      <c r="H374" s="37" t="s">
        <v>342</v>
      </c>
    </row>
    <row r="375" spans="1:8" ht="27" customHeight="1">
      <c r="A375" s="37" t="s">
        <v>2512</v>
      </c>
      <c r="B375" s="37" t="s">
        <v>1868</v>
      </c>
      <c r="C375" s="37" t="s">
        <v>2513</v>
      </c>
      <c r="D375" s="37" t="s">
        <v>2514</v>
      </c>
      <c r="E375" s="37" t="s">
        <v>2515</v>
      </c>
      <c r="F375" s="37" t="s">
        <v>1141</v>
      </c>
      <c r="G375" s="37">
        <v>46092</v>
      </c>
      <c r="H375" s="37" t="s">
        <v>2516</v>
      </c>
    </row>
    <row r="376" spans="1:8">
      <c r="A376" s="37"/>
      <c r="B376" s="37"/>
      <c r="C376" s="37"/>
      <c r="D376" s="37"/>
      <c r="E376" s="37"/>
      <c r="F376" s="37"/>
      <c r="G376" s="37"/>
      <c r="H376" s="37"/>
    </row>
    <row r="377" spans="1:8">
      <c r="A377" s="37"/>
      <c r="B377" s="37"/>
      <c r="C377" s="37"/>
      <c r="D377" s="37"/>
      <c r="E377" s="37"/>
      <c r="F377" s="37"/>
      <c r="G377" s="37"/>
      <c r="H377" s="37"/>
    </row>
    <row r="378" spans="1:8" ht="54" customHeight="1">
      <c r="A378" s="37" t="s">
        <v>2517</v>
      </c>
      <c r="B378" s="37"/>
      <c r="C378" s="37"/>
      <c r="D378" s="37"/>
      <c r="E378" s="37"/>
      <c r="F378" s="37"/>
      <c r="G378" s="37"/>
      <c r="H378" s="37"/>
    </row>
    <row r="379" spans="1:8" ht="27" customHeight="1">
      <c r="A379" s="37" t="s">
        <v>2110</v>
      </c>
      <c r="B379" s="37">
        <v>28</v>
      </c>
      <c r="C379" s="37" t="s">
        <v>1230</v>
      </c>
      <c r="D379" s="37">
        <v>27</v>
      </c>
      <c r="E379" s="37" t="s">
        <v>2518</v>
      </c>
      <c r="F379" s="37">
        <v>1</v>
      </c>
      <c r="G379" s="37"/>
      <c r="H379" s="37"/>
    </row>
    <row r="380" spans="1:8" ht="27" customHeight="1">
      <c r="A380" s="37" t="s">
        <v>2519</v>
      </c>
      <c r="B380" s="107">
        <v>0.96399999999999997</v>
      </c>
      <c r="C380" s="37" t="s">
        <v>2520</v>
      </c>
      <c r="D380" s="108">
        <v>1</v>
      </c>
      <c r="E380" s="37" t="s">
        <v>2521</v>
      </c>
      <c r="F380" s="37"/>
      <c r="G380" s="37"/>
      <c r="H380" s="37"/>
    </row>
    <row r="381" spans="1:8">
      <c r="A381" s="37"/>
      <c r="B381" s="37"/>
      <c r="C381" s="37"/>
      <c r="D381" s="37"/>
      <c r="E381" s="37"/>
      <c r="F381" s="37"/>
      <c r="G381" s="37"/>
      <c r="H381" s="37"/>
    </row>
    <row r="382" spans="1:8" ht="40.5" customHeight="1">
      <c r="A382" s="37" t="s">
        <v>1887</v>
      </c>
      <c r="B382" s="37"/>
      <c r="C382" s="37"/>
      <c r="D382" s="37"/>
      <c r="E382" s="37"/>
      <c r="F382" s="37"/>
      <c r="G382" s="37"/>
      <c r="H382" s="37"/>
    </row>
    <row r="383" spans="1:8">
      <c r="A383" s="37">
        <v>1</v>
      </c>
      <c r="B383" s="37" t="s">
        <v>2522</v>
      </c>
      <c r="C383" s="37" t="s">
        <v>2523</v>
      </c>
      <c r="D383" s="37"/>
      <c r="E383" s="37"/>
      <c r="F383" s="37"/>
      <c r="G383" s="37"/>
      <c r="H383" s="37"/>
    </row>
    <row r="384" spans="1:8" ht="40.5" customHeight="1">
      <c r="A384" s="37">
        <v>2</v>
      </c>
      <c r="B384" s="37" t="s">
        <v>2524</v>
      </c>
      <c r="C384" s="37" t="s">
        <v>2525</v>
      </c>
      <c r="D384" s="37"/>
      <c r="E384" s="37"/>
      <c r="F384" s="37"/>
      <c r="G384" s="37"/>
      <c r="H384" s="37"/>
    </row>
    <row r="385" spans="1:8" ht="40.5" customHeight="1">
      <c r="A385" s="37">
        <v>3</v>
      </c>
      <c r="B385" s="37" t="s">
        <v>2526</v>
      </c>
      <c r="C385" s="37" t="s">
        <v>2527</v>
      </c>
      <c r="D385" s="37"/>
      <c r="E385" s="37"/>
      <c r="F385" s="37"/>
      <c r="G385" s="37"/>
      <c r="H385" s="37"/>
    </row>
    <row r="386" spans="1:8" ht="40.5" customHeight="1">
      <c r="A386" s="37">
        <v>4</v>
      </c>
      <c r="B386" s="37" t="s">
        <v>2528</v>
      </c>
      <c r="C386" s="37" t="s">
        <v>2529</v>
      </c>
      <c r="D386" s="37"/>
      <c r="E386" s="37"/>
      <c r="F386" s="37"/>
      <c r="G386" s="37"/>
      <c r="H386" s="37"/>
    </row>
    <row r="387" spans="1:8" ht="27" customHeight="1">
      <c r="A387" s="37">
        <v>5</v>
      </c>
      <c r="B387" s="37" t="s">
        <v>2530</v>
      </c>
      <c r="C387" s="37" t="s">
        <v>2531</v>
      </c>
      <c r="D387" s="37"/>
      <c r="E387" s="37"/>
      <c r="F387" s="37"/>
      <c r="G387" s="37"/>
      <c r="H387" s="37"/>
    </row>
    <row r="388" spans="1:8" ht="54" customHeight="1">
      <c r="A388" s="37">
        <v>6</v>
      </c>
      <c r="B388" s="37" t="s">
        <v>2532</v>
      </c>
      <c r="C388" s="37" t="s">
        <v>2533</v>
      </c>
      <c r="D388" s="37"/>
      <c r="E388" s="37"/>
      <c r="F388" s="37"/>
      <c r="G388" s="37"/>
      <c r="H388" s="37"/>
    </row>
    <row r="389" spans="1:8" ht="27" customHeight="1">
      <c r="A389" s="37">
        <v>7</v>
      </c>
      <c r="B389" s="37" t="s">
        <v>2534</v>
      </c>
      <c r="C389" s="37" t="s">
        <v>2535</v>
      </c>
      <c r="D389" s="37"/>
      <c r="E389" s="37"/>
      <c r="F389" s="37"/>
      <c r="G389" s="37"/>
      <c r="H389" s="37"/>
    </row>
    <row r="390" spans="1:8">
      <c r="A390" s="37"/>
      <c r="B390" s="37"/>
      <c r="C390" s="37"/>
      <c r="D390" s="37"/>
      <c r="E390" s="37"/>
      <c r="F390" s="37"/>
      <c r="G390" s="37"/>
      <c r="H390" s="37"/>
    </row>
    <row r="391" spans="1:8">
      <c r="A391" s="37"/>
      <c r="B391" s="37"/>
      <c r="C391" s="37"/>
      <c r="D391" s="37"/>
      <c r="E391" s="37"/>
      <c r="F391" s="37"/>
      <c r="G391" s="37"/>
      <c r="H391" s="37"/>
    </row>
    <row r="392" spans="1:8" ht="121.5" customHeight="1">
      <c r="A392" s="37" t="s">
        <v>2536</v>
      </c>
      <c r="B392" s="37"/>
      <c r="C392" s="37"/>
      <c r="D392" s="37"/>
      <c r="E392" s="37"/>
      <c r="F392" s="37"/>
      <c r="G392" s="37"/>
      <c r="H392" s="37"/>
    </row>
    <row r="393" spans="1:8" ht="54" customHeight="1">
      <c r="A393" s="37" t="s">
        <v>2537</v>
      </c>
      <c r="B393" s="37" t="s">
        <v>2538</v>
      </c>
      <c r="C393" s="37" t="s">
        <v>2539</v>
      </c>
      <c r="D393" s="37" t="s">
        <v>2540</v>
      </c>
      <c r="E393" s="37" t="s">
        <v>2541</v>
      </c>
      <c r="F393" s="37" t="s">
        <v>1141</v>
      </c>
      <c r="G393" s="37">
        <v>46092</v>
      </c>
      <c r="H393" s="37" t="s">
        <v>2542</v>
      </c>
    </row>
    <row r="394" spans="1:8" ht="27" customHeight="1">
      <c r="A394" s="37" t="s">
        <v>2543</v>
      </c>
      <c r="B394" s="37" t="s">
        <v>2544</v>
      </c>
      <c r="C394" s="37" t="s">
        <v>2545</v>
      </c>
      <c r="D394" s="37" t="s">
        <v>2546</v>
      </c>
      <c r="E394" s="37" t="s">
        <v>2547</v>
      </c>
      <c r="F394" s="37" t="s">
        <v>1141</v>
      </c>
      <c r="G394" s="37">
        <v>46092</v>
      </c>
      <c r="H394" s="37" t="s">
        <v>342</v>
      </c>
    </row>
    <row r="395" spans="1:8" ht="40.5" customHeight="1">
      <c r="A395" s="37" t="s">
        <v>2548</v>
      </c>
      <c r="B395" s="37" t="s">
        <v>2549</v>
      </c>
      <c r="C395" s="37" t="s">
        <v>2550</v>
      </c>
      <c r="D395" s="37" t="s">
        <v>2551</v>
      </c>
      <c r="E395" s="37" t="s">
        <v>2552</v>
      </c>
      <c r="F395" s="37" t="s">
        <v>1141</v>
      </c>
      <c r="G395" s="37">
        <v>46092</v>
      </c>
      <c r="H395" s="37" t="s">
        <v>2553</v>
      </c>
    </row>
    <row r="396" spans="1:8">
      <c r="A396" s="37"/>
      <c r="B396" s="37"/>
      <c r="C396" s="37"/>
      <c r="D396" s="37"/>
      <c r="E396" s="37"/>
      <c r="F396" s="37"/>
      <c r="G396" s="37"/>
      <c r="H396" s="37"/>
    </row>
    <row r="397" spans="1:8" ht="108" customHeight="1">
      <c r="A397" s="37" t="s">
        <v>2554</v>
      </c>
      <c r="B397" s="37"/>
      <c r="C397" s="37"/>
      <c r="D397" s="37"/>
      <c r="E397" s="37"/>
      <c r="F397" s="37"/>
      <c r="G397" s="37"/>
      <c r="H397" s="37"/>
    </row>
    <row r="398" spans="1:8" ht="40.5" customHeight="1">
      <c r="A398" s="37" t="s">
        <v>2555</v>
      </c>
      <c r="B398" s="37" t="s">
        <v>2556</v>
      </c>
      <c r="C398" s="37"/>
      <c r="D398" s="37"/>
      <c r="E398" s="37"/>
      <c r="F398" s="37"/>
      <c r="G398" s="37"/>
      <c r="H398" s="37"/>
    </row>
    <row r="399" spans="1:8" ht="27" customHeight="1">
      <c r="A399" s="37" t="s">
        <v>2557</v>
      </c>
      <c r="B399" s="37" t="s">
        <v>2558</v>
      </c>
      <c r="C399" s="37"/>
      <c r="D399" s="37"/>
      <c r="E399" s="37"/>
      <c r="F399" s="37"/>
      <c r="G399" s="37"/>
      <c r="H399" s="37"/>
    </row>
    <row r="400" spans="1:8" ht="40.5" customHeight="1">
      <c r="A400" s="37" t="s">
        <v>2559</v>
      </c>
      <c r="B400" s="37" t="s">
        <v>2560</v>
      </c>
      <c r="C400" s="37"/>
      <c r="D400" s="37"/>
      <c r="E400" s="37"/>
      <c r="F400" s="37"/>
      <c r="G400" s="37"/>
      <c r="H400" s="37"/>
    </row>
    <row r="401" spans="1:8" ht="54" customHeight="1">
      <c r="A401" s="37" t="s">
        <v>2561</v>
      </c>
      <c r="B401" s="37" t="s">
        <v>2562</v>
      </c>
      <c r="C401" s="37" t="s">
        <v>2563</v>
      </c>
      <c r="D401" s="37" t="s">
        <v>2564</v>
      </c>
      <c r="E401" s="37" t="s">
        <v>2565</v>
      </c>
      <c r="F401" s="37" t="s">
        <v>1141</v>
      </c>
      <c r="G401" s="37">
        <v>46092</v>
      </c>
      <c r="H401" s="37" t="s">
        <v>2566</v>
      </c>
    </row>
    <row r="402" spans="1:8">
      <c r="A402" s="37"/>
      <c r="B402" s="37"/>
      <c r="C402" s="37"/>
      <c r="D402" s="37"/>
      <c r="E402" s="37"/>
      <c r="F402" s="37"/>
      <c r="G402" s="37"/>
      <c r="H402" s="37"/>
    </row>
    <row r="403" spans="1:8" ht="67.5" customHeight="1">
      <c r="A403" s="37" t="s">
        <v>2567</v>
      </c>
      <c r="B403" s="37"/>
      <c r="C403" s="37"/>
      <c r="D403" s="37"/>
      <c r="E403" s="37"/>
      <c r="F403" s="37"/>
      <c r="G403" s="37"/>
      <c r="H403" s="37"/>
    </row>
    <row r="404" spans="1:8" ht="27" customHeight="1">
      <c r="A404" s="37" t="s">
        <v>2568</v>
      </c>
      <c r="B404" s="37" t="s">
        <v>2569</v>
      </c>
      <c r="C404" s="37"/>
      <c r="D404" s="37"/>
      <c r="E404" s="37"/>
      <c r="F404" s="37"/>
      <c r="G404" s="37"/>
      <c r="H404" s="37"/>
    </row>
    <row r="405" spans="1:8" ht="27" customHeight="1">
      <c r="A405" s="37" t="s">
        <v>2570</v>
      </c>
      <c r="B405" s="37" t="s">
        <v>2571</v>
      </c>
      <c r="C405" s="37"/>
      <c r="D405" s="37"/>
      <c r="E405" s="37"/>
      <c r="F405" s="37"/>
      <c r="G405" s="37"/>
      <c r="H405" s="37"/>
    </row>
    <row r="406" spans="1:8" ht="54" customHeight="1">
      <c r="A406" s="37" t="s">
        <v>386</v>
      </c>
      <c r="B406" s="37" t="s">
        <v>2572</v>
      </c>
      <c r="C406" s="37"/>
      <c r="D406" s="37"/>
      <c r="E406" s="37"/>
      <c r="F406" s="37"/>
      <c r="G406" s="37"/>
      <c r="H406" s="37"/>
    </row>
    <row r="407" spans="1:8" ht="27" customHeight="1">
      <c r="A407" s="37" t="s">
        <v>2573</v>
      </c>
      <c r="B407" s="37" t="s">
        <v>2574</v>
      </c>
      <c r="C407" s="37" t="s">
        <v>2575</v>
      </c>
      <c r="D407" s="37" t="s">
        <v>2576</v>
      </c>
      <c r="E407" s="37" t="s">
        <v>2577</v>
      </c>
      <c r="F407" s="37" t="s">
        <v>1141</v>
      </c>
      <c r="G407" s="37">
        <v>46092</v>
      </c>
      <c r="H407" s="37" t="s">
        <v>2578</v>
      </c>
    </row>
    <row r="408" spans="1:8">
      <c r="A408" s="37"/>
      <c r="B408" s="37"/>
      <c r="C408" s="37"/>
      <c r="D408" s="37"/>
      <c r="E408" s="37"/>
      <c r="F408" s="37"/>
      <c r="G408" s="37"/>
      <c r="H408" s="37"/>
    </row>
    <row r="409" spans="1:8" ht="121.5" customHeight="1">
      <c r="A409" s="37" t="s">
        <v>2579</v>
      </c>
      <c r="B409" s="37"/>
      <c r="C409" s="37"/>
      <c r="D409" s="37"/>
      <c r="E409" s="37"/>
      <c r="F409" s="37"/>
      <c r="G409" s="37"/>
      <c r="H409" s="37"/>
    </row>
    <row r="410" spans="1:8" ht="54" customHeight="1">
      <c r="A410" s="37" t="s">
        <v>2580</v>
      </c>
      <c r="B410" s="37" t="s">
        <v>2581</v>
      </c>
      <c r="C410" s="37" t="s">
        <v>2582</v>
      </c>
      <c r="D410" s="37"/>
      <c r="E410" s="37"/>
      <c r="F410" s="37"/>
      <c r="G410" s="37"/>
      <c r="H410" s="37"/>
    </row>
    <row r="411" spans="1:8" ht="27" customHeight="1">
      <c r="A411" s="37" t="s">
        <v>2583</v>
      </c>
      <c r="B411" s="37" t="s">
        <v>2584</v>
      </c>
      <c r="C411" s="37" t="s">
        <v>2585</v>
      </c>
      <c r="D411" s="37"/>
      <c r="E411" s="37"/>
      <c r="F411" s="37"/>
      <c r="G411" s="37"/>
      <c r="H411" s="37"/>
    </row>
    <row r="412" spans="1:8" ht="40.5" customHeight="1">
      <c r="A412" s="37" t="s">
        <v>2586</v>
      </c>
      <c r="B412" s="37" t="s">
        <v>2587</v>
      </c>
      <c r="C412" s="37" t="s">
        <v>2588</v>
      </c>
      <c r="D412" s="37"/>
      <c r="E412" s="37"/>
      <c r="F412" s="37"/>
      <c r="G412" s="37"/>
      <c r="H412" s="37"/>
    </row>
    <row r="413" spans="1:8">
      <c r="A413" s="37"/>
      <c r="B413" s="37"/>
      <c r="C413" s="37"/>
      <c r="D413" s="37"/>
      <c r="E413" s="37"/>
      <c r="F413" s="37"/>
      <c r="G413" s="37"/>
      <c r="H413" s="37"/>
    </row>
    <row r="414" spans="1:8" ht="81" customHeight="1">
      <c r="A414" s="37" t="s">
        <v>2589</v>
      </c>
      <c r="B414" s="37" t="s">
        <v>2590</v>
      </c>
      <c r="C414" s="37"/>
      <c r="D414" s="37"/>
      <c r="E414" s="37"/>
      <c r="F414" s="37"/>
      <c r="G414" s="37"/>
      <c r="H414" s="37"/>
    </row>
    <row r="415" spans="1:8" ht="27" customHeight="1">
      <c r="A415" s="37" t="s">
        <v>2591</v>
      </c>
      <c r="B415" s="37" t="s">
        <v>2592</v>
      </c>
      <c r="C415" s="37" t="s">
        <v>2593</v>
      </c>
      <c r="D415" s="37" t="s">
        <v>189</v>
      </c>
      <c r="E415" s="37" t="s">
        <v>2594</v>
      </c>
      <c r="F415" s="37" t="s">
        <v>1141</v>
      </c>
      <c r="G415" s="37">
        <v>46092</v>
      </c>
      <c r="H415" s="37" t="s">
        <v>2595</v>
      </c>
    </row>
    <row r="416" spans="1:8" ht="27" customHeight="1">
      <c r="A416" s="37" t="s">
        <v>2596</v>
      </c>
      <c r="B416" s="37" t="s">
        <v>2597</v>
      </c>
      <c r="C416" s="37" t="s">
        <v>2598</v>
      </c>
      <c r="D416" s="37" t="s">
        <v>1706</v>
      </c>
      <c r="E416" s="37" t="s">
        <v>2599</v>
      </c>
      <c r="F416" s="37" t="s">
        <v>1141</v>
      </c>
      <c r="G416" s="37">
        <v>46092</v>
      </c>
      <c r="H416" s="37" t="s">
        <v>342</v>
      </c>
    </row>
    <row r="417" spans="1:8">
      <c r="A417" s="37"/>
      <c r="B417" s="37"/>
      <c r="C417" s="37"/>
      <c r="D417" s="37"/>
      <c r="E417" s="37"/>
      <c r="F417" s="37"/>
      <c r="G417" s="37"/>
      <c r="H417" s="37"/>
    </row>
    <row r="418" spans="1:8" ht="54" customHeight="1">
      <c r="A418" s="37" t="s">
        <v>2600</v>
      </c>
      <c r="B418" s="37"/>
      <c r="C418" s="37"/>
      <c r="D418" s="37"/>
      <c r="E418" s="37"/>
      <c r="F418" s="37"/>
      <c r="G418" s="37"/>
      <c r="H418" s="37"/>
    </row>
    <row r="419" spans="1:8" ht="27" customHeight="1">
      <c r="A419" s="37" t="s">
        <v>2601</v>
      </c>
      <c r="B419" s="37" t="s">
        <v>2602</v>
      </c>
      <c r="C419" s="37"/>
      <c r="D419" s="37"/>
      <c r="E419" s="37"/>
      <c r="F419" s="37"/>
      <c r="G419" s="37"/>
      <c r="H419" s="37"/>
    </row>
    <row r="420" spans="1:8" ht="27" customHeight="1">
      <c r="A420" s="37" t="s">
        <v>2603</v>
      </c>
      <c r="B420" s="37" t="s">
        <v>2604</v>
      </c>
      <c r="C420" s="37"/>
      <c r="D420" s="37"/>
      <c r="E420" s="37"/>
      <c r="F420" s="37"/>
      <c r="G420" s="37"/>
      <c r="H420" s="37"/>
    </row>
    <row r="421" spans="1:8" ht="40.5" customHeight="1">
      <c r="A421" s="37" t="s">
        <v>2555</v>
      </c>
      <c r="B421" s="37" t="s">
        <v>2605</v>
      </c>
      <c r="C421" s="37"/>
      <c r="D421" s="37"/>
      <c r="E421" s="37"/>
      <c r="F421" s="37"/>
      <c r="G421" s="37"/>
      <c r="H421" s="37"/>
    </row>
    <row r="422" spans="1:8">
      <c r="A422" s="37" t="s">
        <v>432</v>
      </c>
      <c r="B422" s="37" t="s">
        <v>2606</v>
      </c>
      <c r="C422" s="37"/>
      <c r="D422" s="37"/>
      <c r="E422" s="37"/>
      <c r="F422" s="37"/>
      <c r="G422" s="37"/>
      <c r="H422" s="37"/>
    </row>
    <row r="423" spans="1:8" ht="40.5" customHeight="1">
      <c r="A423" s="37" t="s">
        <v>2607</v>
      </c>
      <c r="B423" s="37" t="s">
        <v>2608</v>
      </c>
      <c r="C423" s="37" t="s">
        <v>2609</v>
      </c>
      <c r="D423" s="37" t="s">
        <v>2610</v>
      </c>
      <c r="E423" s="37" t="s">
        <v>2611</v>
      </c>
      <c r="F423" s="37" t="s">
        <v>1141</v>
      </c>
      <c r="G423" s="37">
        <v>46092</v>
      </c>
      <c r="H423" s="37" t="s">
        <v>2612</v>
      </c>
    </row>
    <row r="424" spans="1:8">
      <c r="A424" s="37"/>
      <c r="B424" s="37"/>
      <c r="C424" s="37"/>
      <c r="D424" s="37"/>
      <c r="E424" s="37"/>
      <c r="F424" s="37"/>
      <c r="G424" s="37"/>
      <c r="H424" s="37"/>
    </row>
    <row r="425" spans="1:8" ht="67.5" customHeight="1">
      <c r="A425" s="37" t="s">
        <v>2613</v>
      </c>
      <c r="B425" s="37"/>
      <c r="C425" s="37"/>
      <c r="D425" s="37"/>
      <c r="E425" s="37"/>
      <c r="F425" s="37"/>
      <c r="G425" s="37"/>
      <c r="H425" s="37"/>
    </row>
    <row r="426" spans="1:8" ht="27" customHeight="1">
      <c r="A426" s="37" t="s">
        <v>2614</v>
      </c>
      <c r="B426" s="37" t="s">
        <v>2615</v>
      </c>
      <c r="C426" s="37"/>
      <c r="D426" s="37"/>
      <c r="E426" s="37"/>
      <c r="F426" s="37"/>
      <c r="G426" s="37"/>
      <c r="H426" s="37"/>
    </row>
    <row r="427" spans="1:8" ht="27" customHeight="1">
      <c r="A427" s="37" t="s">
        <v>2616</v>
      </c>
      <c r="B427" s="37" t="s">
        <v>2617</v>
      </c>
      <c r="C427" s="37"/>
      <c r="D427" s="37"/>
      <c r="E427" s="37"/>
      <c r="F427" s="37"/>
      <c r="G427" s="37"/>
      <c r="H427" s="37"/>
    </row>
    <row r="428" spans="1:8" ht="40.5" customHeight="1">
      <c r="A428" s="37" t="s">
        <v>2618</v>
      </c>
      <c r="B428" s="37" t="s">
        <v>2619</v>
      </c>
      <c r="C428" s="37"/>
      <c r="D428" s="37"/>
      <c r="E428" s="37"/>
      <c r="F428" s="37"/>
      <c r="G428" s="37"/>
      <c r="H428" s="37"/>
    </row>
    <row r="429" spans="1:8" ht="27" customHeight="1">
      <c r="A429" s="37" t="s">
        <v>2620</v>
      </c>
      <c r="B429" s="37" t="s">
        <v>2621</v>
      </c>
      <c r="C429" s="37" t="s">
        <v>2622</v>
      </c>
      <c r="D429" s="37" t="s">
        <v>2623</v>
      </c>
      <c r="E429" s="37" t="s">
        <v>2624</v>
      </c>
      <c r="F429" s="37" t="s">
        <v>1141</v>
      </c>
      <c r="G429" s="37">
        <v>46092</v>
      </c>
      <c r="H429" s="37" t="s">
        <v>2625</v>
      </c>
    </row>
    <row r="430" spans="1:8">
      <c r="A430" s="37"/>
      <c r="B430" s="37"/>
      <c r="C430" s="37"/>
      <c r="D430" s="37"/>
      <c r="E430" s="37"/>
      <c r="F430" s="37"/>
      <c r="G430" s="37"/>
      <c r="H430" s="37"/>
    </row>
    <row r="431" spans="1:8" ht="189" customHeight="1">
      <c r="A431" s="37" t="s">
        <v>2626</v>
      </c>
      <c r="B431" s="37"/>
      <c r="C431" s="37"/>
      <c r="D431" s="37"/>
      <c r="E431" s="37"/>
      <c r="F431" s="37"/>
      <c r="G431" s="37"/>
      <c r="H431" s="37"/>
    </row>
    <row r="432" spans="1:8" ht="94.5" customHeight="1">
      <c r="A432" s="60" t="s">
        <v>2627</v>
      </c>
      <c r="B432" s="37"/>
      <c r="C432" s="37"/>
      <c r="D432" s="37"/>
      <c r="E432" s="37"/>
      <c r="F432" s="37"/>
      <c r="G432" s="37"/>
      <c r="H432" s="37"/>
    </row>
    <row r="433" spans="1:8">
      <c r="A433" s="37" t="s">
        <v>2628</v>
      </c>
      <c r="B433" s="37" t="s">
        <v>2629</v>
      </c>
      <c r="C433" s="37" t="s">
        <v>2630</v>
      </c>
      <c r="D433" s="37" t="s">
        <v>1230</v>
      </c>
      <c r="E433" s="37" t="s">
        <v>2631</v>
      </c>
      <c r="F433" s="37" t="s">
        <v>1141</v>
      </c>
      <c r="G433" s="37">
        <v>46092</v>
      </c>
      <c r="H433" s="37" t="s">
        <v>2632</v>
      </c>
    </row>
    <row r="434" spans="1:8">
      <c r="A434" s="37" t="s">
        <v>2633</v>
      </c>
      <c r="B434" s="37" t="s">
        <v>2634</v>
      </c>
      <c r="C434" s="37" t="s">
        <v>2635</v>
      </c>
      <c r="D434" s="37" t="s">
        <v>1230</v>
      </c>
      <c r="E434" s="37" t="s">
        <v>2636</v>
      </c>
      <c r="F434" s="37" t="s">
        <v>1141</v>
      </c>
      <c r="G434" s="37">
        <v>46092</v>
      </c>
      <c r="H434" s="37" t="s">
        <v>342</v>
      </c>
    </row>
    <row r="435" spans="1:8">
      <c r="A435" s="37" t="s">
        <v>2637</v>
      </c>
      <c r="B435" s="37" t="s">
        <v>2638</v>
      </c>
      <c r="C435" s="37" t="s">
        <v>2639</v>
      </c>
      <c r="D435" s="37" t="s">
        <v>1230</v>
      </c>
      <c r="E435" s="37" t="s">
        <v>2640</v>
      </c>
      <c r="F435" s="37" t="s">
        <v>1141</v>
      </c>
      <c r="G435" s="37">
        <v>46092</v>
      </c>
      <c r="H435" s="37" t="s">
        <v>342</v>
      </c>
    </row>
    <row r="436" spans="1:8">
      <c r="A436" s="37" t="s">
        <v>2641</v>
      </c>
      <c r="B436" s="37" t="s">
        <v>2642</v>
      </c>
      <c r="C436" s="37" t="s">
        <v>2643</v>
      </c>
      <c r="D436" s="37" t="s">
        <v>1230</v>
      </c>
      <c r="E436" s="37" t="s">
        <v>2644</v>
      </c>
      <c r="F436" s="37" t="s">
        <v>1141</v>
      </c>
      <c r="G436" s="37">
        <v>46092</v>
      </c>
      <c r="H436" s="37" t="s">
        <v>342</v>
      </c>
    </row>
    <row r="437" spans="1:8">
      <c r="A437" s="37" t="s">
        <v>2645</v>
      </c>
      <c r="B437" s="37" t="s">
        <v>2646</v>
      </c>
      <c r="C437" s="37" t="s">
        <v>2647</v>
      </c>
      <c r="D437" s="37" t="s">
        <v>2648</v>
      </c>
      <c r="E437" s="37" t="s">
        <v>2649</v>
      </c>
      <c r="F437" s="37" t="s">
        <v>1141</v>
      </c>
      <c r="G437" s="37">
        <v>46092</v>
      </c>
      <c r="H437" s="37" t="s">
        <v>342</v>
      </c>
    </row>
    <row r="438" spans="1:8">
      <c r="A438" s="37" t="s">
        <v>2650</v>
      </c>
      <c r="B438" s="37" t="s">
        <v>2651</v>
      </c>
      <c r="C438" s="37" t="s">
        <v>2652</v>
      </c>
      <c r="D438" s="37" t="s">
        <v>2648</v>
      </c>
      <c r="E438" s="37" t="s">
        <v>2649</v>
      </c>
      <c r="F438" s="37" t="s">
        <v>1141</v>
      </c>
      <c r="G438" s="37">
        <v>46092</v>
      </c>
      <c r="H438" s="37" t="s">
        <v>342</v>
      </c>
    </row>
    <row r="439" spans="1:8">
      <c r="A439" s="37" t="s">
        <v>2653</v>
      </c>
      <c r="B439" s="37" t="s">
        <v>2654</v>
      </c>
      <c r="C439" s="37" t="s">
        <v>2655</v>
      </c>
      <c r="D439" s="37" t="s">
        <v>2648</v>
      </c>
      <c r="E439" s="37" t="s">
        <v>2649</v>
      </c>
      <c r="F439" s="37" t="s">
        <v>1141</v>
      </c>
      <c r="G439" s="37">
        <v>46092</v>
      </c>
      <c r="H439" s="37" t="s">
        <v>342</v>
      </c>
    </row>
    <row r="440" spans="1:8">
      <c r="A440" s="37" t="s">
        <v>2656</v>
      </c>
      <c r="B440" s="37" t="s">
        <v>2657</v>
      </c>
      <c r="C440" s="37" t="s">
        <v>2658</v>
      </c>
      <c r="D440" s="37" t="s">
        <v>2648</v>
      </c>
      <c r="E440" s="37" t="s">
        <v>2649</v>
      </c>
      <c r="F440" s="37" t="s">
        <v>1141</v>
      </c>
      <c r="G440" s="37">
        <v>46092</v>
      </c>
      <c r="H440" s="37" t="s">
        <v>342</v>
      </c>
    </row>
    <row r="441" spans="1:8">
      <c r="A441" s="37" t="s">
        <v>2659</v>
      </c>
      <c r="B441" s="37" t="s">
        <v>2660</v>
      </c>
      <c r="C441" s="37" t="s">
        <v>2661</v>
      </c>
      <c r="D441" s="37" t="s">
        <v>2623</v>
      </c>
      <c r="E441" s="37" t="s">
        <v>2662</v>
      </c>
      <c r="F441" s="37" t="s">
        <v>1141</v>
      </c>
      <c r="G441" s="37">
        <v>46092</v>
      </c>
      <c r="H441" s="37" t="s">
        <v>342</v>
      </c>
    </row>
    <row r="442" spans="1:8">
      <c r="A442" s="37" t="s">
        <v>2663</v>
      </c>
      <c r="B442" s="37" t="s">
        <v>2664</v>
      </c>
      <c r="C442" s="37" t="s">
        <v>2665</v>
      </c>
      <c r="D442" s="37" t="s">
        <v>2623</v>
      </c>
      <c r="E442" s="37" t="s">
        <v>2666</v>
      </c>
      <c r="F442" s="37" t="s">
        <v>1141</v>
      </c>
      <c r="G442" s="37">
        <v>46092</v>
      </c>
      <c r="H442" s="37" t="s">
        <v>342</v>
      </c>
    </row>
    <row r="443" spans="1:8">
      <c r="A443" s="37" t="s">
        <v>2667</v>
      </c>
      <c r="B443" s="37" t="s">
        <v>2668</v>
      </c>
      <c r="C443" s="37" t="s">
        <v>2669</v>
      </c>
      <c r="D443" s="37" t="s">
        <v>2623</v>
      </c>
      <c r="E443" s="37" t="s">
        <v>2670</v>
      </c>
      <c r="F443" s="37" t="s">
        <v>1141</v>
      </c>
      <c r="G443" s="37">
        <v>46092</v>
      </c>
      <c r="H443" s="37" t="s">
        <v>342</v>
      </c>
    </row>
    <row r="444" spans="1:8">
      <c r="A444" s="37" t="s">
        <v>2671</v>
      </c>
      <c r="B444" s="37" t="s">
        <v>2672</v>
      </c>
      <c r="C444" s="37" t="s">
        <v>2673</v>
      </c>
      <c r="D444" s="37" t="s">
        <v>2623</v>
      </c>
      <c r="E444" s="37" t="s">
        <v>2674</v>
      </c>
      <c r="F444" s="37" t="s">
        <v>1141</v>
      </c>
      <c r="G444" s="37">
        <v>46092</v>
      </c>
      <c r="H444" s="37" t="s">
        <v>342</v>
      </c>
    </row>
    <row r="445" spans="1:8">
      <c r="A445" s="37" t="s">
        <v>2675</v>
      </c>
      <c r="B445" s="37" t="s">
        <v>2676</v>
      </c>
      <c r="C445" s="37" t="s">
        <v>2677</v>
      </c>
      <c r="D445" s="37" t="s">
        <v>2623</v>
      </c>
      <c r="E445" s="37" t="s">
        <v>2678</v>
      </c>
      <c r="F445" s="37" t="s">
        <v>1141</v>
      </c>
      <c r="G445" s="37">
        <v>46092</v>
      </c>
      <c r="H445" s="37" t="s">
        <v>342</v>
      </c>
    </row>
    <row r="446" spans="1:8">
      <c r="A446" s="37" t="s">
        <v>2679</v>
      </c>
      <c r="B446" s="37" t="s">
        <v>2680</v>
      </c>
      <c r="C446" s="37" t="s">
        <v>2681</v>
      </c>
      <c r="D446" s="37" t="s">
        <v>2682</v>
      </c>
      <c r="E446" s="37" t="s">
        <v>2683</v>
      </c>
      <c r="F446" s="37" t="s">
        <v>1141</v>
      </c>
      <c r="G446" s="37">
        <v>46092</v>
      </c>
      <c r="H446" s="37" t="s">
        <v>2684</v>
      </c>
    </row>
    <row r="447" spans="1:8">
      <c r="A447" s="37"/>
      <c r="B447" s="37"/>
      <c r="C447" s="37"/>
      <c r="D447" s="37"/>
      <c r="E447" s="37"/>
      <c r="F447" s="37"/>
      <c r="G447" s="37"/>
      <c r="H447" s="37"/>
    </row>
    <row r="448" spans="1:8" ht="67.5" customHeight="1">
      <c r="A448" s="60" t="s">
        <v>2685</v>
      </c>
      <c r="B448" s="37"/>
      <c r="C448" s="37"/>
      <c r="D448" s="37"/>
      <c r="E448" s="37"/>
      <c r="F448" s="37"/>
      <c r="G448" s="37"/>
      <c r="H448" s="37"/>
    </row>
    <row r="449" spans="1:8">
      <c r="A449" s="37" t="s">
        <v>2686</v>
      </c>
      <c r="B449" s="37" t="s">
        <v>2687</v>
      </c>
      <c r="C449" s="37"/>
      <c r="D449" s="37"/>
      <c r="E449" s="37"/>
      <c r="F449" s="37"/>
      <c r="G449" s="37"/>
      <c r="H449" s="37"/>
    </row>
    <row r="450" spans="1:8">
      <c r="A450" s="37" t="s">
        <v>281</v>
      </c>
      <c r="B450" s="37" t="s">
        <v>2688</v>
      </c>
      <c r="C450" s="37"/>
      <c r="D450" s="37"/>
      <c r="E450" s="37"/>
      <c r="F450" s="37"/>
      <c r="G450" s="37"/>
      <c r="H450" s="37"/>
    </row>
    <row r="451" spans="1:8">
      <c r="A451" s="37" t="s">
        <v>1223</v>
      </c>
      <c r="B451" s="37" t="s">
        <v>2689</v>
      </c>
      <c r="C451" s="37"/>
      <c r="D451" s="37"/>
      <c r="E451" s="37"/>
      <c r="F451" s="37"/>
      <c r="G451" s="37"/>
      <c r="H451" s="37"/>
    </row>
    <row r="452" spans="1:8">
      <c r="A452" s="37"/>
      <c r="B452" s="37"/>
      <c r="C452" s="37"/>
      <c r="D452" s="37"/>
      <c r="E452" s="37"/>
      <c r="F452" s="37"/>
      <c r="G452" s="37"/>
      <c r="H452" s="37"/>
    </row>
    <row r="453" spans="1:8" ht="81" customHeight="1">
      <c r="A453" s="37" t="s">
        <v>2690</v>
      </c>
      <c r="B453" s="37"/>
      <c r="C453" s="37"/>
      <c r="D453" s="37"/>
      <c r="E453" s="37"/>
      <c r="F453" s="37"/>
      <c r="G453" s="37"/>
      <c r="H453" s="37"/>
    </row>
    <row r="454" spans="1:8">
      <c r="A454" s="37"/>
      <c r="B454" s="37"/>
      <c r="C454" s="37"/>
      <c r="D454" s="37"/>
      <c r="E454" s="37"/>
      <c r="F454" s="37"/>
      <c r="G454" s="37"/>
      <c r="H454" s="37"/>
    </row>
    <row r="455" spans="1:8" ht="54" customHeight="1">
      <c r="A455" s="60" t="s">
        <v>2691</v>
      </c>
      <c r="B455" s="37"/>
      <c r="C455" s="37"/>
      <c r="D455" s="37"/>
      <c r="E455" s="37"/>
      <c r="F455" s="37"/>
      <c r="G455" s="37"/>
      <c r="H455" s="37"/>
    </row>
    <row r="456" spans="1:8">
      <c r="A456" s="37" t="s">
        <v>2692</v>
      </c>
      <c r="B456" s="37" t="s">
        <v>2693</v>
      </c>
      <c r="C456" s="37" t="s">
        <v>2694</v>
      </c>
      <c r="D456" s="37" t="s">
        <v>434</v>
      </c>
      <c r="E456" s="37" t="s">
        <v>2695</v>
      </c>
      <c r="F456" s="37" t="s">
        <v>1141</v>
      </c>
      <c r="G456" s="37">
        <v>46092</v>
      </c>
      <c r="H456" s="37" t="s">
        <v>342</v>
      </c>
    </row>
    <row r="457" spans="1:8">
      <c r="A457" s="37" t="s">
        <v>2696</v>
      </c>
      <c r="B457" s="37" t="s">
        <v>2697</v>
      </c>
      <c r="C457" s="37" t="s">
        <v>2698</v>
      </c>
      <c r="D457" s="37" t="s">
        <v>2699</v>
      </c>
      <c r="E457" s="37" t="s">
        <v>2700</v>
      </c>
      <c r="F457" s="37" t="s">
        <v>1141</v>
      </c>
      <c r="G457" s="37">
        <v>46092</v>
      </c>
      <c r="H457" s="37" t="s">
        <v>2701</v>
      </c>
    </row>
    <row r="458" spans="1:8">
      <c r="A458" s="37" t="s">
        <v>2702</v>
      </c>
      <c r="B458" s="37" t="s">
        <v>2703</v>
      </c>
      <c r="C458" s="37" t="s">
        <v>2704</v>
      </c>
      <c r="D458" s="37" t="s">
        <v>2705</v>
      </c>
      <c r="E458" s="37" t="s">
        <v>2706</v>
      </c>
      <c r="F458" s="37" t="s">
        <v>1141</v>
      </c>
      <c r="G458" s="37">
        <v>46092</v>
      </c>
      <c r="H458" s="37" t="s">
        <v>2707</v>
      </c>
    </row>
    <row r="459" spans="1:8">
      <c r="A459" s="37" t="s">
        <v>2708</v>
      </c>
      <c r="B459" s="37" t="s">
        <v>2709</v>
      </c>
      <c r="C459" s="37" t="s">
        <v>2710</v>
      </c>
      <c r="D459" s="37" t="s">
        <v>2705</v>
      </c>
      <c r="E459" s="37" t="s">
        <v>2711</v>
      </c>
      <c r="F459" s="37" t="s">
        <v>1141</v>
      </c>
      <c r="G459" s="37">
        <v>46092</v>
      </c>
      <c r="H459" s="37" t="s">
        <v>2707</v>
      </c>
    </row>
    <row r="460" spans="1:8">
      <c r="A460" s="37"/>
      <c r="B460" s="37"/>
      <c r="C460" s="37"/>
      <c r="D460" s="37"/>
      <c r="E460" s="37"/>
      <c r="F460" s="37"/>
      <c r="G460" s="37"/>
      <c r="H460" s="37"/>
    </row>
    <row r="461" spans="1:8" ht="54" customHeight="1">
      <c r="A461" s="60" t="s">
        <v>2712</v>
      </c>
      <c r="B461" s="37"/>
      <c r="C461" s="37"/>
      <c r="D461" s="37"/>
      <c r="E461" s="37"/>
      <c r="F461" s="37"/>
      <c r="G461" s="37"/>
      <c r="H461" s="37"/>
    </row>
    <row r="462" spans="1:8" ht="229.5" customHeight="1">
      <c r="A462" s="37" t="s">
        <v>2713</v>
      </c>
      <c r="B462" s="37"/>
      <c r="C462" s="37"/>
      <c r="D462" s="37"/>
      <c r="E462" s="37"/>
      <c r="F462" s="37"/>
      <c r="G462" s="37"/>
      <c r="H462" s="37"/>
    </row>
    <row r="463" spans="1:8">
      <c r="A463" s="37" t="s">
        <v>2714</v>
      </c>
      <c r="B463" s="37" t="s">
        <v>2715</v>
      </c>
      <c r="C463" s="37" t="s">
        <v>2716</v>
      </c>
      <c r="D463" s="37" t="s">
        <v>189</v>
      </c>
      <c r="E463" s="37" t="s">
        <v>2717</v>
      </c>
      <c r="F463" s="37" t="s">
        <v>1141</v>
      </c>
      <c r="G463" s="37">
        <v>46092</v>
      </c>
      <c r="H463" s="37" t="s">
        <v>342</v>
      </c>
    </row>
    <row r="464" spans="1:8">
      <c r="A464" s="37" t="s">
        <v>2718</v>
      </c>
      <c r="B464" s="37" t="s">
        <v>2719</v>
      </c>
      <c r="C464" s="37" t="s">
        <v>2720</v>
      </c>
      <c r="D464" s="37" t="s">
        <v>189</v>
      </c>
      <c r="E464" s="37" t="s">
        <v>2721</v>
      </c>
      <c r="F464" s="37" t="s">
        <v>1141</v>
      </c>
      <c r="G464" s="37">
        <v>46092</v>
      </c>
      <c r="H464" s="37" t="s">
        <v>342</v>
      </c>
    </row>
    <row r="465" spans="1:8">
      <c r="A465" s="37"/>
      <c r="B465" s="37"/>
      <c r="C465" s="37"/>
      <c r="D465" s="37"/>
      <c r="E465" s="37"/>
      <c r="F465" s="37"/>
      <c r="G465" s="37"/>
      <c r="H465" s="37"/>
    </row>
    <row r="466" spans="1:8" ht="40.5" customHeight="1">
      <c r="A466" s="60" t="s">
        <v>2722</v>
      </c>
      <c r="B466" s="37"/>
      <c r="C466" s="37"/>
      <c r="D466" s="37"/>
      <c r="E466" s="37"/>
      <c r="F466" s="37"/>
      <c r="G466" s="37"/>
      <c r="H466" s="37"/>
    </row>
    <row r="467" spans="1:8" ht="27" customHeight="1">
      <c r="A467" s="37" t="s">
        <v>2723</v>
      </c>
      <c r="B467" s="37" t="s">
        <v>2724</v>
      </c>
      <c r="C467" s="37"/>
      <c r="D467" s="37"/>
      <c r="E467" s="37"/>
      <c r="F467" s="37"/>
      <c r="G467" s="37"/>
      <c r="H467" s="37"/>
    </row>
    <row r="468" spans="1:8" ht="27" customHeight="1">
      <c r="A468" s="37" t="s">
        <v>2725</v>
      </c>
      <c r="B468" s="37" t="s">
        <v>2726</v>
      </c>
      <c r="C468" s="37"/>
      <c r="D468" s="37"/>
      <c r="E468" s="37"/>
      <c r="F468" s="37"/>
      <c r="G468" s="37"/>
      <c r="H468" s="37"/>
    </row>
    <row r="469" spans="1:8">
      <c r="A469" s="37" t="s">
        <v>2727</v>
      </c>
      <c r="B469" s="37" t="s">
        <v>2728</v>
      </c>
      <c r="C469" s="37"/>
      <c r="D469" s="37"/>
      <c r="E469" s="37"/>
      <c r="F469" s="37"/>
      <c r="G469" s="37"/>
      <c r="H469" s="37"/>
    </row>
    <row r="470" spans="1:8" ht="27" customHeight="1">
      <c r="A470" s="37" t="s">
        <v>2729</v>
      </c>
      <c r="B470" s="37" t="s">
        <v>2730</v>
      </c>
      <c r="C470" s="37"/>
      <c r="D470" s="37"/>
      <c r="E470" s="37"/>
      <c r="F470" s="37"/>
      <c r="G470" s="37"/>
      <c r="H470" s="37"/>
    </row>
    <row r="471" spans="1:8">
      <c r="A471" s="37" t="s">
        <v>1915</v>
      </c>
      <c r="B471" s="109" t="s">
        <v>2731</v>
      </c>
      <c r="C471" s="37"/>
      <c r="D471" s="37"/>
      <c r="E471" s="37"/>
      <c r="F471" s="37"/>
      <c r="G471" s="37"/>
      <c r="H471" s="37"/>
    </row>
    <row r="472" spans="1:8">
      <c r="A472" s="37" t="s">
        <v>2732</v>
      </c>
      <c r="B472" s="37" t="s">
        <v>2733</v>
      </c>
      <c r="C472" s="37" t="s">
        <v>2734</v>
      </c>
      <c r="D472" s="37" t="s">
        <v>189</v>
      </c>
      <c r="E472" s="37" t="s">
        <v>2735</v>
      </c>
      <c r="F472" s="37" t="s">
        <v>1141</v>
      </c>
      <c r="G472" s="37">
        <v>46092</v>
      </c>
      <c r="H472" s="37" t="s">
        <v>2736</v>
      </c>
    </row>
    <row r="473" spans="1:8">
      <c r="A473" s="37"/>
      <c r="B473" s="37"/>
      <c r="C473" s="37"/>
      <c r="D473" s="37"/>
      <c r="E473" s="37"/>
      <c r="F473" s="37"/>
      <c r="G473" s="37"/>
      <c r="H473" s="37"/>
    </row>
    <row r="474" spans="1:8" ht="54" customHeight="1">
      <c r="A474" s="60" t="s">
        <v>2737</v>
      </c>
      <c r="B474" s="37"/>
      <c r="C474" s="37"/>
      <c r="D474" s="37"/>
      <c r="E474" s="37"/>
      <c r="F474" s="37"/>
      <c r="G474" s="37"/>
      <c r="H474" s="37"/>
    </row>
    <row r="475" spans="1:8">
      <c r="A475" s="37">
        <v>1</v>
      </c>
      <c r="B475" s="37" t="s">
        <v>2738</v>
      </c>
      <c r="C475" s="37"/>
      <c r="D475" s="37"/>
      <c r="E475" s="37"/>
      <c r="F475" s="37"/>
      <c r="G475" s="37"/>
      <c r="H475" s="37"/>
    </row>
    <row r="476" spans="1:8">
      <c r="A476" s="37">
        <v>2</v>
      </c>
      <c r="B476" s="109" t="s">
        <v>2739</v>
      </c>
      <c r="C476" s="37"/>
      <c r="D476" s="37"/>
      <c r="E476" s="37"/>
      <c r="F476" s="37"/>
      <c r="G476" s="37"/>
      <c r="H476" s="37"/>
    </row>
    <row r="477" spans="1:8">
      <c r="A477" s="37">
        <v>3</v>
      </c>
      <c r="B477" s="37" t="s">
        <v>2740</v>
      </c>
      <c r="C477" s="37"/>
      <c r="D477" s="37"/>
      <c r="E477" s="37"/>
      <c r="F477" s="37"/>
      <c r="G477" s="37"/>
      <c r="H477" s="37"/>
    </row>
    <row r="478" spans="1:8">
      <c r="A478" s="37">
        <v>4</v>
      </c>
      <c r="B478" s="37" t="s">
        <v>2741</v>
      </c>
      <c r="C478" s="37"/>
      <c r="D478" s="37"/>
      <c r="E478" s="37"/>
      <c r="F478" s="37"/>
      <c r="G478" s="37"/>
      <c r="H478" s="37"/>
    </row>
    <row r="479" spans="1:8">
      <c r="A479" s="37" t="s">
        <v>2742</v>
      </c>
      <c r="B479" s="37" t="s">
        <v>2743</v>
      </c>
      <c r="C479" s="37"/>
      <c r="D479" s="37"/>
      <c r="E479" s="37"/>
      <c r="F479" s="37"/>
      <c r="G479" s="37"/>
      <c r="H479" s="37"/>
    </row>
    <row r="480" spans="1:8">
      <c r="A480" s="37"/>
      <c r="B480" s="37"/>
      <c r="C480" s="37"/>
      <c r="D480" s="37"/>
      <c r="E480" s="37"/>
      <c r="F480" s="37"/>
      <c r="G480" s="37"/>
      <c r="H480" s="37"/>
    </row>
    <row r="481" spans="1:8" ht="67.5" customHeight="1">
      <c r="A481" s="60" t="s">
        <v>2744</v>
      </c>
      <c r="B481" s="37"/>
      <c r="C481" s="37"/>
      <c r="D481" s="37"/>
      <c r="E481" s="37"/>
      <c r="F481" s="37"/>
      <c r="G481" s="37"/>
      <c r="H481" s="37"/>
    </row>
    <row r="482" spans="1:8">
      <c r="A482" s="37" t="s">
        <v>2745</v>
      </c>
      <c r="B482" s="37" t="s">
        <v>2746</v>
      </c>
      <c r="C482" s="37" t="s">
        <v>2747</v>
      </c>
      <c r="D482" s="37" t="s">
        <v>2623</v>
      </c>
      <c r="E482" s="37" t="s">
        <v>2748</v>
      </c>
      <c r="F482" s="37" t="s">
        <v>1141</v>
      </c>
      <c r="G482" s="37">
        <v>46092</v>
      </c>
      <c r="H482" s="37" t="s">
        <v>2749</v>
      </c>
    </row>
    <row r="483" spans="1:8">
      <c r="A483" s="37" t="s">
        <v>2750</v>
      </c>
      <c r="B483" s="37" t="s">
        <v>2751</v>
      </c>
      <c r="C483" s="37" t="s">
        <v>2752</v>
      </c>
      <c r="D483" s="37" t="s">
        <v>2623</v>
      </c>
      <c r="E483" s="37" t="s">
        <v>2753</v>
      </c>
      <c r="F483" s="37" t="s">
        <v>1141</v>
      </c>
      <c r="G483" s="37">
        <v>46092</v>
      </c>
      <c r="H483" s="37" t="s">
        <v>342</v>
      </c>
    </row>
    <row r="484" spans="1:8">
      <c r="A484" s="37" t="s">
        <v>2754</v>
      </c>
      <c r="B484" s="37" t="s">
        <v>2755</v>
      </c>
      <c r="C484" s="37" t="s">
        <v>2756</v>
      </c>
      <c r="D484" s="37" t="s">
        <v>2623</v>
      </c>
      <c r="E484" s="37" t="s">
        <v>2757</v>
      </c>
      <c r="F484" s="37" t="s">
        <v>1141</v>
      </c>
      <c r="G484" s="37">
        <v>46092</v>
      </c>
      <c r="H484" s="37" t="s">
        <v>342</v>
      </c>
    </row>
    <row r="485" spans="1:8">
      <c r="A485" s="37" t="s">
        <v>2758</v>
      </c>
      <c r="B485" s="37" t="s">
        <v>2759</v>
      </c>
      <c r="C485" s="37" t="s">
        <v>2760</v>
      </c>
      <c r="D485" s="37" t="s">
        <v>390</v>
      </c>
      <c r="E485" s="37" t="s">
        <v>2761</v>
      </c>
      <c r="F485" s="37" t="s">
        <v>1141</v>
      </c>
      <c r="G485" s="37">
        <v>46092</v>
      </c>
      <c r="H485" s="37" t="s">
        <v>342</v>
      </c>
    </row>
    <row r="486" spans="1:8" ht="27" customHeight="1">
      <c r="A486" s="37" t="s">
        <v>2762</v>
      </c>
      <c r="B486" s="37" t="s">
        <v>2763</v>
      </c>
      <c r="C486" s="37" t="s">
        <v>2764</v>
      </c>
      <c r="D486" s="37" t="s">
        <v>1379</v>
      </c>
      <c r="E486" s="37" t="s">
        <v>2765</v>
      </c>
      <c r="F486" s="37" t="s">
        <v>1141</v>
      </c>
      <c r="G486" s="37">
        <v>46092</v>
      </c>
      <c r="H486" s="37" t="s">
        <v>2766</v>
      </c>
    </row>
    <row r="487" spans="1:8">
      <c r="A487" s="37"/>
      <c r="B487" s="37"/>
      <c r="C487" s="37"/>
      <c r="D487" s="37"/>
      <c r="E487" s="37"/>
      <c r="F487" s="37"/>
      <c r="G487" s="37"/>
      <c r="H487" s="37"/>
    </row>
    <row r="488" spans="1:8" ht="162" customHeight="1">
      <c r="A488" s="37" t="s">
        <v>2767</v>
      </c>
      <c r="B488" s="37"/>
      <c r="C488" s="37"/>
      <c r="D488" s="37"/>
      <c r="E488" s="37"/>
      <c r="F488" s="37"/>
      <c r="G488" s="37"/>
      <c r="H488" s="37"/>
    </row>
    <row r="489" spans="1:8" ht="175.5" customHeight="1">
      <c r="A489" s="37" t="s">
        <v>2768</v>
      </c>
      <c r="B489" s="37"/>
      <c r="C489" s="37"/>
      <c r="D489" s="37"/>
      <c r="E489" s="37"/>
      <c r="F489" s="37"/>
      <c r="G489" s="37"/>
      <c r="H489" s="37"/>
    </row>
    <row r="490" spans="1:8">
      <c r="A490" s="37"/>
      <c r="B490" s="37"/>
      <c r="C490" s="37"/>
      <c r="D490" s="37"/>
      <c r="E490" s="37"/>
      <c r="F490" s="37"/>
      <c r="G490" s="37"/>
      <c r="H490" s="37"/>
    </row>
    <row r="491" spans="1:8" ht="81" customHeight="1">
      <c r="A491" s="60" t="s">
        <v>2769</v>
      </c>
      <c r="B491" s="37"/>
      <c r="C491" s="37"/>
      <c r="D491" s="37"/>
      <c r="E491" s="37"/>
      <c r="F491" s="37"/>
      <c r="G491" s="37"/>
      <c r="H491" s="37"/>
    </row>
    <row r="492" spans="1:8">
      <c r="A492" s="37"/>
      <c r="B492" s="37"/>
      <c r="C492" s="37"/>
      <c r="D492" s="37"/>
      <c r="E492" s="37"/>
      <c r="F492" s="37"/>
      <c r="G492" s="37"/>
      <c r="H492" s="37"/>
    </row>
    <row r="493" spans="1:8">
      <c r="A493" s="37" t="s">
        <v>2770</v>
      </c>
      <c r="B493" s="37" t="s">
        <v>2771</v>
      </c>
      <c r="C493" s="37" t="s">
        <v>2772</v>
      </c>
      <c r="D493" s="37" t="s">
        <v>2773</v>
      </c>
      <c r="E493" s="37" t="s">
        <v>2774</v>
      </c>
      <c r="F493" s="37" t="s">
        <v>1141</v>
      </c>
      <c r="G493" s="37">
        <v>46092</v>
      </c>
      <c r="H493" s="37" t="s">
        <v>342</v>
      </c>
    </row>
    <row r="494" spans="1:8">
      <c r="A494" s="37"/>
      <c r="B494" s="37"/>
      <c r="C494" s="37"/>
      <c r="D494" s="37"/>
      <c r="E494" s="37"/>
      <c r="F494" s="37"/>
      <c r="G494" s="37"/>
      <c r="H494" s="37"/>
    </row>
    <row r="495" spans="1:8" ht="94.5" customHeight="1">
      <c r="A495" s="60" t="s">
        <v>2775</v>
      </c>
      <c r="B495" s="37"/>
      <c r="C495" s="37"/>
      <c r="D495" s="37"/>
      <c r="E495" s="37"/>
      <c r="F495" s="37"/>
      <c r="G495" s="37"/>
      <c r="H495" s="37"/>
    </row>
    <row r="496" spans="1:8" ht="27" customHeight="1">
      <c r="A496" s="37">
        <v>1</v>
      </c>
      <c r="B496" s="37" t="s">
        <v>2776</v>
      </c>
      <c r="C496" s="37"/>
      <c r="D496" s="37"/>
      <c r="E496" s="37"/>
      <c r="F496" s="37"/>
      <c r="G496" s="37"/>
      <c r="H496" s="37"/>
    </row>
    <row r="497" spans="1:8" ht="27" customHeight="1">
      <c r="A497" s="37">
        <v>2</v>
      </c>
      <c r="B497" s="37" t="s">
        <v>2777</v>
      </c>
      <c r="C497" s="37"/>
      <c r="D497" s="37"/>
      <c r="E497" s="37"/>
      <c r="F497" s="37"/>
      <c r="G497" s="37"/>
      <c r="H497" s="37"/>
    </row>
    <row r="498" spans="1:8" ht="27" customHeight="1">
      <c r="A498" s="37">
        <v>3</v>
      </c>
      <c r="B498" s="37" t="s">
        <v>2778</v>
      </c>
      <c r="C498" s="37"/>
      <c r="D498" s="37"/>
      <c r="E498" s="37"/>
      <c r="F498" s="37"/>
      <c r="G498" s="37"/>
      <c r="H498" s="37"/>
    </row>
    <row r="499" spans="1:8" ht="27" customHeight="1">
      <c r="A499" s="37">
        <v>4</v>
      </c>
      <c r="B499" s="37" t="s">
        <v>2779</v>
      </c>
      <c r="C499" s="37"/>
      <c r="D499" s="37"/>
      <c r="E499" s="37"/>
      <c r="F499" s="37"/>
      <c r="G499" s="37"/>
      <c r="H499" s="37"/>
    </row>
    <row r="500" spans="1:8" ht="27" customHeight="1">
      <c r="A500" s="37">
        <v>5</v>
      </c>
      <c r="B500" s="37" t="s">
        <v>2780</v>
      </c>
      <c r="C500" s="37"/>
      <c r="D500" s="37"/>
      <c r="E500" s="37"/>
      <c r="F500" s="37"/>
      <c r="G500" s="37"/>
      <c r="H500" s="37"/>
    </row>
    <row r="501" spans="1:8">
      <c r="A501" s="37"/>
      <c r="B501" s="37"/>
      <c r="C501" s="37"/>
      <c r="D501" s="37"/>
      <c r="E501" s="37"/>
      <c r="F501" s="37"/>
      <c r="G501" s="37"/>
      <c r="H501" s="37"/>
    </row>
    <row r="502" spans="1:8" ht="67.5" customHeight="1">
      <c r="A502" s="60" t="s">
        <v>2781</v>
      </c>
      <c r="B502" s="37"/>
      <c r="C502" s="37"/>
      <c r="D502" s="37"/>
      <c r="E502" s="37"/>
      <c r="F502" s="37"/>
      <c r="G502" s="37"/>
      <c r="H502" s="37"/>
    </row>
    <row r="503" spans="1:8">
      <c r="A503" s="37" t="s">
        <v>2782</v>
      </c>
      <c r="B503" s="37" t="s">
        <v>2783</v>
      </c>
      <c r="C503" s="37"/>
      <c r="D503" s="37"/>
      <c r="E503" s="37"/>
      <c r="F503" s="37"/>
      <c r="G503" s="37"/>
      <c r="H503" s="37"/>
    </row>
    <row r="504" spans="1:8" ht="27" customHeight="1">
      <c r="A504" s="37" t="s">
        <v>1223</v>
      </c>
      <c r="B504" s="37" t="s">
        <v>2784</v>
      </c>
      <c r="C504" s="37"/>
      <c r="D504" s="37"/>
      <c r="E504" s="37"/>
      <c r="F504" s="37"/>
      <c r="G504" s="37"/>
      <c r="H504" s="37"/>
    </row>
    <row r="505" spans="1:8">
      <c r="A505" s="37"/>
      <c r="B505" s="37"/>
      <c r="C505" s="37"/>
      <c r="D505" s="37"/>
      <c r="E505" s="37"/>
      <c r="F505" s="37"/>
      <c r="G505" s="37"/>
      <c r="H505" s="37"/>
    </row>
    <row r="506" spans="1:8" ht="94.5" customHeight="1">
      <c r="A506" s="37" t="s">
        <v>2785</v>
      </c>
      <c r="B506" s="37"/>
      <c r="C506" s="37" t="s">
        <v>2786</v>
      </c>
      <c r="D506" s="37"/>
      <c r="E506" s="37"/>
      <c r="F506" s="37"/>
      <c r="G506" s="37"/>
      <c r="H506" s="37"/>
    </row>
    <row r="507" spans="1:8" ht="40.5" customHeight="1">
      <c r="A507" s="37" t="s">
        <v>2787</v>
      </c>
      <c r="B507" s="37" t="s">
        <v>2788</v>
      </c>
      <c r="C507" s="37" t="s">
        <v>2789</v>
      </c>
      <c r="D507" s="37" t="s">
        <v>2790</v>
      </c>
      <c r="E507" s="37" t="s">
        <v>2791</v>
      </c>
      <c r="F507" s="37" t="s">
        <v>1145</v>
      </c>
      <c r="G507" s="37">
        <v>46092</v>
      </c>
      <c r="H507" s="37"/>
    </row>
    <row r="508" spans="1:8" ht="40.5" customHeight="1">
      <c r="A508" s="37" t="s">
        <v>2792</v>
      </c>
      <c r="B508" s="37" t="s">
        <v>2793</v>
      </c>
      <c r="C508" s="37" t="s">
        <v>2794</v>
      </c>
      <c r="D508" s="37" t="s">
        <v>189</v>
      </c>
      <c r="E508" s="37" t="s">
        <v>2795</v>
      </c>
      <c r="F508" s="37" t="s">
        <v>1145</v>
      </c>
      <c r="G508" s="37">
        <v>46092</v>
      </c>
      <c r="H508" s="37"/>
    </row>
    <row r="509" spans="1:8">
      <c r="A509" s="37" t="s">
        <v>2796</v>
      </c>
      <c r="B509" s="37" t="s">
        <v>2797</v>
      </c>
      <c r="C509" s="37" t="s">
        <v>2798</v>
      </c>
      <c r="D509" s="37" t="s">
        <v>2799</v>
      </c>
      <c r="E509" s="37" t="s">
        <v>2800</v>
      </c>
      <c r="F509" s="37" t="s">
        <v>1145</v>
      </c>
      <c r="G509" s="37">
        <v>46092</v>
      </c>
      <c r="H509" s="37"/>
    </row>
    <row r="510" spans="1:8">
      <c r="A510" s="37"/>
      <c r="B510" s="37"/>
      <c r="C510" s="37"/>
      <c r="D510" s="37"/>
      <c r="E510" s="37"/>
      <c r="F510" s="37"/>
      <c r="G510" s="37"/>
      <c r="H510" s="37"/>
    </row>
    <row r="511" spans="1:8" ht="67.5" customHeight="1">
      <c r="A511" s="37" t="s">
        <v>2801</v>
      </c>
      <c r="B511" s="37"/>
      <c r="C511" s="37"/>
      <c r="D511" s="37"/>
      <c r="E511" s="37"/>
      <c r="F511" s="37"/>
      <c r="G511" s="37"/>
      <c r="H511" s="37"/>
    </row>
    <row r="512" spans="1:8" ht="27" customHeight="1">
      <c r="A512" s="37">
        <v>1</v>
      </c>
      <c r="B512" s="37" t="s">
        <v>2802</v>
      </c>
      <c r="C512" s="37"/>
      <c r="D512" s="37"/>
      <c r="E512" s="37"/>
      <c r="F512" s="37"/>
      <c r="G512" s="37"/>
      <c r="H512" s="37"/>
    </row>
    <row r="513" spans="1:8">
      <c r="A513" s="37"/>
      <c r="B513" s="37"/>
      <c r="C513" s="37"/>
      <c r="D513" s="37"/>
      <c r="E513" s="37"/>
      <c r="F513" s="37"/>
      <c r="G513" s="37"/>
      <c r="H513" s="37"/>
    </row>
    <row r="514" spans="1:8" ht="27" customHeight="1">
      <c r="A514" s="37" t="s">
        <v>2803</v>
      </c>
      <c r="B514" s="37" t="s">
        <v>2804</v>
      </c>
      <c r="C514" s="37"/>
      <c r="D514" s="37"/>
      <c r="E514" s="37"/>
      <c r="F514" s="37"/>
      <c r="G514" s="37"/>
      <c r="H514" s="37"/>
    </row>
    <row r="515" spans="1:8" ht="27" customHeight="1">
      <c r="A515" s="37" t="s">
        <v>2805</v>
      </c>
      <c r="B515" s="37" t="s">
        <v>2806</v>
      </c>
      <c r="C515" s="37" t="s">
        <v>2807</v>
      </c>
      <c r="D515" s="37" t="s">
        <v>189</v>
      </c>
      <c r="E515" s="37" t="s">
        <v>2808</v>
      </c>
      <c r="F515" s="37" t="s">
        <v>1145</v>
      </c>
      <c r="G515" s="37">
        <v>46092</v>
      </c>
      <c r="H515" s="37"/>
    </row>
    <row r="516" spans="1:8">
      <c r="A516" s="37" t="s">
        <v>2809</v>
      </c>
      <c r="B516" s="37" t="s">
        <v>2797</v>
      </c>
      <c r="C516" s="37" t="s">
        <v>2810</v>
      </c>
      <c r="D516" s="37" t="s">
        <v>2799</v>
      </c>
      <c r="E516" s="37" t="s">
        <v>2811</v>
      </c>
      <c r="F516" s="37" t="s">
        <v>1145</v>
      </c>
      <c r="G516" s="37">
        <v>46092</v>
      </c>
      <c r="H516" s="37"/>
    </row>
    <row r="517" spans="1:8">
      <c r="A517" s="37"/>
      <c r="B517" s="37"/>
      <c r="C517" s="37"/>
      <c r="D517" s="37"/>
      <c r="E517" s="37"/>
      <c r="F517" s="37"/>
      <c r="G517" s="37"/>
      <c r="H517" s="37"/>
    </row>
    <row r="518" spans="1:8" ht="27" customHeight="1">
      <c r="A518" s="37"/>
      <c r="B518" s="37" t="s">
        <v>2812</v>
      </c>
      <c r="C518" s="37"/>
      <c r="D518" s="37"/>
      <c r="E518" s="37"/>
      <c r="F518" s="37"/>
      <c r="G518" s="37"/>
      <c r="H518" s="37"/>
    </row>
    <row r="519" spans="1:8" ht="27" customHeight="1">
      <c r="A519" s="37" t="s">
        <v>2813</v>
      </c>
      <c r="B519" s="37" t="s">
        <v>2814</v>
      </c>
      <c r="C519" s="37" t="s">
        <v>2815</v>
      </c>
      <c r="D519" s="37" t="s">
        <v>189</v>
      </c>
      <c r="E519" s="37" t="s">
        <v>2816</v>
      </c>
      <c r="F519" s="37" t="s">
        <v>1145</v>
      </c>
      <c r="G519" s="37">
        <v>46092</v>
      </c>
      <c r="H519" s="37"/>
    </row>
    <row r="520" spans="1:8" ht="27" customHeight="1">
      <c r="A520" s="37" t="s">
        <v>2817</v>
      </c>
      <c r="B520" s="37" t="s">
        <v>2818</v>
      </c>
      <c r="C520" s="37" t="s">
        <v>2819</v>
      </c>
      <c r="D520" s="37" t="s">
        <v>189</v>
      </c>
      <c r="E520" s="37" t="s">
        <v>2820</v>
      </c>
      <c r="F520" s="37" t="s">
        <v>1145</v>
      </c>
      <c r="G520" s="37">
        <v>46092</v>
      </c>
      <c r="H520" s="37"/>
    </row>
    <row r="521" spans="1:8" ht="27" customHeight="1">
      <c r="A521" s="37" t="s">
        <v>2821</v>
      </c>
      <c r="B521" s="37" t="s">
        <v>2822</v>
      </c>
      <c r="C521" s="37" t="s">
        <v>2823</v>
      </c>
      <c r="D521" s="37" t="s">
        <v>189</v>
      </c>
      <c r="E521" s="37" t="s">
        <v>2824</v>
      </c>
      <c r="F521" s="37" t="s">
        <v>1145</v>
      </c>
      <c r="G521" s="37">
        <v>46092</v>
      </c>
      <c r="H521" s="37"/>
    </row>
    <row r="522" spans="1:8" ht="27" customHeight="1">
      <c r="A522" s="37" t="s">
        <v>2825</v>
      </c>
      <c r="B522" s="37" t="s">
        <v>2826</v>
      </c>
      <c r="C522" s="37" t="s">
        <v>2827</v>
      </c>
      <c r="D522" s="37" t="s">
        <v>2828</v>
      </c>
      <c r="E522" s="37" t="s">
        <v>2829</v>
      </c>
      <c r="F522" s="37" t="s">
        <v>1145</v>
      </c>
      <c r="G522" s="37">
        <v>46092</v>
      </c>
      <c r="H522" s="37"/>
    </row>
    <row r="523" spans="1:8" ht="27" customHeight="1">
      <c r="A523" s="37" t="s">
        <v>2830</v>
      </c>
      <c r="B523" s="37" t="s">
        <v>2831</v>
      </c>
      <c r="C523" s="37" t="s">
        <v>2832</v>
      </c>
      <c r="D523" s="37" t="s">
        <v>2828</v>
      </c>
      <c r="E523" s="37" t="s">
        <v>2833</v>
      </c>
      <c r="F523" s="37" t="s">
        <v>1145</v>
      </c>
      <c r="G523" s="37">
        <v>46092</v>
      </c>
      <c r="H523" s="37"/>
    </row>
    <row r="524" spans="1:8" ht="27" customHeight="1">
      <c r="A524" s="37" t="s">
        <v>2834</v>
      </c>
      <c r="B524" s="37" t="s">
        <v>2835</v>
      </c>
      <c r="C524" s="37" t="s">
        <v>2836</v>
      </c>
      <c r="D524" s="37" t="s">
        <v>189</v>
      </c>
      <c r="E524" s="37" t="s">
        <v>2837</v>
      </c>
      <c r="F524" s="37" t="s">
        <v>1145</v>
      </c>
      <c r="G524" s="37">
        <v>46092</v>
      </c>
      <c r="H524" s="37"/>
    </row>
    <row r="525" spans="1:8" ht="40.5" customHeight="1">
      <c r="A525" s="37" t="s">
        <v>2838</v>
      </c>
      <c r="B525" s="37" t="s">
        <v>2839</v>
      </c>
      <c r="C525" s="37" t="s">
        <v>2840</v>
      </c>
      <c r="D525" s="37" t="s">
        <v>189</v>
      </c>
      <c r="E525" s="37" t="s">
        <v>2841</v>
      </c>
      <c r="F525" s="37" t="s">
        <v>1145</v>
      </c>
      <c r="G525" s="37">
        <v>46092</v>
      </c>
      <c r="H525" s="37"/>
    </row>
    <row r="526" spans="1:8" ht="40.5" customHeight="1">
      <c r="A526" s="37" t="s">
        <v>2842</v>
      </c>
      <c r="B526" s="37" t="s">
        <v>2843</v>
      </c>
      <c r="C526" s="37" t="s">
        <v>2844</v>
      </c>
      <c r="D526" s="37" t="s">
        <v>1706</v>
      </c>
      <c r="E526" s="37" t="s">
        <v>2845</v>
      </c>
      <c r="F526" s="37" t="s">
        <v>1145</v>
      </c>
      <c r="G526" s="37">
        <v>46092</v>
      </c>
      <c r="H526" s="37"/>
    </row>
    <row r="527" spans="1:8">
      <c r="A527" s="37"/>
      <c r="B527" s="37"/>
      <c r="C527" s="37"/>
      <c r="D527" s="37"/>
      <c r="E527" s="37"/>
      <c r="F527" s="37"/>
      <c r="G527" s="37"/>
      <c r="H527" s="37"/>
    </row>
    <row r="528" spans="1:8" ht="81" customHeight="1">
      <c r="A528" s="37" t="s">
        <v>2846</v>
      </c>
      <c r="B528" s="37"/>
      <c r="C528" s="37"/>
      <c r="D528" s="37"/>
      <c r="E528" s="37"/>
      <c r="F528" s="37"/>
      <c r="G528" s="37"/>
      <c r="H528" s="37"/>
    </row>
    <row r="529" spans="1:8" ht="27" customHeight="1">
      <c r="A529" s="37" t="s">
        <v>2847</v>
      </c>
      <c r="B529" s="37" t="s">
        <v>2848</v>
      </c>
      <c r="C529" s="37"/>
      <c r="D529" s="37"/>
      <c r="E529" s="37"/>
      <c r="F529" s="37"/>
      <c r="G529" s="37"/>
      <c r="H529" s="37"/>
    </row>
    <row r="530" spans="1:8">
      <c r="A530" s="37" t="s">
        <v>2849</v>
      </c>
      <c r="B530" s="37" t="s">
        <v>2850</v>
      </c>
      <c r="C530" s="37"/>
      <c r="D530" s="37"/>
      <c r="E530" s="37"/>
      <c r="F530" s="37"/>
      <c r="G530" s="37"/>
      <c r="H530" s="37"/>
    </row>
    <row r="531" spans="1:8" ht="27" customHeight="1">
      <c r="A531" s="37" t="s">
        <v>2851</v>
      </c>
      <c r="B531" s="37" t="s">
        <v>2852</v>
      </c>
      <c r="C531" s="37"/>
      <c r="D531" s="37"/>
      <c r="E531" s="37"/>
      <c r="F531" s="37"/>
      <c r="G531" s="37"/>
      <c r="H531" s="37"/>
    </row>
    <row r="532" spans="1:8">
      <c r="A532" s="37" t="s">
        <v>2853</v>
      </c>
      <c r="B532" s="37" t="s">
        <v>2854</v>
      </c>
      <c r="C532" s="37"/>
      <c r="D532" s="37"/>
      <c r="E532" s="37"/>
      <c r="F532" s="37"/>
      <c r="G532" s="37"/>
      <c r="H532" s="37"/>
    </row>
    <row r="533" spans="1:8">
      <c r="A533" s="37" t="s">
        <v>2855</v>
      </c>
      <c r="B533" s="37" t="s">
        <v>2856</v>
      </c>
      <c r="C533" s="37"/>
      <c r="D533" s="37"/>
      <c r="E533" s="37"/>
      <c r="F533" s="37"/>
      <c r="G533" s="37"/>
      <c r="H533" s="37"/>
    </row>
    <row r="534" spans="1:8" ht="27" customHeight="1">
      <c r="A534" s="37" t="s">
        <v>2857</v>
      </c>
      <c r="B534" s="37" t="s">
        <v>2858</v>
      </c>
      <c r="C534" s="37"/>
      <c r="D534" s="37"/>
      <c r="E534" s="37"/>
      <c r="F534" s="37"/>
      <c r="G534" s="37"/>
      <c r="H534" s="37"/>
    </row>
    <row r="535" spans="1:8">
      <c r="A535" s="37" t="s">
        <v>2859</v>
      </c>
      <c r="B535" s="37" t="s">
        <v>2860</v>
      </c>
      <c r="C535" s="37"/>
      <c r="D535" s="37"/>
      <c r="E535" s="37"/>
      <c r="F535" s="37"/>
      <c r="G535" s="37"/>
      <c r="H535" s="37"/>
    </row>
    <row r="536" spans="1:8" ht="27" customHeight="1">
      <c r="A536" s="37" t="s">
        <v>2861</v>
      </c>
      <c r="B536" s="37" t="s">
        <v>2862</v>
      </c>
      <c r="C536" s="37"/>
      <c r="D536" s="37"/>
      <c r="E536" s="37"/>
      <c r="F536" s="37"/>
      <c r="G536" s="37"/>
      <c r="H536" s="37"/>
    </row>
    <row r="537" spans="1:8">
      <c r="A537" s="37"/>
      <c r="B537" s="37"/>
      <c r="C537" s="37"/>
      <c r="D537" s="37"/>
      <c r="E537" s="37"/>
      <c r="F537" s="37"/>
      <c r="G537" s="37"/>
      <c r="H537" s="37"/>
    </row>
    <row r="538" spans="1:8" ht="54" customHeight="1">
      <c r="A538" s="37" t="s">
        <v>2863</v>
      </c>
      <c r="B538" s="37" t="s">
        <v>2864</v>
      </c>
      <c r="C538" s="37" t="s">
        <v>2865</v>
      </c>
      <c r="D538" s="37" t="s">
        <v>189</v>
      </c>
      <c r="E538" s="37" t="s">
        <v>2866</v>
      </c>
      <c r="F538" s="37" t="s">
        <v>1145</v>
      </c>
      <c r="G538" s="37">
        <v>46092</v>
      </c>
      <c r="H538" s="37"/>
    </row>
    <row r="539" spans="1:8" ht="27" customHeight="1">
      <c r="A539" s="37" t="s">
        <v>2867</v>
      </c>
      <c r="B539" s="37" t="s">
        <v>2868</v>
      </c>
      <c r="C539" s="37" t="s">
        <v>2869</v>
      </c>
      <c r="D539" s="37" t="s">
        <v>189</v>
      </c>
      <c r="E539" s="37" t="s">
        <v>2870</v>
      </c>
      <c r="F539" s="37" t="s">
        <v>1145</v>
      </c>
      <c r="G539" s="37">
        <v>46092</v>
      </c>
      <c r="H539" s="37"/>
    </row>
    <row r="540" spans="1:8" ht="40.5" customHeight="1">
      <c r="A540" s="37" t="s">
        <v>2871</v>
      </c>
      <c r="B540" s="37" t="s">
        <v>2872</v>
      </c>
      <c r="C540" s="37" t="s">
        <v>2873</v>
      </c>
      <c r="D540" s="37" t="s">
        <v>189</v>
      </c>
      <c r="E540" s="37" t="s">
        <v>2874</v>
      </c>
      <c r="F540" s="37" t="s">
        <v>1145</v>
      </c>
      <c r="G540" s="37">
        <v>46092</v>
      </c>
      <c r="H540" s="37"/>
    </row>
    <row r="541" spans="1:8" ht="27" customHeight="1">
      <c r="A541" s="37" t="s">
        <v>2875</v>
      </c>
      <c r="B541" s="37" t="s">
        <v>2876</v>
      </c>
      <c r="C541" s="37" t="s">
        <v>2877</v>
      </c>
      <c r="D541" s="37" t="s">
        <v>2799</v>
      </c>
      <c r="E541" s="37" t="s">
        <v>2878</v>
      </c>
      <c r="F541" s="37" t="s">
        <v>1145</v>
      </c>
      <c r="G541" s="37">
        <v>46092</v>
      </c>
      <c r="H541" s="3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81"/>
  <sheetViews>
    <sheetView tabSelected="1" zoomScaleNormal="100" workbookViewId="0">
      <pane ySplit="7" topLeftCell="A51" activePane="bottomLeft" state="frozen"/>
      <selection activeCell="F1" sqref="F1"/>
      <selection pane="bottomLeft" activeCell="B67" sqref="B67"/>
    </sheetView>
  </sheetViews>
  <sheetFormatPr defaultColWidth="9.140625" defaultRowHeight="15" outlineLevelRow="1"/>
  <cols>
    <col min="1" max="1" width="14.28515625" style="5" customWidth="1"/>
    <col min="2" max="2" width="255.7109375" style="4" bestFit="1" customWidth="1"/>
    <col min="3" max="3" width="70.5703125" style="4" customWidth="1"/>
    <col min="4" max="5" width="61.7109375" style="1" customWidth="1"/>
    <col min="6" max="11" width="53" style="1" customWidth="1"/>
    <col min="12" max="15" width="9.140625" style="1" customWidth="1"/>
    <col min="16" max="16384" width="9.140625" style="1"/>
  </cols>
  <sheetData>
    <row r="1" spans="1:11" s="13" customFormat="1" ht="30" customHeight="1">
      <c r="A1" s="259" t="s">
        <v>0</v>
      </c>
      <c r="B1" s="14"/>
      <c r="C1" s="14"/>
      <c r="D1" s="14"/>
      <c r="E1" s="14"/>
      <c r="F1" s="14"/>
      <c r="G1" s="14"/>
      <c r="H1" s="14"/>
      <c r="I1" s="14"/>
      <c r="J1" s="14"/>
      <c r="K1" s="14"/>
    </row>
    <row r="2" spans="1:11" ht="21.95" customHeight="1">
      <c r="A2" s="110">
        <v>1</v>
      </c>
      <c r="B2" s="20" t="s">
        <v>1</v>
      </c>
      <c r="C2" s="18" t="s">
        <v>2</v>
      </c>
      <c r="D2" s="20"/>
      <c r="E2" s="20"/>
      <c r="F2" s="20"/>
      <c r="G2" s="20"/>
      <c r="H2" s="20"/>
      <c r="I2" s="20"/>
      <c r="J2" s="20"/>
      <c r="K2" s="20"/>
    </row>
    <row r="3" spans="1:11" ht="21.95" customHeight="1">
      <c r="A3" s="111">
        <v>2</v>
      </c>
      <c r="B3" s="25" t="s">
        <v>3</v>
      </c>
      <c r="C3" s="101" t="s">
        <v>4</v>
      </c>
      <c r="D3" s="25"/>
      <c r="E3" s="25"/>
      <c r="F3" s="25"/>
      <c r="G3" s="25"/>
      <c r="H3" s="25"/>
      <c r="I3" s="25"/>
      <c r="J3" s="25"/>
      <c r="K3" s="25"/>
    </row>
    <row r="4" spans="1:11" ht="21.95" customHeight="1">
      <c r="A4" s="110">
        <v>3</v>
      </c>
      <c r="B4" s="20" t="s">
        <v>5</v>
      </c>
      <c r="C4" s="18" t="s">
        <v>6</v>
      </c>
      <c r="D4" s="20"/>
      <c r="E4" s="20"/>
      <c r="F4" s="20"/>
      <c r="G4" s="20"/>
      <c r="H4" s="20"/>
      <c r="I4" s="20"/>
      <c r="J4" s="20"/>
      <c r="K4" s="20"/>
    </row>
    <row r="5" spans="1:11" ht="21.95" customHeight="1">
      <c r="A5" s="112"/>
      <c r="B5" s="112" t="s">
        <v>7</v>
      </c>
      <c r="C5" s="112"/>
      <c r="D5" s="112"/>
      <c r="E5" s="112"/>
      <c r="F5" s="112"/>
      <c r="G5" s="112"/>
      <c r="H5" s="112"/>
      <c r="I5" s="112"/>
      <c r="J5" s="112"/>
      <c r="K5" s="112"/>
    </row>
    <row r="6" spans="1:11">
      <c r="A6" s="19" t="s">
        <v>8</v>
      </c>
      <c r="B6" s="19" t="s">
        <v>9</v>
      </c>
      <c r="C6" s="19" t="s">
        <v>10</v>
      </c>
      <c r="D6" s="19"/>
      <c r="E6" s="19"/>
      <c r="F6" s="19"/>
      <c r="G6" s="19"/>
      <c r="H6" s="19"/>
      <c r="I6" s="19"/>
      <c r="J6" s="19"/>
      <c r="K6" s="19"/>
    </row>
    <row r="7" spans="1:11" ht="27.95" customHeight="1">
      <c r="A7" s="113" t="s">
        <v>11</v>
      </c>
      <c r="B7" s="113" t="s">
        <v>12</v>
      </c>
      <c r="C7" s="113" t="s">
        <v>13</v>
      </c>
      <c r="D7" s="114" t="s">
        <v>14</v>
      </c>
      <c r="E7" s="114" t="s">
        <v>15</v>
      </c>
      <c r="F7" s="114" t="s">
        <v>16</v>
      </c>
      <c r="G7" s="114" t="s">
        <v>17</v>
      </c>
      <c r="H7" s="114" t="s">
        <v>17</v>
      </c>
      <c r="I7" s="114" t="s">
        <v>17</v>
      </c>
      <c r="J7" s="114" t="s">
        <v>17</v>
      </c>
      <c r="K7" s="114" t="s">
        <v>17</v>
      </c>
    </row>
    <row r="8" spans="1:11" ht="20.100000000000001" customHeight="1">
      <c r="A8" s="115" t="s">
        <v>18</v>
      </c>
      <c r="B8" s="116" t="s">
        <v>19</v>
      </c>
      <c r="C8" s="116" t="s">
        <v>20</v>
      </c>
      <c r="D8" s="20" t="s">
        <v>21</v>
      </c>
      <c r="E8" s="20"/>
      <c r="F8" s="20"/>
      <c r="G8" s="20"/>
      <c r="H8" s="20"/>
      <c r="I8" s="20"/>
      <c r="J8" s="20"/>
      <c r="K8" s="20"/>
    </row>
    <row r="9" spans="1:11" ht="20.100000000000001" customHeight="1">
      <c r="A9" s="117" t="s">
        <v>22</v>
      </c>
      <c r="B9" s="118" t="s">
        <v>23</v>
      </c>
      <c r="C9" s="118" t="s">
        <v>24</v>
      </c>
      <c r="D9" s="119" t="s">
        <v>25</v>
      </c>
      <c r="E9" s="119" t="s">
        <v>26</v>
      </c>
      <c r="F9" s="25"/>
      <c r="G9" s="25"/>
      <c r="H9" s="25"/>
      <c r="I9" s="25"/>
      <c r="J9" s="25"/>
      <c r="K9" s="25"/>
    </row>
    <row r="10" spans="1:11" ht="20.100000000000001" customHeight="1">
      <c r="A10" s="120" t="s">
        <v>27</v>
      </c>
      <c r="B10" s="121" t="s">
        <v>28</v>
      </c>
      <c r="C10" s="121"/>
      <c r="D10" s="20"/>
      <c r="E10" s="20"/>
      <c r="F10" s="20"/>
      <c r="G10" s="20"/>
      <c r="H10" s="20"/>
      <c r="I10" s="20"/>
      <c r="J10" s="20"/>
      <c r="K10" s="20"/>
    </row>
    <row r="11" spans="1:11" ht="20.100000000000001" customHeight="1">
      <c r="A11" s="117">
        <v>4</v>
      </c>
      <c r="B11" s="118" t="s">
        <v>29</v>
      </c>
      <c r="C11" s="118" t="s">
        <v>30</v>
      </c>
      <c r="D11" s="25"/>
      <c r="E11" s="25"/>
      <c r="F11" s="25"/>
      <c r="G11" s="25"/>
      <c r="H11" s="25"/>
      <c r="I11" s="25"/>
      <c r="J11" s="25"/>
      <c r="K11" s="25"/>
    </row>
    <row r="12" spans="1:11" ht="20.100000000000001" customHeight="1">
      <c r="A12" s="120">
        <v>5</v>
      </c>
      <c r="B12" s="121" t="s">
        <v>31</v>
      </c>
      <c r="C12" s="121" t="s">
        <v>32</v>
      </c>
      <c r="D12" s="20"/>
      <c r="E12" s="20"/>
      <c r="F12" s="20"/>
      <c r="G12" s="20"/>
      <c r="H12" s="20"/>
      <c r="I12" s="20"/>
      <c r="J12" s="20"/>
      <c r="K12" s="20"/>
    </row>
    <row r="13" spans="1:11" ht="20.100000000000001" customHeight="1">
      <c r="A13" s="117">
        <v>6</v>
      </c>
      <c r="B13" s="118" t="s">
        <v>33</v>
      </c>
      <c r="C13" s="118" t="s">
        <v>34</v>
      </c>
      <c r="D13" s="25"/>
      <c r="E13" s="25"/>
      <c r="F13" s="25"/>
      <c r="G13" s="25"/>
      <c r="H13" s="25"/>
      <c r="I13" s="25"/>
      <c r="J13" s="25"/>
      <c r="K13" s="25"/>
    </row>
    <row r="14" spans="1:11" ht="20.100000000000001" customHeight="1">
      <c r="A14" s="120">
        <v>7</v>
      </c>
      <c r="B14" s="121" t="s">
        <v>35</v>
      </c>
      <c r="C14" s="121" t="s">
        <v>36</v>
      </c>
      <c r="D14" s="20"/>
      <c r="E14" s="20"/>
      <c r="F14" s="20"/>
      <c r="G14" s="20"/>
      <c r="H14" s="20"/>
      <c r="I14" s="20"/>
      <c r="J14" s="20"/>
      <c r="K14" s="20"/>
    </row>
    <row r="15" spans="1:11" ht="20.100000000000001" customHeight="1">
      <c r="A15" s="117"/>
      <c r="B15" s="118"/>
      <c r="C15" s="118"/>
      <c r="D15" s="25"/>
      <c r="E15" s="25"/>
      <c r="F15" s="25"/>
      <c r="G15" s="25"/>
      <c r="H15" s="25"/>
      <c r="I15" s="25"/>
      <c r="J15" s="25"/>
      <c r="K15" s="25"/>
    </row>
    <row r="16" spans="1:11" ht="20.100000000000001" customHeight="1">
      <c r="A16" s="75"/>
      <c r="B16" s="122" t="s">
        <v>37</v>
      </c>
      <c r="C16" s="20"/>
      <c r="D16" s="20"/>
      <c r="E16" s="20"/>
      <c r="F16" s="20"/>
      <c r="G16" s="20"/>
      <c r="H16" s="20"/>
      <c r="I16" s="20"/>
      <c r="J16" s="20"/>
      <c r="K16" s="20"/>
    </row>
    <row r="17" spans="1:11" ht="20.100000000000001" customHeight="1" outlineLevel="1">
      <c r="A17" s="76"/>
      <c r="B17" s="25"/>
      <c r="C17" s="25"/>
      <c r="D17" s="25"/>
      <c r="E17" s="25"/>
      <c r="F17" s="25"/>
      <c r="G17" s="25"/>
      <c r="H17" s="25"/>
      <c r="I17" s="25"/>
      <c r="J17" s="25"/>
      <c r="K17" s="25"/>
    </row>
    <row r="18" spans="1:11" ht="20.100000000000001" customHeight="1" outlineLevel="1">
      <c r="A18" s="75"/>
      <c r="B18" s="20"/>
      <c r="C18" s="20"/>
      <c r="D18" s="20"/>
      <c r="E18" s="20"/>
      <c r="F18" s="20"/>
      <c r="G18" s="20"/>
      <c r="H18" s="20"/>
      <c r="I18" s="20"/>
      <c r="J18" s="20"/>
      <c r="K18" s="20"/>
    </row>
    <row r="19" spans="1:11" ht="20.100000000000001" customHeight="1" outlineLevel="1">
      <c r="A19" s="76"/>
      <c r="B19" s="25"/>
      <c r="C19" s="25"/>
      <c r="D19" s="25"/>
      <c r="E19" s="25"/>
      <c r="F19" s="25"/>
      <c r="G19" s="25"/>
      <c r="H19" s="25"/>
      <c r="I19" s="25"/>
      <c r="J19" s="25"/>
      <c r="K19" s="25"/>
    </row>
    <row r="20" spans="1:11" ht="20.100000000000001" customHeight="1" outlineLevel="1">
      <c r="A20" s="75"/>
      <c r="B20" s="20"/>
      <c r="C20" s="20"/>
      <c r="D20" s="20"/>
      <c r="E20" s="20"/>
      <c r="F20" s="20"/>
      <c r="G20" s="20"/>
      <c r="H20" s="20"/>
      <c r="I20" s="20"/>
      <c r="J20" s="20"/>
      <c r="K20" s="20"/>
    </row>
    <row r="21" spans="1:11" ht="20.100000000000001" customHeight="1" outlineLevel="1">
      <c r="A21" s="76"/>
      <c r="B21" s="25"/>
      <c r="C21" s="25"/>
      <c r="D21" s="25"/>
      <c r="E21" s="25"/>
      <c r="F21" s="25"/>
      <c r="G21" s="25"/>
      <c r="H21" s="25"/>
      <c r="I21" s="25"/>
      <c r="J21" s="25"/>
      <c r="K21" s="25"/>
    </row>
    <row r="22" spans="1:11" ht="20.100000000000001" customHeight="1" outlineLevel="1">
      <c r="A22" s="75"/>
      <c r="B22" s="20"/>
      <c r="C22" s="20"/>
      <c r="D22" s="20"/>
      <c r="E22" s="20"/>
      <c r="F22" s="20"/>
      <c r="G22" s="20"/>
      <c r="H22" s="20"/>
      <c r="I22" s="20"/>
      <c r="J22" s="20"/>
      <c r="K22" s="20"/>
    </row>
    <row r="23" spans="1:11" ht="20.100000000000001" customHeight="1" outlineLevel="1">
      <c r="A23" s="76"/>
      <c r="B23" s="25"/>
      <c r="C23" s="25"/>
      <c r="D23" s="25"/>
      <c r="E23" s="25"/>
      <c r="F23" s="25"/>
      <c r="G23" s="25"/>
      <c r="H23" s="25"/>
      <c r="I23" s="25"/>
      <c r="J23" s="25"/>
      <c r="K23" s="25"/>
    </row>
    <row r="24" spans="1:11" ht="20.100000000000001" customHeight="1" outlineLevel="1">
      <c r="A24" s="75"/>
      <c r="B24" s="20"/>
      <c r="C24" s="20"/>
      <c r="D24" s="20"/>
      <c r="E24" s="20"/>
      <c r="F24" s="20"/>
      <c r="G24" s="20"/>
      <c r="H24" s="20"/>
      <c r="I24" s="20"/>
      <c r="J24" s="20"/>
      <c r="K24" s="20"/>
    </row>
    <row r="25" spans="1:11" ht="20.100000000000001" customHeight="1" outlineLevel="1">
      <c r="A25" s="76"/>
      <c r="B25" s="25"/>
      <c r="C25" s="25"/>
      <c r="D25" s="25"/>
      <c r="E25" s="25"/>
      <c r="F25" s="25"/>
      <c r="G25" s="25"/>
      <c r="H25" s="25"/>
      <c r="I25" s="25"/>
      <c r="J25" s="25"/>
      <c r="K25" s="25"/>
    </row>
    <row r="26" spans="1:11" ht="20.100000000000001" customHeight="1" outlineLevel="1">
      <c r="A26" s="75"/>
      <c r="B26" s="20"/>
      <c r="C26" s="20"/>
      <c r="D26" s="20"/>
      <c r="E26" s="20"/>
      <c r="F26" s="20"/>
      <c r="G26" s="20"/>
      <c r="H26" s="20"/>
      <c r="I26" s="20"/>
      <c r="J26" s="20"/>
      <c r="K26" s="20"/>
    </row>
    <row r="27" spans="1:11" ht="20.100000000000001" customHeight="1" outlineLevel="1">
      <c r="A27" s="76"/>
      <c r="B27" s="25"/>
      <c r="C27" s="25"/>
      <c r="D27" s="25"/>
      <c r="E27" s="25"/>
      <c r="F27" s="25"/>
      <c r="G27" s="25"/>
      <c r="H27" s="25"/>
      <c r="I27" s="25"/>
      <c r="J27" s="25"/>
      <c r="K27" s="25"/>
    </row>
    <row r="28" spans="1:11" ht="20.100000000000001" customHeight="1" outlineLevel="1">
      <c r="A28" s="75"/>
      <c r="B28" s="20"/>
      <c r="C28" s="20"/>
      <c r="D28" s="20"/>
      <c r="E28" s="20"/>
      <c r="F28" s="20"/>
      <c r="G28" s="20"/>
      <c r="H28" s="20"/>
      <c r="I28" s="20"/>
      <c r="J28" s="20"/>
      <c r="K28" s="20"/>
    </row>
    <row r="29" spans="1:11" ht="20.100000000000001" customHeight="1" outlineLevel="1">
      <c r="A29" s="76"/>
      <c r="B29" s="25"/>
      <c r="C29" s="25"/>
      <c r="D29" s="25"/>
      <c r="E29" s="25"/>
      <c r="F29" s="25"/>
      <c r="G29" s="25"/>
      <c r="H29" s="25"/>
      <c r="I29" s="25"/>
      <c r="J29" s="25"/>
      <c r="K29" s="25"/>
    </row>
    <row r="30" spans="1:11" ht="20.100000000000001" customHeight="1" outlineLevel="1">
      <c r="A30" s="75"/>
      <c r="B30" s="20"/>
      <c r="C30" s="20"/>
      <c r="D30" s="20"/>
      <c r="E30" s="20"/>
      <c r="F30" s="20"/>
      <c r="G30" s="20"/>
      <c r="H30" s="20"/>
      <c r="I30" s="20"/>
      <c r="J30" s="20"/>
      <c r="K30" s="20"/>
    </row>
    <row r="31" spans="1:11" ht="20.100000000000001" customHeight="1" outlineLevel="1">
      <c r="A31" s="76"/>
      <c r="B31" s="25"/>
      <c r="C31" s="25"/>
      <c r="D31" s="25"/>
      <c r="E31" s="25"/>
      <c r="F31" s="25"/>
      <c r="G31" s="25"/>
      <c r="H31" s="25"/>
      <c r="I31" s="25"/>
      <c r="J31" s="25"/>
      <c r="K31" s="25"/>
    </row>
    <row r="32" spans="1:11" ht="20.100000000000001" customHeight="1" outlineLevel="1">
      <c r="A32" s="75"/>
      <c r="B32" s="20"/>
      <c r="C32" s="20"/>
      <c r="D32" s="20"/>
      <c r="E32" s="20"/>
      <c r="F32" s="20"/>
      <c r="G32" s="20"/>
      <c r="H32" s="20"/>
      <c r="I32" s="20"/>
      <c r="J32" s="20"/>
      <c r="K32" s="20"/>
    </row>
    <row r="33" spans="1:11" ht="20.100000000000001" customHeight="1" outlineLevel="1">
      <c r="A33" s="117"/>
      <c r="B33" s="118"/>
      <c r="C33" s="118"/>
      <c r="D33" s="25"/>
      <c r="E33" s="25"/>
      <c r="F33" s="25"/>
      <c r="G33" s="25"/>
      <c r="H33" s="25"/>
      <c r="I33" s="25"/>
      <c r="J33" s="25"/>
      <c r="K33" s="25"/>
    </row>
    <row r="34" spans="1:11" ht="20.100000000000001" customHeight="1">
      <c r="A34" s="120"/>
      <c r="B34" s="123" t="s">
        <v>38</v>
      </c>
      <c r="C34" s="121"/>
      <c r="D34" s="18"/>
      <c r="E34" s="20"/>
      <c r="F34" s="20"/>
      <c r="G34" s="20"/>
      <c r="H34" s="20"/>
      <c r="I34" s="20"/>
      <c r="J34" s="20"/>
      <c r="K34" s="20"/>
    </row>
    <row r="35" spans="1:11" ht="20.100000000000001" customHeight="1">
      <c r="A35" s="117" t="s">
        <v>39</v>
      </c>
      <c r="B35" s="124" t="s">
        <v>40</v>
      </c>
      <c r="C35" s="124" t="s">
        <v>41</v>
      </c>
      <c r="D35" s="51" t="s">
        <v>42</v>
      </c>
      <c r="E35" s="51" t="s">
        <v>43</v>
      </c>
      <c r="F35" s="25"/>
      <c r="G35" s="25"/>
      <c r="H35" s="25"/>
      <c r="I35" s="25"/>
      <c r="J35" s="25"/>
      <c r="K35" s="25"/>
    </row>
    <row r="36" spans="1:11" ht="20.100000000000001" customHeight="1">
      <c r="A36" s="120" t="s">
        <v>44</v>
      </c>
      <c r="B36" s="121" t="s">
        <v>45</v>
      </c>
      <c r="C36" s="121" t="s">
        <v>46</v>
      </c>
      <c r="D36" s="20" t="s">
        <v>47</v>
      </c>
      <c r="E36" s="20" t="s">
        <v>48</v>
      </c>
      <c r="F36" s="20"/>
      <c r="G36" s="20"/>
      <c r="H36" s="20"/>
      <c r="I36" s="20"/>
      <c r="J36" s="20"/>
      <c r="K36" s="20"/>
    </row>
    <row r="37" spans="1:11" ht="20.100000000000001" customHeight="1">
      <c r="A37" s="117" t="s">
        <v>49</v>
      </c>
      <c r="B37" s="118" t="s">
        <v>50</v>
      </c>
      <c r="C37" s="118" t="s">
        <v>51</v>
      </c>
      <c r="D37" s="25" t="s">
        <v>47</v>
      </c>
      <c r="E37" s="25" t="s">
        <v>48</v>
      </c>
      <c r="F37" s="25"/>
      <c r="G37" s="25"/>
      <c r="H37" s="25"/>
      <c r="I37" s="25"/>
      <c r="J37" s="25"/>
      <c r="K37" s="25"/>
    </row>
    <row r="38" spans="1:11" ht="20.100000000000001" customHeight="1">
      <c r="A38" s="120" t="s">
        <v>52</v>
      </c>
      <c r="B38" s="121" t="s">
        <v>53</v>
      </c>
      <c r="C38" s="121" t="s">
        <v>54</v>
      </c>
      <c r="D38" s="20" t="s">
        <v>47</v>
      </c>
      <c r="E38" s="20" t="s">
        <v>48</v>
      </c>
      <c r="F38" s="20"/>
      <c r="G38" s="20"/>
      <c r="H38" s="20"/>
      <c r="I38" s="20"/>
      <c r="J38" s="20"/>
      <c r="K38" s="20"/>
    </row>
    <row r="39" spans="1:11" ht="20.100000000000001" customHeight="1">
      <c r="A39" s="117" t="s">
        <v>55</v>
      </c>
      <c r="B39" s="118" t="s">
        <v>56</v>
      </c>
      <c r="C39" s="118" t="s">
        <v>57</v>
      </c>
      <c r="D39" s="25" t="s">
        <v>47</v>
      </c>
      <c r="E39" s="25" t="s">
        <v>58</v>
      </c>
      <c r="F39" s="25"/>
      <c r="G39" s="25"/>
      <c r="H39" s="25"/>
      <c r="I39" s="25"/>
      <c r="J39" s="25"/>
      <c r="K39" s="25"/>
    </row>
    <row r="40" spans="1:11" ht="20.100000000000001" customHeight="1">
      <c r="A40" s="120" t="s">
        <v>59</v>
      </c>
      <c r="B40" s="121" t="s">
        <v>60</v>
      </c>
      <c r="C40" s="121" t="s">
        <v>61</v>
      </c>
      <c r="D40" s="20" t="s">
        <v>47</v>
      </c>
      <c r="E40" s="20" t="s">
        <v>48</v>
      </c>
      <c r="F40" s="20"/>
      <c r="G40" s="20"/>
      <c r="H40" s="20"/>
      <c r="I40" s="20"/>
      <c r="J40" s="20"/>
      <c r="K40" s="20"/>
    </row>
    <row r="41" spans="1:11" ht="20.100000000000001" customHeight="1">
      <c r="A41" s="117" t="s">
        <v>62</v>
      </c>
      <c r="B41" s="118" t="s">
        <v>63</v>
      </c>
      <c r="C41" s="118" t="s">
        <v>64</v>
      </c>
      <c r="D41" s="25" t="s">
        <v>47</v>
      </c>
      <c r="E41" s="25" t="s">
        <v>65</v>
      </c>
      <c r="F41" s="25"/>
      <c r="G41" s="25"/>
      <c r="H41" s="25"/>
      <c r="I41" s="25"/>
      <c r="J41" s="25"/>
      <c r="K41" s="25"/>
    </row>
    <row r="42" spans="1:11" ht="20.100000000000001" customHeight="1">
      <c r="A42" s="120" t="s">
        <v>66</v>
      </c>
      <c r="B42" s="121" t="s">
        <v>67</v>
      </c>
      <c r="C42" s="121" t="s">
        <v>68</v>
      </c>
      <c r="D42" s="20" t="s">
        <v>47</v>
      </c>
      <c r="E42" s="20" t="s">
        <v>69</v>
      </c>
      <c r="F42" s="20"/>
      <c r="G42" s="20"/>
      <c r="H42" s="20"/>
      <c r="I42" s="20"/>
      <c r="J42" s="20"/>
      <c r="K42" s="20"/>
    </row>
    <row r="43" spans="1:11" ht="20.100000000000001" customHeight="1">
      <c r="A43" s="117" t="s">
        <v>70</v>
      </c>
      <c r="B43" s="118" t="s">
        <v>71</v>
      </c>
      <c r="C43" s="118" t="s">
        <v>72</v>
      </c>
      <c r="D43" s="25" t="s">
        <v>47</v>
      </c>
      <c r="E43" s="25" t="s">
        <v>73</v>
      </c>
      <c r="F43" s="25"/>
      <c r="G43" s="25"/>
      <c r="H43" s="25"/>
      <c r="I43" s="25"/>
      <c r="J43" s="25"/>
      <c r="K43" s="25"/>
    </row>
    <row r="44" spans="1:11" ht="20.100000000000001" customHeight="1">
      <c r="A44" s="120" t="s">
        <v>74</v>
      </c>
      <c r="B44" s="121" t="s">
        <v>75</v>
      </c>
      <c r="C44" s="121" t="s">
        <v>76</v>
      </c>
      <c r="D44" s="20" t="s">
        <v>77</v>
      </c>
      <c r="E44" s="20" t="s">
        <v>58</v>
      </c>
      <c r="F44" s="20"/>
      <c r="G44" s="20"/>
      <c r="H44" s="20"/>
      <c r="I44" s="20"/>
      <c r="J44" s="20"/>
      <c r="K44" s="20"/>
    </row>
    <row r="45" spans="1:11" ht="20.100000000000001" customHeight="1">
      <c r="A45" s="117" t="s">
        <v>78</v>
      </c>
      <c r="B45" s="118" t="s">
        <v>79</v>
      </c>
      <c r="C45" s="118" t="s">
        <v>80</v>
      </c>
      <c r="D45" s="25" t="s">
        <v>77</v>
      </c>
      <c r="E45" s="25" t="s">
        <v>81</v>
      </c>
      <c r="F45" s="25"/>
      <c r="G45" s="25"/>
      <c r="H45" s="25"/>
      <c r="I45" s="25"/>
      <c r="J45" s="25"/>
      <c r="K45" s="25"/>
    </row>
    <row r="46" spans="1:11" ht="20.100000000000001" customHeight="1">
      <c r="A46" s="120" t="s">
        <v>82</v>
      </c>
      <c r="B46" s="121" t="s">
        <v>83</v>
      </c>
      <c r="C46" s="121" t="s">
        <v>84</v>
      </c>
      <c r="D46" s="20" t="s">
        <v>77</v>
      </c>
      <c r="E46" s="20" t="s">
        <v>85</v>
      </c>
      <c r="F46" s="20"/>
      <c r="G46" s="20"/>
      <c r="H46" s="20"/>
      <c r="I46" s="20"/>
      <c r="J46" s="20"/>
      <c r="K46" s="20"/>
    </row>
    <row r="47" spans="1:11" ht="20.100000000000001" customHeight="1">
      <c r="A47" s="117" t="s">
        <v>86</v>
      </c>
      <c r="B47" s="118" t="s">
        <v>87</v>
      </c>
      <c r="C47" s="118" t="s">
        <v>88</v>
      </c>
      <c r="D47" s="25" t="s">
        <v>89</v>
      </c>
      <c r="E47" s="25" t="s">
        <v>90</v>
      </c>
      <c r="F47" s="25"/>
      <c r="G47" s="25"/>
      <c r="H47" s="25"/>
      <c r="I47" s="25"/>
      <c r="J47" s="25"/>
      <c r="K47" s="25"/>
    </row>
    <row r="48" spans="1:11" ht="20.100000000000001" customHeight="1">
      <c r="A48" s="120" t="s">
        <v>91</v>
      </c>
      <c r="B48" s="121" t="s">
        <v>92</v>
      </c>
      <c r="C48" s="121" t="s">
        <v>93</v>
      </c>
      <c r="D48" s="20" t="s">
        <v>89</v>
      </c>
      <c r="E48" s="20" t="s">
        <v>94</v>
      </c>
      <c r="F48" s="20"/>
      <c r="G48" s="20"/>
      <c r="H48" s="20"/>
      <c r="I48" s="20"/>
      <c r="J48" s="20"/>
      <c r="K48" s="20"/>
    </row>
    <row r="49" spans="1:11" ht="20.100000000000001" customHeight="1">
      <c r="A49" s="117" t="s">
        <v>95</v>
      </c>
      <c r="B49" s="118" t="s">
        <v>96</v>
      </c>
      <c r="C49" s="118" t="s">
        <v>97</v>
      </c>
      <c r="D49" s="25" t="s">
        <v>98</v>
      </c>
      <c r="E49" s="25" t="s">
        <v>99</v>
      </c>
      <c r="F49" s="25"/>
      <c r="G49" s="25"/>
      <c r="H49" s="25"/>
      <c r="I49" s="25"/>
      <c r="J49" s="25"/>
      <c r="K49" s="25"/>
    </row>
    <row r="50" spans="1:11" ht="20.100000000000001" customHeight="1">
      <c r="A50" s="120" t="s">
        <v>100</v>
      </c>
      <c r="B50" s="121" t="s">
        <v>101</v>
      </c>
      <c r="C50" s="121" t="s">
        <v>102</v>
      </c>
      <c r="D50" s="20" t="s">
        <v>103</v>
      </c>
      <c r="E50" s="20" t="s">
        <v>104</v>
      </c>
      <c r="F50" s="20"/>
      <c r="G50" s="20"/>
      <c r="H50" s="20"/>
      <c r="I50" s="20"/>
      <c r="J50" s="20"/>
      <c r="K50" s="20"/>
    </row>
    <row r="51" spans="1:11" ht="20.100000000000001" customHeight="1">
      <c r="A51" s="117" t="s">
        <v>105</v>
      </c>
      <c r="B51" s="118" t="s">
        <v>106</v>
      </c>
      <c r="C51" s="118" t="s">
        <v>107</v>
      </c>
      <c r="D51" s="25" t="s">
        <v>103</v>
      </c>
      <c r="E51" s="25" t="s">
        <v>108</v>
      </c>
      <c r="F51" s="25"/>
      <c r="G51" s="25"/>
      <c r="H51" s="25"/>
      <c r="I51" s="25"/>
      <c r="J51" s="25"/>
      <c r="K51" s="25"/>
    </row>
    <row r="52" spans="1:11" ht="20.100000000000001" customHeight="1">
      <c r="A52" s="120" t="s">
        <v>109</v>
      </c>
      <c r="B52" s="121" t="s">
        <v>110</v>
      </c>
      <c r="C52" s="121" t="s">
        <v>111</v>
      </c>
      <c r="D52" s="20" t="s">
        <v>112</v>
      </c>
      <c r="E52" s="20" t="s">
        <v>65</v>
      </c>
      <c r="F52" s="20"/>
      <c r="G52" s="20"/>
      <c r="H52" s="20"/>
      <c r="I52" s="20"/>
      <c r="J52" s="20"/>
      <c r="K52" s="20"/>
    </row>
    <row r="53" spans="1:11" ht="20.100000000000001" customHeight="1">
      <c r="A53" s="117" t="s">
        <v>113</v>
      </c>
      <c r="B53" s="118" t="s">
        <v>114</v>
      </c>
      <c r="C53" s="118" t="s">
        <v>115</v>
      </c>
      <c r="D53" s="25" t="s">
        <v>112</v>
      </c>
      <c r="E53" s="25" t="s">
        <v>94</v>
      </c>
      <c r="F53" s="25"/>
      <c r="G53" s="25"/>
      <c r="H53" s="25"/>
      <c r="I53" s="25"/>
      <c r="J53" s="25"/>
      <c r="K53" s="25"/>
    </row>
    <row r="54" spans="1:11" ht="20.100000000000001" customHeight="1">
      <c r="A54" s="120" t="s">
        <v>116</v>
      </c>
      <c r="B54" s="121" t="s">
        <v>117</v>
      </c>
      <c r="C54" s="121" t="s">
        <v>118</v>
      </c>
      <c r="D54" s="20" t="s">
        <v>112</v>
      </c>
      <c r="E54" s="20" t="s">
        <v>119</v>
      </c>
      <c r="F54" s="20"/>
      <c r="G54" s="20"/>
      <c r="H54" s="20"/>
      <c r="I54" s="20"/>
      <c r="J54" s="20"/>
      <c r="K54" s="20"/>
    </row>
    <row r="55" spans="1:11" ht="39" customHeight="1">
      <c r="A55" s="117" t="s">
        <v>120</v>
      </c>
      <c r="B55" s="118" t="s">
        <v>121</v>
      </c>
      <c r="C55" s="118" t="s">
        <v>122</v>
      </c>
      <c r="D55" s="25" t="s">
        <v>112</v>
      </c>
      <c r="E55" s="25" t="s">
        <v>123</v>
      </c>
      <c r="F55" s="25"/>
      <c r="G55" s="25"/>
      <c r="H55" s="25"/>
      <c r="I55" s="25"/>
      <c r="J55" s="25"/>
      <c r="K55" s="25"/>
    </row>
    <row r="56" spans="1:11" ht="26.25" customHeight="1">
      <c r="A56" s="120" t="s">
        <v>124</v>
      </c>
      <c r="B56" s="121" t="s">
        <v>125</v>
      </c>
      <c r="C56" s="121" t="s">
        <v>126</v>
      </c>
      <c r="D56" s="20" t="s">
        <v>127</v>
      </c>
      <c r="E56" s="20" t="s">
        <v>128</v>
      </c>
      <c r="F56" s="20"/>
      <c r="G56" s="20"/>
      <c r="H56" s="20"/>
      <c r="I56" s="20"/>
      <c r="J56" s="20"/>
      <c r="K56" s="20"/>
    </row>
    <row r="57" spans="1:11">
      <c r="A57" s="120"/>
      <c r="B57" s="275">
        <v>46094</v>
      </c>
      <c r="C57" s="121" t="s">
        <v>129</v>
      </c>
      <c r="D57" s="20"/>
      <c r="E57" s="20"/>
      <c r="F57" s="20"/>
      <c r="G57" s="20"/>
      <c r="H57" s="20"/>
      <c r="I57" s="20"/>
      <c r="J57" s="20"/>
      <c r="K57" s="20"/>
    </row>
    <row r="58" spans="1:11">
      <c r="A58" s="120" t="s">
        <v>130</v>
      </c>
      <c r="B58" s="118" t="s">
        <v>131</v>
      </c>
      <c r="C58" s="118" t="s">
        <v>132</v>
      </c>
      <c r="D58" s="25"/>
      <c r="E58" s="25"/>
      <c r="F58" s="25"/>
      <c r="G58" s="25"/>
      <c r="H58" s="25"/>
      <c r="I58" s="25"/>
      <c r="J58" s="25"/>
      <c r="K58" s="25"/>
    </row>
    <row r="59" spans="1:11" ht="26.25" customHeight="1">
      <c r="A59" s="120" t="s">
        <v>133</v>
      </c>
      <c r="B59" s="121" t="s">
        <v>134</v>
      </c>
      <c r="C59" s="121" t="s">
        <v>135</v>
      </c>
      <c r="D59" s="20"/>
      <c r="E59" s="20"/>
      <c r="F59" s="20"/>
      <c r="G59" s="20"/>
      <c r="H59" s="20"/>
      <c r="I59" s="20"/>
      <c r="J59" s="20"/>
      <c r="K59" s="20"/>
    </row>
    <row r="60" spans="1:11">
      <c r="A60" s="120" t="s">
        <v>136</v>
      </c>
      <c r="B60" s="118" t="s">
        <v>137</v>
      </c>
      <c r="C60" s="118" t="s">
        <v>138</v>
      </c>
      <c r="D60" s="25"/>
      <c r="E60" s="25"/>
      <c r="F60" s="25"/>
      <c r="G60" s="25"/>
      <c r="H60" s="25"/>
      <c r="I60" s="25"/>
      <c r="J60" s="25"/>
      <c r="K60" s="25"/>
    </row>
    <row r="61" spans="1:11" ht="26.25" customHeight="1">
      <c r="A61" s="120" t="s">
        <v>139</v>
      </c>
      <c r="B61" s="121" t="s">
        <v>140</v>
      </c>
      <c r="C61" s="121" t="s">
        <v>141</v>
      </c>
      <c r="D61" s="20"/>
      <c r="E61" s="20"/>
      <c r="F61" s="20"/>
      <c r="G61" s="20"/>
      <c r="H61" s="20"/>
      <c r="I61" s="20"/>
      <c r="J61" s="20"/>
      <c r="K61" s="20"/>
    </row>
    <row r="62" spans="1:11" ht="26.25" customHeight="1">
      <c r="A62" s="120" t="s">
        <v>142</v>
      </c>
      <c r="B62" s="118" t="s">
        <v>143</v>
      </c>
      <c r="C62" s="118" t="s">
        <v>144</v>
      </c>
      <c r="D62" s="25"/>
      <c r="E62" s="25"/>
      <c r="F62" s="25"/>
      <c r="G62" s="25"/>
      <c r="H62" s="25"/>
      <c r="I62" s="25"/>
      <c r="J62" s="25"/>
      <c r="K62" s="25"/>
    </row>
    <row r="63" spans="1:11" ht="26.25" customHeight="1">
      <c r="A63" s="120" t="s">
        <v>145</v>
      </c>
      <c r="B63" s="121" t="s">
        <v>146</v>
      </c>
      <c r="C63" s="121" t="s">
        <v>147</v>
      </c>
      <c r="D63" s="20"/>
      <c r="E63" s="20"/>
      <c r="F63" s="20"/>
      <c r="G63" s="20"/>
      <c r="H63" s="20"/>
      <c r="I63" s="20"/>
      <c r="J63" s="20"/>
      <c r="K63" s="20"/>
    </row>
    <row r="64" spans="1:11" ht="26.25" customHeight="1" outlineLevel="1">
      <c r="A64" s="120" t="s">
        <v>148</v>
      </c>
      <c r="B64" s="20" t="s">
        <v>149</v>
      </c>
      <c r="C64" s="20" t="s">
        <v>150</v>
      </c>
      <c r="D64" s="20"/>
      <c r="E64" s="20"/>
      <c r="F64" s="20"/>
      <c r="G64" s="20"/>
      <c r="H64" s="20"/>
      <c r="I64" s="20"/>
      <c r="J64" s="20"/>
      <c r="K64" s="20"/>
    </row>
    <row r="65" spans="1:11" ht="26.25" customHeight="1" outlineLevel="1">
      <c r="A65" s="120" t="s">
        <v>151</v>
      </c>
      <c r="B65" s="25" t="s">
        <v>152</v>
      </c>
      <c r="C65" s="25" t="s">
        <v>153</v>
      </c>
      <c r="D65" s="25"/>
      <c r="E65" s="25"/>
      <c r="F65" s="25"/>
      <c r="G65" s="25"/>
      <c r="H65" s="25"/>
      <c r="I65" s="25"/>
      <c r="J65" s="25"/>
      <c r="K65" s="25"/>
    </row>
    <row r="66" spans="1:11" ht="20.100000000000001" customHeight="1" outlineLevel="1">
      <c r="A66" s="75"/>
      <c r="B66" s="20"/>
      <c r="C66" s="20"/>
      <c r="D66" s="20"/>
      <c r="E66" s="20"/>
      <c r="F66" s="20"/>
      <c r="G66" s="20"/>
      <c r="H66" s="20"/>
      <c r="I66" s="20"/>
      <c r="J66" s="20"/>
      <c r="K66" s="20"/>
    </row>
    <row r="67" spans="1:11" ht="20.100000000000001" customHeight="1" outlineLevel="1">
      <c r="A67" s="76"/>
      <c r="B67" s="25"/>
      <c r="C67" s="25"/>
      <c r="D67" s="25"/>
      <c r="E67" s="25"/>
      <c r="F67" s="25"/>
      <c r="G67" s="25"/>
      <c r="H67" s="25"/>
      <c r="I67" s="25"/>
      <c r="J67" s="25"/>
      <c r="K67" s="25"/>
    </row>
    <row r="68" spans="1:11" ht="20.100000000000001" customHeight="1" outlineLevel="1">
      <c r="A68" s="75"/>
      <c r="B68" s="20"/>
      <c r="C68" s="20"/>
      <c r="D68" s="20"/>
      <c r="E68" s="20"/>
      <c r="F68" s="20"/>
      <c r="G68" s="20"/>
      <c r="H68" s="20"/>
      <c r="I68" s="20"/>
      <c r="J68" s="20"/>
      <c r="K68" s="20"/>
    </row>
    <row r="69" spans="1:11" ht="20.100000000000001" customHeight="1" outlineLevel="1">
      <c r="A69" s="76"/>
      <c r="B69" s="25"/>
      <c r="C69" s="25"/>
      <c r="D69" s="25"/>
      <c r="E69" s="25"/>
      <c r="F69" s="25"/>
      <c r="G69" s="25"/>
      <c r="H69" s="25"/>
      <c r="I69" s="25"/>
      <c r="J69" s="25"/>
      <c r="K69" s="25"/>
    </row>
    <row r="70" spans="1:11" ht="20.100000000000001" customHeight="1" outlineLevel="1">
      <c r="A70" s="75"/>
      <c r="B70" s="20"/>
      <c r="C70" s="20"/>
      <c r="D70" s="20"/>
      <c r="E70" s="20"/>
      <c r="F70" s="20"/>
      <c r="G70" s="20"/>
      <c r="H70" s="20"/>
      <c r="I70" s="20"/>
      <c r="J70" s="20"/>
      <c r="K70" s="20"/>
    </row>
    <row r="71" spans="1:11" ht="20.100000000000001" customHeight="1" outlineLevel="1">
      <c r="A71" s="76"/>
      <c r="B71" s="25"/>
      <c r="C71" s="25"/>
      <c r="D71" s="25"/>
      <c r="E71" s="25"/>
      <c r="F71" s="25"/>
      <c r="G71" s="25"/>
      <c r="H71" s="25"/>
      <c r="I71" s="25"/>
      <c r="J71" s="25"/>
      <c r="K71" s="25"/>
    </row>
    <row r="72" spans="1:11" ht="20.100000000000001" customHeight="1">
      <c r="A72" s="120">
        <v>10</v>
      </c>
      <c r="B72" s="121" t="s">
        <v>154</v>
      </c>
      <c r="C72" s="121" t="s">
        <v>155</v>
      </c>
      <c r="D72" s="20"/>
      <c r="E72" s="20"/>
      <c r="F72" s="20"/>
      <c r="G72" s="20"/>
      <c r="H72" s="20"/>
      <c r="I72" s="20"/>
      <c r="J72" s="20"/>
      <c r="K72" s="20"/>
    </row>
    <row r="73" spans="1:11" ht="20.100000000000001" customHeight="1">
      <c r="A73" s="117">
        <v>11</v>
      </c>
      <c r="B73" s="118" t="s">
        <v>156</v>
      </c>
      <c r="C73" s="118" t="s">
        <v>157</v>
      </c>
      <c r="D73" s="25"/>
      <c r="E73" s="25"/>
      <c r="F73" s="25"/>
      <c r="G73" s="25"/>
      <c r="H73" s="25"/>
      <c r="I73" s="25"/>
      <c r="J73" s="25"/>
      <c r="K73" s="25"/>
    </row>
    <row r="74" spans="1:11" ht="20.100000000000001" customHeight="1">
      <c r="A74" s="120"/>
      <c r="B74" s="123" t="s">
        <v>158</v>
      </c>
      <c r="C74" s="121"/>
      <c r="D74" s="20"/>
      <c r="E74" s="20"/>
      <c r="F74" s="20"/>
      <c r="G74" s="20"/>
      <c r="H74" s="20"/>
      <c r="I74" s="20"/>
      <c r="J74" s="20"/>
      <c r="K74" s="20"/>
    </row>
    <row r="75" spans="1:11" ht="20.100000000000001" customHeight="1">
      <c r="A75" s="117">
        <v>12</v>
      </c>
      <c r="B75" s="125" t="s">
        <v>159</v>
      </c>
      <c r="C75" s="118" t="s">
        <v>160</v>
      </c>
      <c r="D75" s="25"/>
      <c r="E75" s="25"/>
      <c r="F75" s="25"/>
      <c r="G75" s="25"/>
      <c r="H75" s="25"/>
      <c r="I75" s="25"/>
      <c r="J75" s="25"/>
      <c r="K75" s="25"/>
    </row>
    <row r="76" spans="1:11" ht="20.100000000000001" customHeight="1">
      <c r="A76" s="120">
        <v>13</v>
      </c>
      <c r="B76" s="121" t="s">
        <v>161</v>
      </c>
      <c r="C76" s="121" t="s">
        <v>162</v>
      </c>
      <c r="D76" s="20"/>
      <c r="E76" s="20"/>
      <c r="F76" s="20"/>
      <c r="G76" s="20"/>
      <c r="H76" s="20"/>
      <c r="I76" s="20"/>
      <c r="J76" s="20"/>
      <c r="K76" s="20"/>
    </row>
    <row r="77" spans="1:11" ht="20.100000000000001" customHeight="1">
      <c r="A77" s="117">
        <v>14</v>
      </c>
      <c r="B77" s="118" t="s">
        <v>163</v>
      </c>
      <c r="C77" s="118" t="s">
        <v>164</v>
      </c>
      <c r="D77" s="25"/>
      <c r="E77" s="25"/>
      <c r="F77" s="25"/>
      <c r="G77" s="25"/>
      <c r="H77" s="25"/>
      <c r="I77" s="25"/>
      <c r="J77" s="25"/>
      <c r="K77" s="25"/>
    </row>
    <row r="78" spans="1:11" ht="20.100000000000001" customHeight="1">
      <c r="A78" s="120">
        <v>15</v>
      </c>
      <c r="B78" s="121" t="s">
        <v>165</v>
      </c>
      <c r="C78" s="121" t="s">
        <v>166</v>
      </c>
      <c r="D78" s="20"/>
      <c r="E78" s="20"/>
      <c r="F78" s="20"/>
      <c r="G78" s="20"/>
      <c r="H78" s="20"/>
      <c r="I78" s="20"/>
      <c r="J78" s="20"/>
      <c r="K78" s="20"/>
    </row>
    <row r="79" spans="1:11" ht="20.100000000000001" customHeight="1">
      <c r="A79" s="117">
        <v>16</v>
      </c>
      <c r="B79" s="118" t="s">
        <v>167</v>
      </c>
      <c r="C79" s="118" t="s">
        <v>168</v>
      </c>
      <c r="D79" s="25"/>
      <c r="E79" s="25"/>
      <c r="F79" s="25"/>
      <c r="G79" s="25"/>
      <c r="H79" s="25"/>
      <c r="I79" s="25"/>
      <c r="J79" s="25"/>
      <c r="K79" s="25"/>
    </row>
    <row r="80" spans="1:11" ht="20.100000000000001" customHeight="1">
      <c r="A80" s="120">
        <v>17</v>
      </c>
      <c r="B80" s="121" t="s">
        <v>169</v>
      </c>
      <c r="C80" s="121" t="s">
        <v>170</v>
      </c>
      <c r="D80" s="20"/>
      <c r="E80" s="20"/>
      <c r="F80" s="20"/>
      <c r="G80" s="20"/>
      <c r="H80" s="20"/>
      <c r="I80" s="20"/>
      <c r="J80" s="20"/>
      <c r="K80" s="20"/>
    </row>
    <row r="81" spans="1:11" ht="20.100000000000001" customHeight="1">
      <c r="A81" s="117">
        <v>18</v>
      </c>
      <c r="B81" s="118" t="s">
        <v>171</v>
      </c>
      <c r="C81" s="118" t="s">
        <v>172</v>
      </c>
      <c r="D81" s="25"/>
      <c r="E81" s="25"/>
      <c r="F81" s="25"/>
      <c r="G81" s="25"/>
      <c r="H81" s="25"/>
      <c r="I81" s="25"/>
      <c r="J81" s="25"/>
      <c r="K81" s="25"/>
    </row>
    <row r="82" spans="1:11" ht="20.100000000000001" customHeight="1">
      <c r="A82" s="120">
        <v>19</v>
      </c>
      <c r="B82" s="121" t="s">
        <v>173</v>
      </c>
      <c r="C82" s="121" t="s">
        <v>174</v>
      </c>
      <c r="D82" s="20"/>
      <c r="E82" s="20"/>
      <c r="F82" s="20"/>
      <c r="G82" s="20"/>
      <c r="H82" s="20"/>
      <c r="I82" s="20"/>
      <c r="J82" s="20"/>
      <c r="K82" s="20"/>
    </row>
    <row r="83" spans="1:11" ht="20.100000000000001" customHeight="1">
      <c r="A83" s="117">
        <v>20</v>
      </c>
      <c r="B83" s="118" t="s">
        <v>175</v>
      </c>
      <c r="C83" s="118" t="s">
        <v>176</v>
      </c>
      <c r="D83" s="25"/>
      <c r="E83" s="25"/>
      <c r="F83" s="25"/>
      <c r="G83" s="25"/>
      <c r="H83" s="25"/>
      <c r="I83" s="25"/>
      <c r="J83" s="25"/>
      <c r="K83" s="25"/>
    </row>
    <row r="84" spans="1:11" ht="20.100000000000001" customHeight="1">
      <c r="A84" s="120">
        <v>21</v>
      </c>
      <c r="B84" s="121" t="s">
        <v>177</v>
      </c>
      <c r="C84" s="121" t="s">
        <v>178</v>
      </c>
      <c r="D84" s="20"/>
      <c r="E84" s="20"/>
      <c r="F84" s="20"/>
      <c r="G84" s="20"/>
      <c r="H84" s="20"/>
      <c r="I84" s="20"/>
      <c r="J84" s="20"/>
      <c r="K84" s="20"/>
    </row>
    <row r="85" spans="1:11" ht="20.100000000000001" customHeight="1">
      <c r="A85" s="117">
        <v>22</v>
      </c>
      <c r="B85" s="118" t="s">
        <v>179</v>
      </c>
      <c r="C85" s="118" t="s">
        <v>180</v>
      </c>
      <c r="D85" s="25"/>
      <c r="E85" s="25"/>
      <c r="F85" s="25"/>
      <c r="G85" s="25"/>
      <c r="H85" s="25"/>
      <c r="I85" s="25"/>
      <c r="J85" s="25"/>
      <c r="K85" s="25"/>
    </row>
    <row r="86" spans="1:11" ht="20.100000000000001" customHeight="1">
      <c r="A86" s="120"/>
      <c r="B86" s="123" t="s">
        <v>181</v>
      </c>
      <c r="C86" s="121"/>
      <c r="D86" s="20"/>
      <c r="E86" s="20"/>
      <c r="F86" s="20"/>
      <c r="G86" s="20"/>
      <c r="H86" s="20"/>
      <c r="I86" s="20"/>
      <c r="J86" s="20"/>
      <c r="K86" s="20"/>
    </row>
    <row r="87" spans="1:11" ht="20.100000000000001" customHeight="1" outlineLevel="1">
      <c r="A87" s="76"/>
      <c r="B87" s="25"/>
      <c r="C87" s="25"/>
      <c r="D87" s="25"/>
      <c r="E87" s="25"/>
      <c r="F87" s="25"/>
      <c r="G87" s="25"/>
      <c r="H87" s="25"/>
      <c r="I87" s="25"/>
      <c r="J87" s="25"/>
      <c r="K87" s="25"/>
    </row>
    <row r="88" spans="1:11" ht="20.100000000000001" customHeight="1" outlineLevel="1">
      <c r="A88" s="75"/>
      <c r="B88" s="20"/>
      <c r="C88" s="20"/>
      <c r="D88" s="20"/>
      <c r="E88" s="20"/>
      <c r="F88" s="20"/>
      <c r="G88" s="20"/>
      <c r="H88" s="20"/>
      <c r="I88" s="20"/>
      <c r="J88" s="20"/>
      <c r="K88" s="20"/>
    </row>
    <row r="89" spans="1:11" ht="20.100000000000001" customHeight="1" outlineLevel="1">
      <c r="A89" s="76"/>
      <c r="B89" s="25"/>
      <c r="C89" s="25"/>
      <c r="D89" s="25"/>
      <c r="E89" s="25"/>
      <c r="F89" s="25"/>
      <c r="G89" s="25"/>
      <c r="H89" s="25"/>
      <c r="I89" s="25"/>
      <c r="J89" s="25"/>
      <c r="K89" s="25"/>
    </row>
    <row r="90" spans="1:11" ht="20.100000000000001" customHeight="1" outlineLevel="1">
      <c r="A90" s="75"/>
      <c r="B90" s="20"/>
      <c r="C90" s="20"/>
      <c r="D90" s="20"/>
      <c r="E90" s="20"/>
      <c r="F90" s="20"/>
      <c r="G90" s="20"/>
      <c r="H90" s="20"/>
      <c r="I90" s="20"/>
      <c r="J90" s="20"/>
      <c r="K90" s="20"/>
    </row>
    <row r="91" spans="1:11" ht="20.100000000000001" customHeight="1" outlineLevel="1">
      <c r="A91" s="76"/>
      <c r="B91" s="25"/>
      <c r="C91" s="25"/>
      <c r="D91" s="25"/>
      <c r="E91" s="25"/>
      <c r="F91" s="25"/>
      <c r="G91" s="25"/>
      <c r="H91" s="25"/>
      <c r="I91" s="25"/>
      <c r="J91" s="25"/>
      <c r="K91" s="25"/>
    </row>
    <row r="92" spans="1:11" ht="20.100000000000001" customHeight="1" outlineLevel="1">
      <c r="A92" s="75"/>
      <c r="B92" s="20"/>
      <c r="C92" s="20"/>
      <c r="D92" s="20"/>
      <c r="E92" s="20"/>
      <c r="F92" s="20"/>
      <c r="G92" s="20"/>
      <c r="H92" s="20"/>
      <c r="I92" s="20"/>
      <c r="J92" s="20"/>
      <c r="K92" s="20"/>
    </row>
    <row r="93" spans="1:11" ht="20.100000000000001" customHeight="1" outlineLevel="1">
      <c r="A93" s="76"/>
      <c r="B93" s="25"/>
      <c r="C93" s="25"/>
      <c r="D93" s="25"/>
      <c r="E93" s="25"/>
      <c r="F93" s="25"/>
      <c r="G93" s="25"/>
      <c r="H93" s="25"/>
      <c r="I93" s="25"/>
      <c r="J93" s="25"/>
      <c r="K93" s="25"/>
    </row>
    <row r="94" spans="1:11" ht="20.100000000000001" customHeight="1" outlineLevel="1">
      <c r="A94" s="75"/>
      <c r="B94" s="20"/>
      <c r="C94" s="20"/>
      <c r="D94" s="20"/>
      <c r="E94" s="20"/>
      <c r="F94" s="20"/>
      <c r="G94" s="20"/>
      <c r="H94" s="20"/>
      <c r="I94" s="20"/>
      <c r="J94" s="20"/>
      <c r="K94" s="20"/>
    </row>
    <row r="95" spans="1:11" ht="20.100000000000001" customHeight="1" outlineLevel="1">
      <c r="A95" s="76"/>
      <c r="B95" s="25"/>
      <c r="C95" s="25"/>
      <c r="D95" s="25"/>
      <c r="E95" s="25"/>
      <c r="F95" s="25"/>
      <c r="G95" s="25"/>
      <c r="H95" s="25"/>
      <c r="I95" s="25"/>
      <c r="J95" s="25"/>
      <c r="K95" s="25"/>
    </row>
    <row r="96" spans="1:11" ht="20.100000000000001" customHeight="1" outlineLevel="1">
      <c r="A96" s="75"/>
      <c r="B96" s="20"/>
      <c r="C96" s="20"/>
      <c r="D96" s="20"/>
      <c r="E96" s="20"/>
      <c r="F96" s="20"/>
      <c r="G96" s="20"/>
      <c r="H96" s="20"/>
      <c r="I96" s="20"/>
      <c r="J96" s="20"/>
      <c r="K96" s="20"/>
    </row>
    <row r="97" spans="1:11" ht="20.100000000000001" customHeight="1" outlineLevel="1">
      <c r="A97" s="76"/>
      <c r="B97" s="25"/>
      <c r="C97" s="25"/>
      <c r="D97" s="25"/>
      <c r="E97" s="25"/>
      <c r="F97" s="25"/>
      <c r="G97" s="25"/>
      <c r="H97" s="25"/>
      <c r="I97" s="25"/>
      <c r="J97" s="25"/>
      <c r="K97" s="25"/>
    </row>
    <row r="98" spans="1:11" ht="20.100000000000001" customHeight="1" outlineLevel="1">
      <c r="A98" s="75"/>
      <c r="B98" s="20"/>
      <c r="C98" s="20"/>
      <c r="D98" s="20"/>
      <c r="E98" s="20"/>
      <c r="F98" s="20"/>
      <c r="G98" s="20"/>
      <c r="H98" s="20"/>
      <c r="I98" s="20"/>
      <c r="J98" s="20"/>
      <c r="K98" s="20"/>
    </row>
    <row r="99" spans="1:11" ht="20.100000000000001" customHeight="1" outlineLevel="1">
      <c r="A99" s="76"/>
      <c r="B99" s="25"/>
      <c r="C99" s="25"/>
      <c r="D99" s="25"/>
      <c r="E99" s="25"/>
      <c r="F99" s="25"/>
      <c r="G99" s="25"/>
      <c r="H99" s="25"/>
      <c r="I99" s="25"/>
      <c r="J99" s="25"/>
      <c r="K99" s="25"/>
    </row>
    <row r="100" spans="1:11" ht="20.100000000000001" customHeight="1" outlineLevel="1">
      <c r="A100" s="75"/>
      <c r="B100" s="20"/>
      <c r="C100" s="20"/>
      <c r="D100" s="20"/>
      <c r="E100" s="20"/>
      <c r="F100" s="20"/>
      <c r="G100" s="20"/>
      <c r="H100" s="20"/>
      <c r="I100" s="20"/>
      <c r="J100" s="20"/>
      <c r="K100" s="20"/>
    </row>
    <row r="101" spans="1:11" ht="20.100000000000001" customHeight="1" outlineLevel="1">
      <c r="A101" s="76"/>
      <c r="B101" s="25"/>
      <c r="C101" s="25"/>
      <c r="D101" s="25"/>
      <c r="E101" s="25"/>
      <c r="F101" s="25"/>
      <c r="G101" s="25"/>
      <c r="H101" s="25"/>
      <c r="I101" s="25"/>
      <c r="J101" s="25"/>
      <c r="K101" s="25"/>
    </row>
    <row r="102" spans="1:11" ht="20.100000000000001" customHeight="1" outlineLevel="1">
      <c r="A102" s="75"/>
      <c r="B102" s="20"/>
      <c r="C102" s="20"/>
      <c r="D102" s="20"/>
      <c r="E102" s="20"/>
      <c r="F102" s="20"/>
      <c r="G102" s="20"/>
      <c r="H102" s="20"/>
      <c r="I102" s="20"/>
      <c r="J102" s="20"/>
      <c r="K102" s="20"/>
    </row>
    <row r="103" spans="1:11" ht="20.100000000000001" customHeight="1" outlineLevel="1">
      <c r="A103" s="76"/>
      <c r="B103" s="25"/>
      <c r="C103" s="25"/>
      <c r="D103" s="25"/>
      <c r="E103" s="25"/>
      <c r="F103" s="25"/>
      <c r="G103" s="25"/>
      <c r="H103" s="25"/>
      <c r="I103" s="25"/>
      <c r="J103" s="25"/>
      <c r="K103" s="25"/>
    </row>
    <row r="104" spans="1:11" ht="20.100000000000001" customHeight="1" outlineLevel="1">
      <c r="A104" s="75"/>
      <c r="B104" s="20"/>
      <c r="C104" s="20"/>
      <c r="D104" s="20"/>
      <c r="E104" s="20"/>
      <c r="F104" s="20"/>
      <c r="G104" s="20"/>
      <c r="H104" s="20"/>
      <c r="I104" s="20"/>
      <c r="J104" s="20"/>
      <c r="K104" s="20"/>
    </row>
    <row r="105" spans="1:11" ht="20.100000000000001" customHeight="1" outlineLevel="1">
      <c r="A105" s="76"/>
      <c r="B105" s="25"/>
      <c r="C105" s="25"/>
      <c r="D105" s="25"/>
      <c r="E105" s="25"/>
      <c r="F105" s="25"/>
      <c r="G105" s="25"/>
      <c r="H105" s="25"/>
      <c r="I105" s="25"/>
      <c r="J105" s="25"/>
      <c r="K105" s="25"/>
    </row>
    <row r="106" spans="1:11" ht="20.100000000000001" customHeight="1" outlineLevel="1">
      <c r="A106" s="75"/>
      <c r="B106" s="20"/>
      <c r="C106" s="20"/>
      <c r="D106" s="20"/>
      <c r="E106" s="20"/>
      <c r="F106" s="20"/>
      <c r="G106" s="20"/>
      <c r="H106" s="20"/>
      <c r="I106" s="20"/>
      <c r="J106" s="20"/>
      <c r="K106" s="20"/>
    </row>
    <row r="107" spans="1:11" ht="20.100000000000001" customHeight="1" outlineLevel="1">
      <c r="A107" s="76"/>
      <c r="B107" s="25"/>
      <c r="C107" s="25"/>
      <c r="D107" s="25"/>
      <c r="E107" s="25"/>
      <c r="F107" s="25"/>
      <c r="G107" s="25"/>
      <c r="H107" s="25"/>
      <c r="I107" s="25"/>
      <c r="J107" s="25"/>
      <c r="K107" s="25"/>
    </row>
    <row r="108" spans="1:11" ht="20.100000000000001" customHeight="1" outlineLevel="1">
      <c r="A108" s="75"/>
      <c r="B108" s="20"/>
      <c r="C108" s="20"/>
      <c r="D108" s="20"/>
      <c r="E108" s="20"/>
      <c r="F108" s="20"/>
      <c r="G108" s="20"/>
      <c r="H108" s="20"/>
      <c r="I108" s="20"/>
      <c r="J108" s="20"/>
      <c r="K108" s="20"/>
    </row>
    <row r="109" spans="1:11" ht="20.100000000000001" customHeight="1" outlineLevel="1">
      <c r="A109" s="76"/>
      <c r="B109" s="25"/>
      <c r="C109" s="25"/>
      <c r="D109" s="25"/>
      <c r="E109" s="25"/>
      <c r="F109" s="25"/>
      <c r="G109" s="25"/>
      <c r="H109" s="25"/>
      <c r="I109" s="25"/>
      <c r="J109" s="25"/>
      <c r="K109" s="25"/>
    </row>
    <row r="110" spans="1:11" ht="20.100000000000001" customHeight="1" outlineLevel="1">
      <c r="A110" s="75"/>
      <c r="B110" s="20"/>
      <c r="C110" s="20"/>
      <c r="D110" s="20"/>
      <c r="E110" s="20"/>
      <c r="F110" s="20"/>
      <c r="G110" s="20"/>
      <c r="H110" s="20"/>
      <c r="I110" s="20"/>
      <c r="J110" s="20"/>
      <c r="K110" s="20"/>
    </row>
    <row r="111" spans="1:11" ht="20.100000000000001" customHeight="1" outlineLevel="1">
      <c r="A111" s="76"/>
      <c r="B111" s="25"/>
      <c r="C111" s="25"/>
      <c r="D111" s="25"/>
      <c r="E111" s="25"/>
      <c r="F111" s="25"/>
      <c r="G111" s="25"/>
      <c r="H111" s="25"/>
      <c r="I111" s="25"/>
      <c r="J111" s="25"/>
      <c r="K111" s="25"/>
    </row>
    <row r="112" spans="1:11" ht="20.100000000000001" customHeight="1" outlineLevel="1">
      <c r="A112" s="75"/>
      <c r="B112" s="20"/>
      <c r="C112" s="20"/>
      <c r="D112" s="20"/>
      <c r="E112" s="20"/>
      <c r="F112" s="20"/>
      <c r="G112" s="20"/>
      <c r="H112" s="20"/>
      <c r="I112" s="20"/>
      <c r="J112" s="20"/>
      <c r="K112" s="20"/>
    </row>
    <row r="113" spans="1:11" ht="20.100000000000001" customHeight="1" outlineLevel="1">
      <c r="A113" s="76"/>
      <c r="B113" s="25"/>
      <c r="C113" s="25"/>
      <c r="D113" s="25"/>
      <c r="E113" s="25"/>
      <c r="F113" s="25"/>
      <c r="G113" s="25"/>
      <c r="H113" s="25"/>
      <c r="I113" s="25"/>
      <c r="J113" s="25"/>
      <c r="K113" s="25"/>
    </row>
    <row r="114" spans="1:11" ht="20.100000000000001" customHeight="1" outlineLevel="1">
      <c r="A114" s="75"/>
      <c r="B114" s="20"/>
      <c r="C114" s="20"/>
      <c r="D114" s="20"/>
      <c r="E114" s="20"/>
      <c r="F114" s="20"/>
      <c r="G114" s="20"/>
      <c r="H114" s="20"/>
      <c r="I114" s="20"/>
      <c r="J114" s="20"/>
      <c r="K114" s="20"/>
    </row>
    <row r="115" spans="1:11" ht="20.100000000000001" customHeight="1" outlineLevel="1">
      <c r="A115" s="76"/>
      <c r="B115" s="25"/>
      <c r="C115" s="25"/>
      <c r="D115" s="25"/>
      <c r="E115" s="25"/>
      <c r="F115" s="25"/>
      <c r="G115" s="25"/>
      <c r="H115" s="25"/>
      <c r="I115" s="25"/>
      <c r="J115" s="25"/>
      <c r="K115" s="25"/>
    </row>
    <row r="116" spans="1:11" ht="20.100000000000001" customHeight="1" outlineLevel="1">
      <c r="A116" s="75"/>
      <c r="B116" s="20"/>
      <c r="C116" s="20"/>
      <c r="D116" s="20"/>
      <c r="E116" s="20"/>
      <c r="F116" s="20"/>
      <c r="G116" s="20"/>
      <c r="H116" s="20"/>
      <c r="I116" s="20"/>
      <c r="J116" s="20"/>
      <c r="K116" s="20"/>
    </row>
    <row r="117" spans="1:11" ht="20.100000000000001" customHeight="1" outlineLevel="1">
      <c r="A117" s="76"/>
      <c r="B117" s="25"/>
      <c r="C117" s="25"/>
      <c r="D117" s="25"/>
      <c r="E117" s="25"/>
      <c r="F117" s="25"/>
      <c r="G117" s="25"/>
      <c r="H117" s="25"/>
      <c r="I117" s="25"/>
      <c r="J117" s="25"/>
      <c r="K117" s="25"/>
    </row>
    <row r="118" spans="1:11" ht="20.100000000000001" customHeight="1" outlineLevel="1">
      <c r="A118" s="75"/>
      <c r="B118" s="20"/>
      <c r="C118" s="20"/>
      <c r="D118" s="20"/>
      <c r="E118" s="20"/>
      <c r="F118" s="20"/>
      <c r="G118" s="20"/>
      <c r="H118" s="20"/>
      <c r="I118" s="20"/>
      <c r="J118" s="20"/>
      <c r="K118" s="20"/>
    </row>
    <row r="119" spans="1:11" ht="20.100000000000001" customHeight="1" outlineLevel="1">
      <c r="A119" s="76"/>
      <c r="B119" s="25"/>
      <c r="C119" s="25"/>
      <c r="D119" s="25"/>
      <c r="E119" s="25"/>
      <c r="F119" s="25"/>
      <c r="G119" s="25"/>
      <c r="H119" s="25"/>
      <c r="I119" s="25"/>
      <c r="J119" s="25"/>
      <c r="K119" s="25"/>
    </row>
    <row r="120" spans="1:11" ht="20.100000000000001" customHeight="1" outlineLevel="1">
      <c r="A120" s="75"/>
      <c r="B120" s="20"/>
      <c r="C120" s="20"/>
      <c r="D120" s="20"/>
      <c r="E120" s="20"/>
      <c r="F120" s="20"/>
      <c r="G120" s="20"/>
      <c r="H120" s="20"/>
      <c r="I120" s="20"/>
      <c r="J120" s="20"/>
      <c r="K120" s="20"/>
    </row>
    <row r="121" spans="1:11" ht="20.100000000000001" customHeight="1" outlineLevel="1">
      <c r="A121" s="76"/>
      <c r="B121" s="25"/>
      <c r="C121" s="25"/>
      <c r="D121" s="25"/>
      <c r="E121" s="25"/>
      <c r="F121" s="25"/>
      <c r="G121" s="25"/>
      <c r="H121" s="25"/>
      <c r="I121" s="25"/>
      <c r="J121" s="25"/>
      <c r="K121" s="25"/>
    </row>
    <row r="122" spans="1:11" ht="20.100000000000001" customHeight="1" outlineLevel="1">
      <c r="A122" s="75"/>
      <c r="B122" s="20"/>
      <c r="C122" s="20"/>
      <c r="D122" s="20"/>
      <c r="E122" s="20"/>
      <c r="F122" s="20"/>
      <c r="G122" s="20"/>
      <c r="H122" s="20"/>
      <c r="I122" s="20"/>
      <c r="J122" s="20"/>
      <c r="K122" s="20"/>
    </row>
    <row r="123" spans="1:11" ht="20.100000000000001" customHeight="1" outlineLevel="1">
      <c r="A123" s="76"/>
      <c r="B123" s="25"/>
      <c r="C123" s="25"/>
      <c r="D123" s="25"/>
      <c r="E123" s="25"/>
      <c r="F123" s="25"/>
      <c r="G123" s="25"/>
      <c r="H123" s="25"/>
      <c r="I123" s="25"/>
      <c r="J123" s="25"/>
      <c r="K123" s="25"/>
    </row>
    <row r="124" spans="1:11" ht="20.100000000000001" customHeight="1" outlineLevel="1">
      <c r="A124" s="75"/>
      <c r="B124" s="20"/>
      <c r="C124" s="20"/>
      <c r="D124" s="20"/>
      <c r="E124" s="20"/>
      <c r="F124" s="20"/>
      <c r="G124" s="20"/>
      <c r="H124" s="20"/>
      <c r="I124" s="20"/>
      <c r="J124" s="20"/>
      <c r="K124" s="20"/>
    </row>
    <row r="125" spans="1:11" ht="20.100000000000001" customHeight="1" outlineLevel="1">
      <c r="A125" s="76"/>
      <c r="B125" s="25"/>
      <c r="C125" s="25"/>
      <c r="D125" s="25"/>
      <c r="E125" s="25"/>
      <c r="F125" s="25"/>
      <c r="G125" s="25"/>
      <c r="H125" s="25"/>
      <c r="I125" s="25"/>
      <c r="J125" s="25"/>
      <c r="K125" s="25"/>
    </row>
    <row r="126" spans="1:11" ht="20.100000000000001" customHeight="1" outlineLevel="1">
      <c r="A126" s="75"/>
      <c r="B126" s="20"/>
      <c r="C126" s="20"/>
      <c r="D126" s="20"/>
      <c r="E126" s="20"/>
      <c r="F126" s="20"/>
      <c r="G126" s="20"/>
      <c r="H126" s="20"/>
      <c r="I126" s="20"/>
      <c r="J126" s="20"/>
      <c r="K126" s="20"/>
    </row>
    <row r="127" spans="1:11" ht="20.100000000000001" customHeight="1" outlineLevel="1">
      <c r="A127" s="117"/>
      <c r="B127" s="118"/>
      <c r="C127" s="118"/>
      <c r="D127" s="25"/>
      <c r="E127" s="25"/>
      <c r="F127" s="25"/>
      <c r="G127" s="25"/>
      <c r="H127" s="25"/>
      <c r="I127" s="25"/>
      <c r="J127" s="25"/>
      <c r="K127" s="25"/>
    </row>
    <row r="128" spans="1:11" ht="20.100000000000001" customHeight="1">
      <c r="A128" s="120" t="s">
        <v>182</v>
      </c>
      <c r="B128" s="123" t="s">
        <v>183</v>
      </c>
      <c r="C128" s="123" t="s">
        <v>184</v>
      </c>
      <c r="D128" s="20"/>
      <c r="E128" s="20"/>
      <c r="F128" s="20"/>
      <c r="G128" s="20"/>
      <c r="H128" s="20"/>
      <c r="I128" s="20"/>
      <c r="J128" s="20"/>
      <c r="K128" s="20"/>
    </row>
    <row r="129" spans="1:11" ht="20.100000000000001" customHeight="1">
      <c r="A129" s="117" t="s">
        <v>185</v>
      </c>
      <c r="B129" s="124" t="s">
        <v>186</v>
      </c>
      <c r="C129" s="124" t="s">
        <v>187</v>
      </c>
      <c r="D129" s="25"/>
      <c r="E129" s="25"/>
      <c r="F129" s="25"/>
      <c r="G129" s="25"/>
      <c r="H129" s="25"/>
      <c r="I129" s="25"/>
      <c r="J129" s="25"/>
      <c r="K129" s="25"/>
    </row>
    <row r="130" spans="1:11" ht="20.100000000000001" customHeight="1">
      <c r="A130" s="120">
        <v>1</v>
      </c>
      <c r="B130" s="121" t="s">
        <v>188</v>
      </c>
      <c r="C130" s="121" t="s">
        <v>189</v>
      </c>
      <c r="D130" s="20"/>
      <c r="E130" s="20"/>
      <c r="F130" s="20"/>
      <c r="G130" s="20"/>
      <c r="H130" s="20"/>
      <c r="I130" s="20"/>
      <c r="J130" s="20"/>
      <c r="K130" s="20"/>
    </row>
    <row r="131" spans="1:11" ht="20.100000000000001" customHeight="1">
      <c r="A131" s="117">
        <v>2</v>
      </c>
      <c r="B131" s="118" t="s">
        <v>190</v>
      </c>
      <c r="C131" s="118" t="s">
        <v>189</v>
      </c>
      <c r="D131" s="25"/>
      <c r="E131" s="25"/>
      <c r="F131" s="25"/>
      <c r="G131" s="25"/>
      <c r="H131" s="25"/>
      <c r="I131" s="25"/>
      <c r="J131" s="25"/>
      <c r="K131" s="25"/>
    </row>
    <row r="132" spans="1:11" ht="20.100000000000001" customHeight="1">
      <c r="A132" s="120">
        <v>3</v>
      </c>
      <c r="B132" s="121" t="s">
        <v>191</v>
      </c>
      <c r="C132" s="121" t="s">
        <v>189</v>
      </c>
      <c r="D132" s="20"/>
      <c r="E132" s="20"/>
      <c r="F132" s="20"/>
      <c r="G132" s="20"/>
      <c r="H132" s="20"/>
      <c r="I132" s="20"/>
      <c r="J132" s="20"/>
      <c r="K132" s="20"/>
    </row>
    <row r="133" spans="1:11" ht="20.100000000000001" customHeight="1">
      <c r="A133" s="117">
        <v>4</v>
      </c>
      <c r="B133" s="118" t="s">
        <v>192</v>
      </c>
      <c r="C133" s="118" t="s">
        <v>189</v>
      </c>
      <c r="D133" s="25"/>
      <c r="E133" s="25"/>
      <c r="F133" s="25"/>
      <c r="G133" s="25"/>
      <c r="H133" s="25"/>
      <c r="I133" s="25"/>
      <c r="J133" s="25"/>
      <c r="K133" s="25"/>
    </row>
    <row r="134" spans="1:11" ht="20.100000000000001" customHeight="1">
      <c r="A134" s="120">
        <v>5</v>
      </c>
      <c r="B134" s="121" t="s">
        <v>193</v>
      </c>
      <c r="C134" s="121" t="s">
        <v>189</v>
      </c>
      <c r="D134" s="20"/>
      <c r="E134" s="20"/>
      <c r="F134" s="20"/>
      <c r="G134" s="20"/>
      <c r="H134" s="20"/>
      <c r="I134" s="20"/>
      <c r="J134" s="20"/>
      <c r="K134" s="20"/>
    </row>
    <row r="135" spans="1:11" ht="20.100000000000001" customHeight="1">
      <c r="A135" s="117">
        <v>6</v>
      </c>
      <c r="B135" s="118" t="s">
        <v>194</v>
      </c>
      <c r="C135" s="118" t="s">
        <v>189</v>
      </c>
      <c r="D135" s="25"/>
      <c r="E135" s="25"/>
      <c r="F135" s="25"/>
      <c r="G135" s="25"/>
      <c r="H135" s="25"/>
      <c r="I135" s="25"/>
      <c r="J135" s="25"/>
      <c r="K135" s="25"/>
    </row>
    <row r="136" spans="1:11" ht="20.100000000000001" customHeight="1">
      <c r="A136" s="120">
        <v>7</v>
      </c>
      <c r="B136" s="121" t="s">
        <v>195</v>
      </c>
      <c r="C136" s="121" t="s">
        <v>189</v>
      </c>
      <c r="D136" s="20"/>
      <c r="E136" s="20"/>
      <c r="F136" s="20"/>
      <c r="G136" s="20"/>
      <c r="H136" s="20"/>
      <c r="I136" s="20"/>
      <c r="J136" s="20"/>
      <c r="K136" s="20"/>
    </row>
    <row r="137" spans="1:11" ht="20.100000000000001" customHeight="1">
      <c r="A137" s="117">
        <v>8</v>
      </c>
      <c r="B137" s="118" t="s">
        <v>196</v>
      </c>
      <c r="C137" s="118" t="s">
        <v>189</v>
      </c>
      <c r="D137" s="25"/>
      <c r="E137" s="25"/>
      <c r="F137" s="25"/>
      <c r="G137" s="25"/>
      <c r="H137" s="25"/>
      <c r="I137" s="25"/>
      <c r="J137" s="25"/>
      <c r="K137" s="25"/>
    </row>
    <row r="138" spans="1:11" ht="20.100000000000001" customHeight="1">
      <c r="A138" s="120">
        <v>9</v>
      </c>
      <c r="B138" s="121" t="s">
        <v>197</v>
      </c>
      <c r="C138" s="121" t="s">
        <v>189</v>
      </c>
      <c r="D138" s="20"/>
      <c r="E138" s="20"/>
      <c r="F138" s="20"/>
      <c r="G138" s="20"/>
      <c r="H138" s="20"/>
      <c r="I138" s="20"/>
      <c r="J138" s="20"/>
      <c r="K138" s="20"/>
    </row>
    <row r="139" spans="1:11" ht="20.100000000000001" customHeight="1">
      <c r="A139" s="117">
        <v>10</v>
      </c>
      <c r="B139" s="118" t="s">
        <v>198</v>
      </c>
      <c r="C139" s="118" t="s">
        <v>189</v>
      </c>
      <c r="D139" s="25"/>
      <c r="E139" s="25"/>
      <c r="F139" s="25"/>
      <c r="G139" s="25"/>
      <c r="H139" s="25"/>
      <c r="I139" s="25"/>
      <c r="J139" s="25"/>
      <c r="K139" s="25"/>
    </row>
    <row r="140" spans="1:11" ht="20.100000000000001" customHeight="1">
      <c r="A140" s="120">
        <v>11</v>
      </c>
      <c r="B140" s="121" t="s">
        <v>199</v>
      </c>
      <c r="C140" s="121" t="s">
        <v>189</v>
      </c>
      <c r="D140" s="20"/>
      <c r="E140" s="20"/>
      <c r="F140" s="20"/>
      <c r="G140" s="20"/>
      <c r="H140" s="20"/>
      <c r="I140" s="20"/>
      <c r="J140" s="20"/>
      <c r="K140" s="20"/>
    </row>
    <row r="141" spans="1:11" ht="20.100000000000001" customHeight="1">
      <c r="A141" s="117">
        <v>12</v>
      </c>
      <c r="B141" s="118" t="s">
        <v>200</v>
      </c>
      <c r="C141" s="118" t="s">
        <v>189</v>
      </c>
      <c r="D141" s="25"/>
      <c r="E141" s="25"/>
      <c r="F141" s="25"/>
      <c r="G141" s="25"/>
      <c r="H141" s="25"/>
      <c r="I141" s="25"/>
      <c r="J141" s="25"/>
      <c r="K141" s="25"/>
    </row>
    <row r="142" spans="1:11" ht="20.100000000000001" customHeight="1">
      <c r="A142" s="120"/>
      <c r="B142" s="121" t="s">
        <v>201</v>
      </c>
      <c r="C142" s="121" t="s">
        <v>202</v>
      </c>
      <c r="D142" s="20"/>
      <c r="E142" s="20"/>
      <c r="F142" s="20"/>
      <c r="G142" s="20"/>
      <c r="H142" s="20"/>
      <c r="I142" s="20"/>
      <c r="J142" s="20"/>
      <c r="K142" s="20"/>
    </row>
    <row r="143" spans="1:11" ht="20.100000000000001" customHeight="1">
      <c r="A143" s="117"/>
      <c r="B143" s="118" t="s">
        <v>203</v>
      </c>
      <c r="C143" s="118"/>
      <c r="D143" s="25"/>
      <c r="E143" s="25"/>
      <c r="F143" s="25"/>
      <c r="G143" s="25"/>
      <c r="H143" s="25"/>
      <c r="I143" s="25"/>
      <c r="J143" s="25"/>
      <c r="K143" s="25"/>
    </row>
    <row r="144" spans="1:11" ht="20.100000000000001" customHeight="1" outlineLevel="1">
      <c r="A144" s="120"/>
      <c r="B144" s="121"/>
      <c r="C144" s="121"/>
      <c r="D144" s="20"/>
      <c r="E144" s="20"/>
      <c r="F144" s="20"/>
      <c r="G144" s="20"/>
      <c r="H144" s="20"/>
      <c r="I144" s="20"/>
      <c r="J144" s="20"/>
      <c r="K144" s="20"/>
    </row>
    <row r="145" spans="1:11" ht="20.100000000000001" customHeight="1" outlineLevel="1">
      <c r="A145" s="117" t="s">
        <v>204</v>
      </c>
      <c r="B145" s="118" t="s">
        <v>205</v>
      </c>
      <c r="C145" s="118"/>
      <c r="D145" s="25"/>
      <c r="E145" s="25"/>
      <c r="F145" s="25"/>
      <c r="G145" s="25"/>
      <c r="H145" s="25"/>
      <c r="I145" s="25"/>
      <c r="J145" s="25"/>
      <c r="K145" s="25"/>
    </row>
    <row r="146" spans="1:11" ht="20.100000000000001" customHeight="1" outlineLevel="1">
      <c r="A146" s="120"/>
      <c r="B146" s="121"/>
      <c r="C146" s="121"/>
      <c r="D146" s="20"/>
      <c r="E146" s="20"/>
      <c r="F146" s="20"/>
      <c r="G146" s="20"/>
      <c r="H146" s="20"/>
      <c r="I146" s="20"/>
      <c r="J146" s="20"/>
      <c r="K146" s="20"/>
    </row>
    <row r="147" spans="1:11" ht="20.100000000000001" customHeight="1">
      <c r="A147" s="117" t="s">
        <v>206</v>
      </c>
      <c r="B147" s="124" t="s">
        <v>207</v>
      </c>
      <c r="C147" s="124" t="s">
        <v>187</v>
      </c>
      <c r="D147" s="25"/>
      <c r="E147" s="25"/>
      <c r="F147" s="25"/>
      <c r="G147" s="25"/>
      <c r="H147" s="25"/>
      <c r="I147" s="25"/>
      <c r="J147" s="25"/>
      <c r="K147" s="25"/>
    </row>
    <row r="148" spans="1:11" ht="20.100000000000001" customHeight="1">
      <c r="A148" s="120" t="s">
        <v>208</v>
      </c>
      <c r="B148" s="121" t="s">
        <v>209</v>
      </c>
      <c r="C148" s="121" t="s">
        <v>210</v>
      </c>
      <c r="D148" s="20"/>
      <c r="E148" s="20"/>
      <c r="F148" s="20"/>
      <c r="G148" s="20"/>
      <c r="H148" s="20"/>
      <c r="I148" s="20"/>
      <c r="J148" s="20"/>
      <c r="K148" s="20"/>
    </row>
    <row r="149" spans="1:11" ht="20.100000000000001" customHeight="1">
      <c r="A149" s="117" t="s">
        <v>211</v>
      </c>
      <c r="B149" s="118" t="s">
        <v>212</v>
      </c>
      <c r="C149" s="118" t="s">
        <v>213</v>
      </c>
      <c r="D149" s="25"/>
      <c r="E149" s="25"/>
      <c r="F149" s="25"/>
      <c r="G149" s="25"/>
      <c r="H149" s="25"/>
      <c r="I149" s="25"/>
      <c r="J149" s="25"/>
      <c r="K149" s="25"/>
    </row>
    <row r="150" spans="1:11" ht="20.100000000000001" customHeight="1">
      <c r="A150" s="120" t="s">
        <v>214</v>
      </c>
      <c r="B150" s="121" t="s">
        <v>215</v>
      </c>
      <c r="C150" s="121" t="s">
        <v>216</v>
      </c>
      <c r="D150" s="20"/>
      <c r="E150" s="20"/>
      <c r="F150" s="20"/>
      <c r="G150" s="20"/>
      <c r="H150" s="20"/>
      <c r="I150" s="20"/>
      <c r="J150" s="20"/>
      <c r="K150" s="20"/>
    </row>
    <row r="151" spans="1:11" ht="20.100000000000001" customHeight="1">
      <c r="A151" s="117" t="s">
        <v>217</v>
      </c>
      <c r="B151" s="118" t="s">
        <v>218</v>
      </c>
      <c r="C151" s="118" t="s">
        <v>219</v>
      </c>
      <c r="D151" s="25"/>
      <c r="E151" s="25"/>
      <c r="F151" s="25"/>
      <c r="G151" s="25"/>
      <c r="H151" s="25"/>
      <c r="I151" s="25"/>
      <c r="J151" s="25"/>
      <c r="K151" s="25"/>
    </row>
    <row r="152" spans="1:11" ht="20.100000000000001" customHeight="1" outlineLevel="1">
      <c r="A152" s="120"/>
      <c r="B152" s="121"/>
      <c r="C152" s="121"/>
      <c r="D152" s="20"/>
      <c r="E152" s="20"/>
      <c r="F152" s="20"/>
      <c r="G152" s="20"/>
      <c r="H152" s="20"/>
      <c r="I152" s="20"/>
      <c r="J152" s="20"/>
      <c r="K152" s="20"/>
    </row>
    <row r="153" spans="1:11" ht="20.100000000000001" customHeight="1">
      <c r="A153" s="117" t="s">
        <v>220</v>
      </c>
      <c r="B153" s="118"/>
      <c r="C153" s="126" t="s">
        <v>221</v>
      </c>
      <c r="D153" s="25"/>
      <c r="E153" s="25"/>
      <c r="F153" s="25"/>
      <c r="G153" s="25"/>
      <c r="H153" s="25"/>
      <c r="I153" s="25"/>
      <c r="J153" s="25"/>
      <c r="K153" s="25"/>
    </row>
    <row r="154" spans="1:11" ht="20.100000000000001" customHeight="1">
      <c r="A154" s="120" t="s">
        <v>222</v>
      </c>
      <c r="B154" s="127" t="s">
        <v>223</v>
      </c>
      <c r="C154" s="127" t="s">
        <v>187</v>
      </c>
      <c r="D154" s="20"/>
      <c r="E154" s="20"/>
      <c r="F154" s="20"/>
      <c r="G154" s="20"/>
      <c r="H154" s="20"/>
      <c r="I154" s="20"/>
      <c r="J154" s="20"/>
      <c r="K154" s="20"/>
    </row>
    <row r="155" spans="1:11" ht="20.100000000000001" customHeight="1">
      <c r="A155" s="117" t="s">
        <v>224</v>
      </c>
      <c r="B155" s="118" t="s">
        <v>225</v>
      </c>
      <c r="C155" s="118" t="s">
        <v>189</v>
      </c>
      <c r="D155" s="25"/>
      <c r="E155" s="25"/>
      <c r="F155" s="25"/>
      <c r="G155" s="25"/>
      <c r="H155" s="25"/>
      <c r="I155" s="25"/>
      <c r="J155" s="25"/>
      <c r="K155" s="25"/>
    </row>
    <row r="156" spans="1:11" ht="20.100000000000001" customHeight="1">
      <c r="A156" s="120" t="s">
        <v>226</v>
      </c>
      <c r="B156" s="121" t="s">
        <v>227</v>
      </c>
      <c r="C156" s="121" t="s">
        <v>189</v>
      </c>
      <c r="D156" s="20"/>
      <c r="E156" s="20"/>
      <c r="F156" s="20"/>
      <c r="G156" s="20"/>
      <c r="H156" s="20"/>
      <c r="I156" s="20"/>
      <c r="J156" s="20"/>
      <c r="K156" s="20"/>
    </row>
    <row r="157" spans="1:11" ht="20.100000000000001" customHeight="1">
      <c r="A157" s="117" t="s">
        <v>228</v>
      </c>
      <c r="B157" s="118" t="s">
        <v>229</v>
      </c>
      <c r="C157" s="118" t="s">
        <v>189</v>
      </c>
      <c r="D157" s="25"/>
      <c r="E157" s="25"/>
      <c r="F157" s="25"/>
      <c r="G157" s="25"/>
      <c r="H157" s="25"/>
      <c r="I157" s="25"/>
      <c r="J157" s="25"/>
      <c r="K157" s="25"/>
    </row>
    <row r="158" spans="1:11" ht="20.100000000000001" customHeight="1">
      <c r="A158" s="120" t="s">
        <v>230</v>
      </c>
      <c r="B158" s="121" t="s">
        <v>231</v>
      </c>
      <c r="C158" s="121" t="s">
        <v>189</v>
      </c>
      <c r="D158" s="20"/>
      <c r="E158" s="20"/>
      <c r="F158" s="20"/>
      <c r="G158" s="20"/>
      <c r="H158" s="20"/>
      <c r="I158" s="20"/>
      <c r="J158" s="20"/>
      <c r="K158" s="20"/>
    </row>
    <row r="159" spans="1:11" ht="20.100000000000001" customHeight="1">
      <c r="A159" s="117" t="s">
        <v>232</v>
      </c>
      <c r="B159" s="118" t="s">
        <v>233</v>
      </c>
      <c r="C159" s="118" t="s">
        <v>189</v>
      </c>
      <c r="D159" s="25"/>
      <c r="E159" s="25"/>
      <c r="F159" s="25"/>
      <c r="G159" s="25"/>
      <c r="H159" s="25"/>
      <c r="I159" s="25"/>
      <c r="J159" s="25"/>
      <c r="K159" s="25"/>
    </row>
    <row r="160" spans="1:11" ht="20.100000000000001" customHeight="1">
      <c r="A160" s="120" t="s">
        <v>234</v>
      </c>
      <c r="B160" s="121" t="s">
        <v>235</v>
      </c>
      <c r="C160" s="121" t="s">
        <v>189</v>
      </c>
      <c r="D160" s="20"/>
      <c r="E160" s="20"/>
      <c r="F160" s="20"/>
      <c r="G160" s="20"/>
      <c r="H160" s="20"/>
      <c r="I160" s="20"/>
      <c r="J160" s="20"/>
      <c r="K160" s="20"/>
    </row>
    <row r="161" spans="1:11" ht="20.100000000000001" customHeight="1">
      <c r="A161" s="117" t="s">
        <v>236</v>
      </c>
      <c r="B161" s="118" t="s">
        <v>237</v>
      </c>
      <c r="C161" s="118" t="s">
        <v>189</v>
      </c>
      <c r="D161" s="25"/>
      <c r="E161" s="25"/>
      <c r="F161" s="25"/>
      <c r="G161" s="25"/>
      <c r="H161" s="25"/>
      <c r="I161" s="25"/>
      <c r="J161" s="25"/>
      <c r="K161" s="25"/>
    </row>
    <row r="162" spans="1:11" ht="20.100000000000001" customHeight="1">
      <c r="A162" s="120" t="s">
        <v>238</v>
      </c>
      <c r="B162" s="121" t="s">
        <v>239</v>
      </c>
      <c r="C162" s="121" t="s">
        <v>189</v>
      </c>
      <c r="D162" s="20"/>
      <c r="E162" s="20"/>
      <c r="F162" s="20"/>
      <c r="G162" s="20"/>
      <c r="H162" s="20"/>
      <c r="I162" s="20"/>
      <c r="J162" s="20"/>
      <c r="K162" s="20"/>
    </row>
    <row r="163" spans="1:11" ht="20.100000000000001" customHeight="1">
      <c r="A163" s="117" t="s">
        <v>240</v>
      </c>
      <c r="B163" s="118" t="s">
        <v>241</v>
      </c>
      <c r="C163" s="118" t="s">
        <v>189</v>
      </c>
      <c r="D163" s="25"/>
      <c r="E163" s="25"/>
      <c r="F163" s="25"/>
      <c r="G163" s="25"/>
      <c r="H163" s="25"/>
      <c r="I163" s="25"/>
      <c r="J163" s="25"/>
      <c r="K163" s="25"/>
    </row>
    <row r="164" spans="1:11" ht="20.100000000000001" customHeight="1">
      <c r="A164" s="120" t="s">
        <v>242</v>
      </c>
      <c r="B164" s="121" t="s">
        <v>243</v>
      </c>
      <c r="C164" s="121" t="s">
        <v>189</v>
      </c>
      <c r="D164" s="20"/>
      <c r="E164" s="20"/>
      <c r="F164" s="20"/>
      <c r="G164" s="20"/>
      <c r="H164" s="20"/>
      <c r="I164" s="20"/>
      <c r="J164" s="20"/>
      <c r="K164" s="20"/>
    </row>
    <row r="165" spans="1:11" ht="20.100000000000001" customHeight="1">
      <c r="A165" s="117" t="s">
        <v>244</v>
      </c>
      <c r="B165" s="118" t="s">
        <v>245</v>
      </c>
      <c r="C165" s="118" t="s">
        <v>189</v>
      </c>
      <c r="D165" s="25"/>
      <c r="E165" s="25"/>
      <c r="F165" s="25"/>
      <c r="G165" s="25"/>
      <c r="H165" s="25"/>
      <c r="I165" s="25"/>
      <c r="J165" s="25"/>
      <c r="K165" s="25"/>
    </row>
    <row r="166" spans="1:11" ht="20.100000000000001" customHeight="1">
      <c r="A166" s="120" t="s">
        <v>246</v>
      </c>
      <c r="B166" s="121" t="s">
        <v>247</v>
      </c>
      <c r="C166" s="121" t="s">
        <v>189</v>
      </c>
      <c r="D166" s="20"/>
      <c r="E166" s="20"/>
      <c r="F166" s="20"/>
      <c r="G166" s="20"/>
      <c r="H166" s="20"/>
      <c r="I166" s="20"/>
      <c r="J166" s="20"/>
      <c r="K166" s="20"/>
    </row>
    <row r="167" spans="1:11" ht="20.100000000000001" customHeight="1" outlineLevel="1">
      <c r="A167" s="117"/>
      <c r="B167" s="118"/>
      <c r="C167" s="118"/>
      <c r="D167" s="25"/>
      <c r="E167" s="25"/>
      <c r="F167" s="25"/>
      <c r="G167" s="25"/>
      <c r="H167" s="25"/>
      <c r="I167" s="25"/>
      <c r="J167" s="25"/>
      <c r="K167" s="25"/>
    </row>
    <row r="168" spans="1:11" ht="20.100000000000001" customHeight="1">
      <c r="A168" s="120" t="s">
        <v>248</v>
      </c>
      <c r="B168" s="121"/>
      <c r="C168" s="121"/>
      <c r="D168" s="20"/>
      <c r="E168" s="20"/>
      <c r="F168" s="20"/>
      <c r="G168" s="20"/>
      <c r="H168" s="20"/>
      <c r="I168" s="20"/>
      <c r="J168" s="20"/>
      <c r="K168" s="20"/>
    </row>
    <row r="169" spans="1:11" ht="20.100000000000001" customHeight="1">
      <c r="A169" s="117" t="s">
        <v>249</v>
      </c>
      <c r="B169" s="118" t="s">
        <v>250</v>
      </c>
      <c r="C169" s="118" t="s">
        <v>251</v>
      </c>
      <c r="D169" s="25"/>
      <c r="E169" s="25"/>
      <c r="F169" s="25"/>
      <c r="G169" s="25"/>
      <c r="H169" s="25"/>
      <c r="I169" s="25"/>
      <c r="J169" s="25"/>
      <c r="K169" s="25"/>
    </row>
    <row r="170" spans="1:11" ht="20.100000000000001" customHeight="1">
      <c r="A170" s="120" t="s">
        <v>252</v>
      </c>
      <c r="B170" s="121" t="s">
        <v>253</v>
      </c>
      <c r="C170" s="121" t="s">
        <v>251</v>
      </c>
      <c r="D170" s="20"/>
      <c r="E170" s="20"/>
      <c r="F170" s="20"/>
      <c r="G170" s="20"/>
      <c r="H170" s="20"/>
      <c r="I170" s="20"/>
      <c r="J170" s="20"/>
      <c r="K170" s="20"/>
    </row>
    <row r="171" spans="1:11" ht="20.100000000000001" customHeight="1">
      <c r="A171" s="117" t="s">
        <v>254</v>
      </c>
      <c r="B171" s="126" t="s">
        <v>255</v>
      </c>
      <c r="C171" s="118" t="s">
        <v>256</v>
      </c>
      <c r="D171" s="25"/>
      <c r="E171" s="25"/>
      <c r="F171" s="25"/>
      <c r="G171" s="25"/>
      <c r="H171" s="25"/>
      <c r="I171" s="25"/>
      <c r="J171" s="25"/>
      <c r="K171" s="25"/>
    </row>
    <row r="172" spans="1:11" ht="20.100000000000001" customHeight="1" outlineLevel="1">
      <c r="A172" s="120"/>
      <c r="B172" s="121"/>
      <c r="C172" s="121"/>
      <c r="D172" s="20"/>
      <c r="E172" s="20"/>
      <c r="F172" s="20"/>
      <c r="G172" s="20"/>
      <c r="H172" s="20"/>
      <c r="I172" s="20"/>
      <c r="J172" s="20"/>
      <c r="K172" s="20"/>
    </row>
    <row r="173" spans="1:11" ht="20.100000000000001" customHeight="1">
      <c r="A173" s="117" t="s">
        <v>257</v>
      </c>
      <c r="B173" s="126" t="s">
        <v>207</v>
      </c>
      <c r="C173" s="118"/>
      <c r="D173" s="25"/>
      <c r="E173" s="25"/>
      <c r="F173" s="25"/>
      <c r="G173" s="25"/>
      <c r="H173" s="25"/>
      <c r="I173" s="25"/>
      <c r="J173" s="25"/>
      <c r="K173" s="25"/>
    </row>
    <row r="174" spans="1:11" ht="20.100000000000001" customHeight="1">
      <c r="A174" s="120">
        <v>1</v>
      </c>
      <c r="B174" s="121" t="s">
        <v>258</v>
      </c>
      <c r="C174" s="121"/>
      <c r="D174" s="20"/>
      <c r="E174" s="20"/>
      <c r="F174" s="20"/>
      <c r="G174" s="20"/>
      <c r="H174" s="20"/>
      <c r="I174" s="20"/>
      <c r="J174" s="20"/>
      <c r="K174" s="20"/>
    </row>
    <row r="175" spans="1:11" ht="20.100000000000001" customHeight="1">
      <c r="A175" s="117">
        <v>2</v>
      </c>
      <c r="B175" s="118" t="s">
        <v>259</v>
      </c>
      <c r="C175" s="118"/>
      <c r="D175" s="25"/>
      <c r="E175" s="25"/>
      <c r="F175" s="25"/>
      <c r="G175" s="25"/>
      <c r="H175" s="25"/>
      <c r="I175" s="25"/>
      <c r="J175" s="25"/>
      <c r="K175" s="25"/>
    </row>
    <row r="176" spans="1:11" ht="20.100000000000001" customHeight="1">
      <c r="A176" s="120">
        <v>3</v>
      </c>
      <c r="B176" s="121" t="s">
        <v>260</v>
      </c>
      <c r="C176" s="121"/>
      <c r="D176" s="20"/>
      <c r="E176" s="20"/>
      <c r="F176" s="20"/>
      <c r="G176" s="20"/>
      <c r="H176" s="20"/>
      <c r="I176" s="20"/>
      <c r="J176" s="20"/>
      <c r="K176" s="20"/>
    </row>
    <row r="177" spans="1:11" ht="20.100000000000001" customHeight="1">
      <c r="A177" s="117">
        <v>4</v>
      </c>
      <c r="B177" s="118" t="s">
        <v>261</v>
      </c>
      <c r="C177" s="118"/>
      <c r="D177" s="25"/>
      <c r="E177" s="25"/>
      <c r="F177" s="25"/>
      <c r="G177" s="25"/>
      <c r="H177" s="25"/>
      <c r="I177" s="25"/>
      <c r="J177" s="25"/>
      <c r="K177" s="25"/>
    </row>
    <row r="178" spans="1:11" ht="20.100000000000001" customHeight="1">
      <c r="A178" s="120">
        <v>5</v>
      </c>
      <c r="B178" s="121" t="s">
        <v>262</v>
      </c>
      <c r="C178" s="121"/>
      <c r="D178" s="20"/>
      <c r="E178" s="20"/>
      <c r="F178" s="20"/>
      <c r="G178" s="20"/>
      <c r="H178" s="20"/>
      <c r="I178" s="20"/>
      <c r="J178" s="20"/>
      <c r="K178" s="20"/>
    </row>
    <row r="179" spans="1:11" ht="20.100000000000001" customHeight="1">
      <c r="A179" s="117">
        <v>6</v>
      </c>
      <c r="B179" s="118" t="s">
        <v>263</v>
      </c>
      <c r="C179" s="118"/>
      <c r="D179" s="25"/>
      <c r="E179" s="25"/>
      <c r="F179" s="25"/>
      <c r="G179" s="25"/>
      <c r="H179" s="25"/>
      <c r="I179" s="25"/>
      <c r="J179" s="25"/>
      <c r="K179" s="25"/>
    </row>
    <row r="180" spans="1:11" ht="20.100000000000001" customHeight="1">
      <c r="A180" s="120">
        <v>7</v>
      </c>
      <c r="B180" s="121" t="s">
        <v>264</v>
      </c>
      <c r="C180" s="121"/>
      <c r="D180" s="20"/>
      <c r="E180" s="20"/>
      <c r="F180" s="20"/>
      <c r="G180" s="20"/>
      <c r="H180" s="20"/>
      <c r="I180" s="20"/>
      <c r="J180" s="20"/>
      <c r="K180" s="20"/>
    </row>
    <row r="181" spans="1:11" ht="20.100000000000001" customHeight="1">
      <c r="A181" s="117">
        <v>8</v>
      </c>
      <c r="B181" s="118" t="s">
        <v>265</v>
      </c>
      <c r="C181" s="118"/>
      <c r="D181" s="25"/>
      <c r="E181" s="25"/>
      <c r="F181" s="25"/>
      <c r="G181" s="25"/>
      <c r="H181" s="25"/>
      <c r="I181" s="25"/>
      <c r="J181" s="25"/>
      <c r="K181" s="2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55"/>
  <sheetViews>
    <sheetView workbookViewId="0">
      <pane ySplit="2" topLeftCell="A127" activePane="bottomLeft" state="frozen"/>
      <selection pane="bottomLeft" activeCell="B258" sqref="B258"/>
    </sheetView>
  </sheetViews>
  <sheetFormatPr defaultRowHeight="15"/>
  <cols>
    <col min="1" max="1" width="41.85546875" style="1" customWidth="1"/>
    <col min="2" max="2" width="38.140625" style="1" customWidth="1"/>
    <col min="3" max="4" width="66.7109375" style="1" customWidth="1"/>
    <col min="5" max="5" width="38.140625" style="1" customWidth="1"/>
    <col min="6" max="6" width="47.5703125" style="1" customWidth="1"/>
  </cols>
  <sheetData>
    <row r="1" spans="1:6" s="15" customFormat="1" ht="30" customHeight="1">
      <c r="A1" s="264" t="s">
        <v>2879</v>
      </c>
      <c r="B1" s="17"/>
      <c r="C1" s="17"/>
      <c r="D1" s="17"/>
      <c r="E1" s="17"/>
      <c r="F1" s="17"/>
    </row>
    <row r="2" spans="1:6" ht="21.95" customHeight="1">
      <c r="A2" s="128" t="s">
        <v>2880</v>
      </c>
      <c r="B2" s="129"/>
      <c r="C2" s="129"/>
      <c r="D2" s="129"/>
      <c r="E2" s="129"/>
      <c r="F2" s="129"/>
    </row>
    <row r="3" spans="1:6" ht="27.95" customHeight="1">
      <c r="A3" s="16" t="s">
        <v>2881</v>
      </c>
      <c r="B3" s="37"/>
      <c r="C3" s="37"/>
      <c r="D3" s="37"/>
      <c r="E3" s="37"/>
      <c r="F3" s="37"/>
    </row>
    <row r="4" spans="1:6" ht="20.100000000000001" customHeight="1">
      <c r="A4" s="130" t="s">
        <v>2882</v>
      </c>
      <c r="B4" s="131"/>
      <c r="C4" s="131"/>
      <c r="D4" s="131"/>
      <c r="E4" s="131"/>
      <c r="F4" s="131"/>
    </row>
    <row r="5" spans="1:6" ht="20.100000000000001" customHeight="1">
      <c r="A5" s="132" t="s">
        <v>353</v>
      </c>
      <c r="B5" s="132" t="s">
        <v>2883</v>
      </c>
      <c r="C5" s="133" t="s">
        <v>187</v>
      </c>
      <c r="D5" s="37"/>
      <c r="E5" s="37"/>
      <c r="F5" s="37"/>
    </row>
    <row r="6" spans="1:6" ht="20.100000000000001" customHeight="1">
      <c r="A6" s="134" t="s">
        <v>357</v>
      </c>
      <c r="B6" s="134" t="s">
        <v>2884</v>
      </c>
      <c r="C6" s="135" t="s">
        <v>2885</v>
      </c>
      <c r="D6" s="37"/>
      <c r="E6" s="37"/>
      <c r="F6" s="37"/>
    </row>
    <row r="7" spans="1:6" ht="20.100000000000001" customHeight="1">
      <c r="A7" s="271" t="s">
        <v>2886</v>
      </c>
      <c r="B7" s="271" t="s">
        <v>2887</v>
      </c>
      <c r="C7" s="271" t="s">
        <v>2888</v>
      </c>
      <c r="D7" s="271"/>
      <c r="E7" s="271"/>
      <c r="F7" s="271"/>
    </row>
    <row r="8" spans="1:6" ht="20.100000000000001" customHeight="1">
      <c r="A8" s="134" t="s">
        <v>362</v>
      </c>
      <c r="B8" s="134" t="s">
        <v>2889</v>
      </c>
      <c r="C8" s="135" t="s">
        <v>2890</v>
      </c>
      <c r="D8" s="37"/>
      <c r="E8" s="37"/>
      <c r="F8" s="37"/>
    </row>
    <row r="9" spans="1:6" ht="20.100000000000001" customHeight="1">
      <c r="A9" s="134" t="s">
        <v>366</v>
      </c>
      <c r="B9" s="134" t="s">
        <v>279</v>
      </c>
      <c r="C9" s="135" t="s">
        <v>2890</v>
      </c>
      <c r="D9" s="37"/>
      <c r="E9" s="37"/>
      <c r="F9" s="37"/>
    </row>
    <row r="10" spans="1:6" ht="20.100000000000001" customHeight="1">
      <c r="A10" s="134" t="s">
        <v>2891</v>
      </c>
      <c r="B10" s="134" t="s">
        <v>2892</v>
      </c>
      <c r="C10" s="135" t="s">
        <v>2888</v>
      </c>
      <c r="D10" s="37"/>
      <c r="E10" s="37"/>
      <c r="F10" s="37"/>
    </row>
    <row r="11" spans="1:6" ht="20.100000000000001" customHeight="1">
      <c r="A11" s="134" t="s">
        <v>2893</v>
      </c>
      <c r="B11" s="134" t="s">
        <v>2894</v>
      </c>
      <c r="C11" s="135" t="s">
        <v>2888</v>
      </c>
      <c r="D11" s="37"/>
      <c r="E11" s="37"/>
      <c r="F11" s="37"/>
    </row>
    <row r="12" spans="1:6" ht="20.100000000000001" customHeight="1">
      <c r="A12" s="134" t="s">
        <v>2895</v>
      </c>
      <c r="B12" s="134" t="s">
        <v>2896</v>
      </c>
      <c r="C12" s="135" t="s">
        <v>2888</v>
      </c>
      <c r="D12" s="37"/>
      <c r="E12" s="37"/>
      <c r="F12" s="37"/>
    </row>
    <row r="13" spans="1:6" ht="20.100000000000001" customHeight="1">
      <c r="A13" s="134" t="s">
        <v>2897</v>
      </c>
      <c r="B13" s="134" t="s">
        <v>2898</v>
      </c>
      <c r="C13" s="135" t="s">
        <v>2888</v>
      </c>
      <c r="D13" s="37"/>
      <c r="E13" s="37"/>
      <c r="F13" s="37"/>
    </row>
    <row r="14" spans="1:6" ht="20.100000000000001" customHeight="1">
      <c r="A14" s="134" t="s">
        <v>289</v>
      </c>
      <c r="B14" s="134" t="s">
        <v>2899</v>
      </c>
      <c r="C14" s="136" t="s">
        <v>2900</v>
      </c>
      <c r="D14" s="37"/>
      <c r="E14" s="37"/>
      <c r="F14" s="37"/>
    </row>
    <row r="15" spans="1:6" ht="20.100000000000001" customHeight="1">
      <c r="A15" s="134" t="s">
        <v>2901</v>
      </c>
      <c r="B15" s="134" t="s">
        <v>2902</v>
      </c>
      <c r="C15" s="135" t="s">
        <v>2888</v>
      </c>
      <c r="D15" s="37"/>
      <c r="E15" s="37"/>
      <c r="F15" s="37"/>
    </row>
    <row r="16" spans="1:6" ht="20.100000000000001" customHeight="1">
      <c r="A16" s="134" t="s">
        <v>2903</v>
      </c>
      <c r="B16" s="134" t="s">
        <v>2904</v>
      </c>
      <c r="C16" s="137" t="s">
        <v>2905</v>
      </c>
      <c r="D16" s="37"/>
      <c r="E16" s="37"/>
      <c r="F16" s="37"/>
    </row>
    <row r="17" spans="1:6" ht="20.100000000000001" customHeight="1">
      <c r="A17" s="138" t="s">
        <v>2906</v>
      </c>
      <c r="B17" s="138" t="s">
        <v>2907</v>
      </c>
      <c r="C17" s="139" t="s">
        <v>2908</v>
      </c>
      <c r="D17" s="37"/>
      <c r="E17" s="37"/>
      <c r="F17" s="37"/>
    </row>
    <row r="18" spans="1:6" ht="20.100000000000001" customHeight="1">
      <c r="A18" s="37"/>
      <c r="B18" s="37"/>
      <c r="C18" s="37"/>
      <c r="D18" s="37"/>
      <c r="E18" s="37"/>
      <c r="F18" s="37"/>
    </row>
    <row r="19" spans="1:6" ht="20.100000000000001" customHeight="1">
      <c r="A19" s="130" t="s">
        <v>2909</v>
      </c>
      <c r="B19" s="131"/>
      <c r="C19" s="131"/>
      <c r="D19" s="131"/>
      <c r="E19" s="131"/>
      <c r="F19" s="131"/>
    </row>
    <row r="20" spans="1:6" ht="20.100000000000001" customHeight="1">
      <c r="A20" s="132" t="s">
        <v>2910</v>
      </c>
      <c r="B20" s="132" t="s">
        <v>39</v>
      </c>
      <c r="C20" s="133" t="s">
        <v>187</v>
      </c>
      <c r="D20" s="132" t="s">
        <v>43</v>
      </c>
      <c r="E20" s="133" t="s">
        <v>2911</v>
      </c>
      <c r="F20" s="132" t="s">
        <v>678</v>
      </c>
    </row>
    <row r="21" spans="1:6" ht="20.100000000000001" customHeight="1">
      <c r="A21" s="134" t="s">
        <v>1621</v>
      </c>
      <c r="B21" s="134" t="s">
        <v>2912</v>
      </c>
      <c r="C21" s="135" t="s">
        <v>1105</v>
      </c>
      <c r="D21" s="134" t="s">
        <v>2913</v>
      </c>
      <c r="E21" s="140">
        <v>20</v>
      </c>
      <c r="F21" s="134" t="s">
        <v>2914</v>
      </c>
    </row>
    <row r="22" spans="1:6" ht="20.100000000000001" customHeight="1">
      <c r="A22" s="134" t="s">
        <v>2915</v>
      </c>
      <c r="B22" s="134" t="s">
        <v>2916</v>
      </c>
      <c r="C22" s="135" t="s">
        <v>1105</v>
      </c>
      <c r="D22" s="134" t="s">
        <v>2913</v>
      </c>
      <c r="E22" s="140">
        <v>12</v>
      </c>
      <c r="F22" s="134" t="s">
        <v>2917</v>
      </c>
    </row>
    <row r="23" spans="1:6" ht="20.100000000000001" customHeight="1">
      <c r="A23" s="134" t="s">
        <v>2918</v>
      </c>
      <c r="B23" s="134" t="s">
        <v>2919</v>
      </c>
      <c r="C23" s="135" t="s">
        <v>1105</v>
      </c>
      <c r="D23" s="134" t="s">
        <v>2920</v>
      </c>
      <c r="E23" s="140">
        <v>4</v>
      </c>
      <c r="F23" s="134" t="s">
        <v>2921</v>
      </c>
    </row>
    <row r="24" spans="1:6" ht="20.100000000000001" customHeight="1">
      <c r="A24" s="134" t="s">
        <v>2922</v>
      </c>
      <c r="B24" s="134" t="s">
        <v>2923</v>
      </c>
      <c r="C24" s="135" t="s">
        <v>1105</v>
      </c>
      <c r="D24" s="134" t="s">
        <v>2920</v>
      </c>
      <c r="E24" s="140">
        <v>4</v>
      </c>
      <c r="F24" s="134" t="s">
        <v>2924</v>
      </c>
    </row>
    <row r="25" spans="1:6" ht="20.100000000000001" customHeight="1">
      <c r="A25" s="134" t="s">
        <v>2925</v>
      </c>
      <c r="B25" s="134" t="s">
        <v>2926</v>
      </c>
      <c r="C25" s="135" t="s">
        <v>1105</v>
      </c>
      <c r="D25" s="134" t="s">
        <v>2920</v>
      </c>
      <c r="E25" s="140">
        <v>6</v>
      </c>
      <c r="F25" s="134" t="s">
        <v>2927</v>
      </c>
    </row>
    <row r="26" spans="1:6" ht="20.100000000000001" customHeight="1">
      <c r="A26" s="134" t="s">
        <v>2928</v>
      </c>
      <c r="B26" s="134" t="s">
        <v>2929</v>
      </c>
      <c r="C26" s="135" t="s">
        <v>1105</v>
      </c>
      <c r="D26" s="134" t="s">
        <v>2920</v>
      </c>
      <c r="E26" s="140">
        <v>4</v>
      </c>
      <c r="F26" s="134" t="s">
        <v>2930</v>
      </c>
    </row>
    <row r="27" spans="1:6" ht="20.100000000000001" customHeight="1">
      <c r="A27" s="134" t="s">
        <v>2931</v>
      </c>
      <c r="B27" s="134" t="s">
        <v>2932</v>
      </c>
      <c r="C27" s="135" t="s">
        <v>1105</v>
      </c>
      <c r="D27" s="134" t="s">
        <v>2920</v>
      </c>
      <c r="E27" s="140">
        <v>3</v>
      </c>
      <c r="F27" s="134" t="s">
        <v>2933</v>
      </c>
    </row>
    <row r="28" spans="1:6" ht="20.100000000000001" customHeight="1">
      <c r="A28" s="134" t="s">
        <v>2934</v>
      </c>
      <c r="B28" s="134" t="s">
        <v>2935</v>
      </c>
      <c r="C28" s="135" t="s">
        <v>1105</v>
      </c>
      <c r="D28" s="134" t="s">
        <v>2920</v>
      </c>
      <c r="E28" s="140">
        <v>3</v>
      </c>
      <c r="F28" s="134" t="s">
        <v>2936</v>
      </c>
    </row>
    <row r="29" spans="1:6" ht="20.100000000000001" customHeight="1">
      <c r="A29" s="134" t="s">
        <v>2937</v>
      </c>
      <c r="B29" s="134" t="s">
        <v>2938</v>
      </c>
      <c r="C29" s="135" t="s">
        <v>1105</v>
      </c>
      <c r="D29" s="134" t="s">
        <v>2920</v>
      </c>
      <c r="E29" s="140">
        <v>5</v>
      </c>
      <c r="F29" s="134" t="s">
        <v>2939</v>
      </c>
    </row>
    <row r="30" spans="1:6" ht="20.100000000000001" customHeight="1">
      <c r="A30" s="134" t="s">
        <v>2940</v>
      </c>
      <c r="B30" s="134" t="s">
        <v>2941</v>
      </c>
      <c r="C30" s="135" t="s">
        <v>1105</v>
      </c>
      <c r="D30" s="134" t="s">
        <v>2920</v>
      </c>
      <c r="E30" s="140">
        <v>3</v>
      </c>
      <c r="F30" s="134" t="s">
        <v>2942</v>
      </c>
    </row>
    <row r="31" spans="1:6" ht="20.100000000000001" customHeight="1">
      <c r="A31" s="134" t="s">
        <v>2943</v>
      </c>
      <c r="B31" s="134" t="s">
        <v>2944</v>
      </c>
      <c r="C31" s="135" t="s">
        <v>1105</v>
      </c>
      <c r="D31" s="134" t="s">
        <v>2920</v>
      </c>
      <c r="E31" s="140">
        <v>3</v>
      </c>
      <c r="F31" s="134" t="s">
        <v>2945</v>
      </c>
    </row>
    <row r="32" spans="1:6" ht="20.100000000000001" customHeight="1">
      <c r="A32" s="134" t="s">
        <v>2946</v>
      </c>
      <c r="B32" s="134" t="s">
        <v>2947</v>
      </c>
      <c r="C32" s="135" t="s">
        <v>1105</v>
      </c>
      <c r="D32" s="134" t="s">
        <v>2920</v>
      </c>
      <c r="E32" s="140">
        <v>3</v>
      </c>
      <c r="F32" s="134" t="s">
        <v>2948</v>
      </c>
    </row>
    <row r="33" spans="1:6" ht="20.100000000000001" customHeight="1">
      <c r="A33" s="134" t="s">
        <v>2949</v>
      </c>
      <c r="B33" s="134" t="s">
        <v>2950</v>
      </c>
      <c r="C33" s="135" t="s">
        <v>1105</v>
      </c>
      <c r="D33" s="134" t="s">
        <v>2920</v>
      </c>
      <c r="E33" s="140">
        <v>3</v>
      </c>
      <c r="F33" s="134" t="s">
        <v>2951</v>
      </c>
    </row>
    <row r="34" spans="1:6" ht="20.100000000000001" customHeight="1">
      <c r="A34" s="134" t="s">
        <v>2952</v>
      </c>
      <c r="B34" s="134" t="s">
        <v>2953</v>
      </c>
      <c r="C34" s="135" t="s">
        <v>1105</v>
      </c>
      <c r="D34" s="134" t="s">
        <v>2954</v>
      </c>
      <c r="E34" s="140">
        <v>3</v>
      </c>
      <c r="F34" s="134" t="s">
        <v>2955</v>
      </c>
    </row>
    <row r="35" spans="1:6" ht="20.100000000000001" customHeight="1">
      <c r="A35" s="134" t="s">
        <v>2956</v>
      </c>
      <c r="B35" s="134" t="s">
        <v>2957</v>
      </c>
      <c r="C35" s="135" t="s">
        <v>1105</v>
      </c>
      <c r="D35" s="134" t="s">
        <v>2954</v>
      </c>
      <c r="E35" s="140">
        <v>3</v>
      </c>
      <c r="F35" s="134" t="s">
        <v>2958</v>
      </c>
    </row>
    <row r="36" spans="1:6" ht="20.100000000000001" customHeight="1">
      <c r="A36" s="134" t="s">
        <v>2959</v>
      </c>
      <c r="B36" s="134" t="s">
        <v>2960</v>
      </c>
      <c r="C36" s="135" t="s">
        <v>1105</v>
      </c>
      <c r="D36" s="134" t="s">
        <v>2954</v>
      </c>
      <c r="E36" s="140">
        <v>3</v>
      </c>
      <c r="F36" s="134" t="s">
        <v>2961</v>
      </c>
    </row>
    <row r="37" spans="1:6" ht="20.100000000000001" customHeight="1">
      <c r="A37" s="134" t="s">
        <v>1607</v>
      </c>
      <c r="B37" s="134" t="s">
        <v>2962</v>
      </c>
      <c r="C37" s="135" t="s">
        <v>1105</v>
      </c>
      <c r="D37" s="134" t="s">
        <v>2963</v>
      </c>
      <c r="E37" s="140">
        <v>25</v>
      </c>
      <c r="F37" s="134" t="s">
        <v>2964</v>
      </c>
    </row>
    <row r="38" spans="1:6" ht="20.100000000000001" customHeight="1">
      <c r="A38" s="134" t="s">
        <v>2965</v>
      </c>
      <c r="B38" s="134" t="s">
        <v>2966</v>
      </c>
      <c r="C38" s="135" t="s">
        <v>1105</v>
      </c>
      <c r="D38" s="134" t="s">
        <v>2967</v>
      </c>
      <c r="E38" s="140">
        <v>25</v>
      </c>
      <c r="F38" s="134" t="s">
        <v>2968</v>
      </c>
    </row>
    <row r="39" spans="1:6" ht="20.100000000000001" customHeight="1">
      <c r="A39" s="134" t="s">
        <v>2969</v>
      </c>
      <c r="B39" s="134" t="s">
        <v>2970</v>
      </c>
      <c r="C39" s="135" t="s">
        <v>1105</v>
      </c>
      <c r="D39" s="134" t="s">
        <v>2971</v>
      </c>
      <c r="E39" s="140">
        <v>18</v>
      </c>
      <c r="F39" s="134" t="s">
        <v>2972</v>
      </c>
    </row>
    <row r="40" spans="1:6" ht="20.100000000000001" customHeight="1">
      <c r="A40" s="134" t="s">
        <v>2973</v>
      </c>
      <c r="B40" s="134" t="s">
        <v>2974</v>
      </c>
      <c r="C40" s="135" t="s">
        <v>1105</v>
      </c>
      <c r="D40" s="134" t="s">
        <v>2967</v>
      </c>
      <c r="E40" s="140">
        <v>13</v>
      </c>
      <c r="F40" s="134" t="s">
        <v>2975</v>
      </c>
    </row>
    <row r="41" spans="1:6" ht="20.100000000000001" customHeight="1">
      <c r="A41" s="134" t="s">
        <v>2976</v>
      </c>
      <c r="B41" s="134" t="s">
        <v>2977</v>
      </c>
      <c r="C41" s="135" t="s">
        <v>1105</v>
      </c>
      <c r="D41" s="134" t="s">
        <v>2978</v>
      </c>
      <c r="E41" s="140">
        <v>5</v>
      </c>
      <c r="F41" s="134" t="s">
        <v>2979</v>
      </c>
    </row>
    <row r="42" spans="1:6" ht="20.100000000000001" customHeight="1">
      <c r="A42" s="134" t="s">
        <v>2980</v>
      </c>
      <c r="B42" s="134" t="s">
        <v>2981</v>
      </c>
      <c r="C42" s="135" t="s">
        <v>1105</v>
      </c>
      <c r="D42" s="134" t="s">
        <v>2978</v>
      </c>
      <c r="E42" s="140">
        <v>6</v>
      </c>
      <c r="F42" s="134" t="s">
        <v>2982</v>
      </c>
    </row>
    <row r="43" spans="1:6" ht="20.100000000000001" customHeight="1">
      <c r="A43" s="134" t="s">
        <v>2983</v>
      </c>
      <c r="B43" s="134" t="s">
        <v>2984</v>
      </c>
      <c r="C43" s="135" t="s">
        <v>1105</v>
      </c>
      <c r="D43" s="134" t="s">
        <v>2978</v>
      </c>
      <c r="E43" s="140">
        <v>10</v>
      </c>
      <c r="F43" s="134" t="s">
        <v>2985</v>
      </c>
    </row>
    <row r="44" spans="1:6" ht="20.100000000000001" customHeight="1">
      <c r="A44" s="134" t="s">
        <v>2986</v>
      </c>
      <c r="B44" s="134" t="s">
        <v>2987</v>
      </c>
      <c r="C44" s="135" t="s">
        <v>1105</v>
      </c>
      <c r="D44" s="134" t="s">
        <v>2978</v>
      </c>
      <c r="E44" s="140">
        <v>4</v>
      </c>
      <c r="F44" s="134" t="s">
        <v>2988</v>
      </c>
    </row>
    <row r="45" spans="1:6" ht="20.100000000000001" customHeight="1">
      <c r="A45" s="134" t="s">
        <v>2989</v>
      </c>
      <c r="B45" s="134" t="s">
        <v>2990</v>
      </c>
      <c r="C45" s="135" t="s">
        <v>1105</v>
      </c>
      <c r="D45" s="134" t="s">
        <v>2978</v>
      </c>
      <c r="E45" s="140">
        <v>6</v>
      </c>
      <c r="F45" s="134" t="s">
        <v>2991</v>
      </c>
    </row>
    <row r="46" spans="1:6" ht="20.100000000000001" customHeight="1">
      <c r="A46" s="134" t="s">
        <v>2992</v>
      </c>
      <c r="B46" s="134" t="s">
        <v>2993</v>
      </c>
      <c r="C46" s="135" t="s">
        <v>1105</v>
      </c>
      <c r="D46" s="134" t="s">
        <v>90</v>
      </c>
      <c r="E46" s="140">
        <v>14</v>
      </c>
      <c r="F46" s="134" t="s">
        <v>2994</v>
      </c>
    </row>
    <row r="47" spans="1:6" ht="20.100000000000001" customHeight="1">
      <c r="A47" s="134" t="s">
        <v>2995</v>
      </c>
      <c r="B47" s="134" t="s">
        <v>2996</v>
      </c>
      <c r="C47" s="135" t="s">
        <v>1105</v>
      </c>
      <c r="D47" s="134" t="s">
        <v>90</v>
      </c>
      <c r="E47" s="140">
        <v>10</v>
      </c>
      <c r="F47" s="134" t="s">
        <v>2997</v>
      </c>
    </row>
    <row r="48" spans="1:6" ht="20.100000000000001" customHeight="1">
      <c r="A48" s="134" t="s">
        <v>2998</v>
      </c>
      <c r="B48" s="134" t="s">
        <v>2999</v>
      </c>
      <c r="C48" s="135" t="s">
        <v>1105</v>
      </c>
      <c r="D48" s="134" t="s">
        <v>90</v>
      </c>
      <c r="E48" s="140">
        <v>3</v>
      </c>
      <c r="F48" s="134" t="s">
        <v>3000</v>
      </c>
    </row>
    <row r="49" spans="1:6" ht="20.100000000000001" customHeight="1">
      <c r="A49" s="134" t="s">
        <v>3001</v>
      </c>
      <c r="B49" s="134" t="s">
        <v>3002</v>
      </c>
      <c r="C49" s="135" t="s">
        <v>1105</v>
      </c>
      <c r="D49" s="134" t="s">
        <v>3003</v>
      </c>
      <c r="E49" s="140">
        <v>14</v>
      </c>
      <c r="F49" s="134" t="s">
        <v>3004</v>
      </c>
    </row>
    <row r="50" spans="1:6" ht="20.100000000000001" customHeight="1">
      <c r="A50" s="134" t="s">
        <v>3005</v>
      </c>
      <c r="B50" s="134" t="s">
        <v>3006</v>
      </c>
      <c r="C50" s="135" t="s">
        <v>1105</v>
      </c>
      <c r="D50" s="134" t="s">
        <v>3007</v>
      </c>
      <c r="E50" s="140">
        <v>5</v>
      </c>
      <c r="F50" s="134" t="s">
        <v>3008</v>
      </c>
    </row>
    <row r="51" spans="1:6" ht="20.100000000000001" customHeight="1">
      <c r="A51" s="134" t="s">
        <v>3009</v>
      </c>
      <c r="B51" s="134" t="s">
        <v>3010</v>
      </c>
      <c r="C51" s="135" t="s">
        <v>1105</v>
      </c>
      <c r="D51" s="134" t="s">
        <v>2971</v>
      </c>
      <c r="E51" s="140">
        <v>9</v>
      </c>
      <c r="F51" s="134" t="s">
        <v>3011</v>
      </c>
    </row>
    <row r="52" spans="1:6" ht="20.100000000000001" customHeight="1">
      <c r="A52" s="134" t="s">
        <v>3012</v>
      </c>
      <c r="B52" s="134" t="s">
        <v>3013</v>
      </c>
      <c r="C52" s="135" t="s">
        <v>1105</v>
      </c>
      <c r="D52" s="134" t="s">
        <v>3014</v>
      </c>
      <c r="E52" s="140">
        <v>8</v>
      </c>
      <c r="F52" s="134" t="s">
        <v>3015</v>
      </c>
    </row>
    <row r="53" spans="1:6" ht="20.100000000000001" customHeight="1">
      <c r="A53" s="134" t="s">
        <v>3016</v>
      </c>
      <c r="B53" s="134" t="s">
        <v>3017</v>
      </c>
      <c r="C53" s="135" t="s">
        <v>1105</v>
      </c>
      <c r="D53" s="134" t="s">
        <v>3014</v>
      </c>
      <c r="E53" s="140">
        <v>6</v>
      </c>
      <c r="F53" s="134" t="s">
        <v>3018</v>
      </c>
    </row>
    <row r="54" spans="1:6" ht="20.100000000000001" customHeight="1">
      <c r="A54" s="134" t="s">
        <v>3019</v>
      </c>
      <c r="B54" s="134" t="s">
        <v>3020</v>
      </c>
      <c r="C54" s="135" t="s">
        <v>1105</v>
      </c>
      <c r="D54" s="134" t="s">
        <v>3021</v>
      </c>
      <c r="E54" s="140">
        <v>6</v>
      </c>
      <c r="F54" s="134" t="s">
        <v>3022</v>
      </c>
    </row>
    <row r="55" spans="1:6" ht="20.100000000000001" customHeight="1">
      <c r="A55" s="134" t="s">
        <v>3023</v>
      </c>
      <c r="B55" s="134" t="s">
        <v>3024</v>
      </c>
      <c r="C55" s="135" t="s">
        <v>1105</v>
      </c>
      <c r="D55" s="134" t="s">
        <v>3021</v>
      </c>
      <c r="E55" s="140">
        <v>51</v>
      </c>
      <c r="F55" s="134" t="s">
        <v>3025</v>
      </c>
    </row>
    <row r="56" spans="1:6" ht="20.100000000000001" customHeight="1">
      <c r="A56" s="134" t="s">
        <v>3026</v>
      </c>
      <c r="B56" s="134" t="s">
        <v>3027</v>
      </c>
      <c r="C56" s="135" t="s">
        <v>1105</v>
      </c>
      <c r="D56" s="134" t="s">
        <v>3021</v>
      </c>
      <c r="E56" s="140">
        <v>7</v>
      </c>
      <c r="F56" s="134" t="s">
        <v>3028</v>
      </c>
    </row>
    <row r="57" spans="1:6" ht="20.100000000000001" customHeight="1">
      <c r="A57" s="134" t="s">
        <v>3029</v>
      </c>
      <c r="B57" s="134" t="s">
        <v>3030</v>
      </c>
      <c r="C57" s="135" t="s">
        <v>1105</v>
      </c>
      <c r="D57" s="134" t="s">
        <v>3031</v>
      </c>
      <c r="E57" s="140">
        <v>5</v>
      </c>
      <c r="F57" s="134" t="s">
        <v>3032</v>
      </c>
    </row>
    <row r="58" spans="1:6" ht="20.100000000000001" customHeight="1">
      <c r="A58" s="134" t="s">
        <v>3033</v>
      </c>
      <c r="B58" s="134" t="s">
        <v>3034</v>
      </c>
      <c r="C58" s="135" t="s">
        <v>1105</v>
      </c>
      <c r="D58" s="134" t="s">
        <v>3035</v>
      </c>
      <c r="E58" s="140">
        <v>13</v>
      </c>
      <c r="F58" s="134" t="s">
        <v>3036</v>
      </c>
    </row>
    <row r="59" spans="1:6" ht="20.100000000000001" customHeight="1">
      <c r="A59" s="134" t="s">
        <v>3037</v>
      </c>
      <c r="B59" s="134" t="s">
        <v>3038</v>
      </c>
      <c r="C59" s="135" t="s">
        <v>1105</v>
      </c>
      <c r="D59" s="134" t="s">
        <v>3039</v>
      </c>
      <c r="E59" s="140">
        <v>2</v>
      </c>
      <c r="F59" s="134" t="s">
        <v>3040</v>
      </c>
    </row>
    <row r="60" spans="1:6" ht="20.100000000000001" customHeight="1">
      <c r="A60" s="134" t="s">
        <v>3041</v>
      </c>
      <c r="B60" s="134" t="s">
        <v>3042</v>
      </c>
      <c r="C60" s="135" t="s">
        <v>1105</v>
      </c>
      <c r="D60" s="134" t="s">
        <v>3039</v>
      </c>
      <c r="E60" s="140">
        <v>3</v>
      </c>
      <c r="F60" s="134" t="s">
        <v>3043</v>
      </c>
    </row>
    <row r="61" spans="1:6" ht="20.100000000000001" customHeight="1">
      <c r="A61" s="134" t="s">
        <v>3044</v>
      </c>
      <c r="B61" s="134" t="s">
        <v>3045</v>
      </c>
      <c r="C61" s="135" t="s">
        <v>1105</v>
      </c>
      <c r="D61" s="134" t="s">
        <v>3039</v>
      </c>
      <c r="E61" s="140">
        <v>2</v>
      </c>
      <c r="F61" s="134" t="s">
        <v>3046</v>
      </c>
    </row>
    <row r="62" spans="1:6" ht="20.100000000000001" customHeight="1">
      <c r="A62" s="134" t="s">
        <v>3047</v>
      </c>
      <c r="B62" s="134" t="s">
        <v>3048</v>
      </c>
      <c r="C62" s="135" t="s">
        <v>1105</v>
      </c>
      <c r="D62" s="134" t="s">
        <v>3049</v>
      </c>
      <c r="E62" s="140">
        <v>9</v>
      </c>
      <c r="F62" s="134" t="s">
        <v>3050</v>
      </c>
    </row>
    <row r="63" spans="1:6" ht="20.100000000000001" customHeight="1">
      <c r="A63" s="134" t="s">
        <v>3051</v>
      </c>
      <c r="B63" s="134" t="s">
        <v>3052</v>
      </c>
      <c r="C63" s="135" t="s">
        <v>1105</v>
      </c>
      <c r="D63" s="134" t="s">
        <v>3049</v>
      </c>
      <c r="E63" s="140">
        <v>8</v>
      </c>
      <c r="F63" s="134" t="s">
        <v>3053</v>
      </c>
    </row>
    <row r="64" spans="1:6" ht="20.100000000000001" customHeight="1">
      <c r="A64" s="134" t="s">
        <v>3054</v>
      </c>
      <c r="B64" s="134" t="s">
        <v>3055</v>
      </c>
      <c r="C64" s="135" t="s">
        <v>1105</v>
      </c>
      <c r="D64" s="134" t="s">
        <v>3003</v>
      </c>
      <c r="E64" s="140">
        <v>4</v>
      </c>
      <c r="F64" s="134" t="s">
        <v>3056</v>
      </c>
    </row>
    <row r="65" spans="1:6" ht="20.100000000000001" customHeight="1">
      <c r="A65" s="134" t="s">
        <v>3057</v>
      </c>
      <c r="B65" s="134" t="s">
        <v>3058</v>
      </c>
      <c r="C65" s="135" t="s">
        <v>1105</v>
      </c>
      <c r="D65" s="134" t="s">
        <v>3003</v>
      </c>
      <c r="E65" s="140">
        <v>4</v>
      </c>
      <c r="F65" s="134" t="s">
        <v>3059</v>
      </c>
    </row>
    <row r="66" spans="1:6" ht="20.100000000000001" customHeight="1">
      <c r="A66" s="134" t="s">
        <v>3060</v>
      </c>
      <c r="B66" s="134" t="s">
        <v>3061</v>
      </c>
      <c r="C66" s="135" t="s">
        <v>1105</v>
      </c>
      <c r="D66" s="134" t="s">
        <v>3003</v>
      </c>
      <c r="E66" s="140">
        <v>5</v>
      </c>
      <c r="F66" s="134" t="s">
        <v>3062</v>
      </c>
    </row>
    <row r="67" spans="1:6" ht="20.100000000000001" customHeight="1">
      <c r="A67" s="134" t="s">
        <v>3063</v>
      </c>
      <c r="B67" s="134" t="s">
        <v>3064</v>
      </c>
      <c r="C67" s="135" t="s">
        <v>1105</v>
      </c>
      <c r="D67" s="134" t="s">
        <v>2978</v>
      </c>
      <c r="E67" s="140">
        <v>4</v>
      </c>
      <c r="F67" s="134" t="s">
        <v>3065</v>
      </c>
    </row>
    <row r="68" spans="1:6" ht="20.100000000000001" customHeight="1">
      <c r="A68" s="138" t="s">
        <v>3066</v>
      </c>
      <c r="B68" s="138" t="s">
        <v>3067</v>
      </c>
      <c r="C68" s="141" t="s">
        <v>1105</v>
      </c>
      <c r="D68" s="138" t="s">
        <v>2978</v>
      </c>
      <c r="E68" s="142">
        <v>4</v>
      </c>
      <c r="F68" s="138" t="s">
        <v>3068</v>
      </c>
    </row>
    <row r="69" spans="1:6" ht="20.100000000000001" customHeight="1">
      <c r="A69" s="143" t="s">
        <v>3069</v>
      </c>
      <c r="B69" s="143" t="s">
        <v>3070</v>
      </c>
      <c r="C69" s="144" t="s">
        <v>1105</v>
      </c>
      <c r="D69" s="143" t="s">
        <v>3071</v>
      </c>
      <c r="E69" s="145">
        <v>6</v>
      </c>
      <c r="F69" s="143" t="s">
        <v>3072</v>
      </c>
    </row>
    <row r="70" spans="1:6" ht="20.100000000000001" customHeight="1">
      <c r="A70" s="143" t="s">
        <v>3073</v>
      </c>
      <c r="B70" s="143" t="s">
        <v>3074</v>
      </c>
      <c r="C70" s="144" t="s">
        <v>1105</v>
      </c>
      <c r="D70" s="143" t="s">
        <v>3071</v>
      </c>
      <c r="E70" s="145">
        <v>3</v>
      </c>
      <c r="F70" s="143" t="s">
        <v>3075</v>
      </c>
    </row>
    <row r="71" spans="1:6" ht="20.100000000000001" customHeight="1">
      <c r="A71" s="143" t="s">
        <v>3076</v>
      </c>
      <c r="B71" s="143" t="s">
        <v>3077</v>
      </c>
      <c r="C71" s="144" t="s">
        <v>1105</v>
      </c>
      <c r="D71" s="143" t="s">
        <v>3071</v>
      </c>
      <c r="E71" s="145">
        <v>9</v>
      </c>
      <c r="F71" s="143" t="s">
        <v>3078</v>
      </c>
    </row>
    <row r="72" spans="1:6" ht="20.100000000000001" customHeight="1">
      <c r="A72" s="143" t="s">
        <v>3079</v>
      </c>
      <c r="B72" s="143" t="s">
        <v>3080</v>
      </c>
      <c r="C72" s="144" t="s">
        <v>1105</v>
      </c>
      <c r="D72" s="143" t="s">
        <v>3071</v>
      </c>
      <c r="E72" s="145">
        <v>7</v>
      </c>
      <c r="F72" s="143" t="s">
        <v>3081</v>
      </c>
    </row>
    <row r="73" spans="1:6" ht="20.100000000000001" customHeight="1">
      <c r="A73" s="146" t="s">
        <v>3082</v>
      </c>
      <c r="B73" s="147" t="s">
        <v>3083</v>
      </c>
      <c r="C73" s="147" t="s">
        <v>1105</v>
      </c>
      <c r="D73" s="147" t="s">
        <v>3071</v>
      </c>
      <c r="E73" s="147">
        <v>9</v>
      </c>
      <c r="F73" s="147" t="s">
        <v>3084</v>
      </c>
    </row>
    <row r="74" spans="1:6" ht="20.100000000000001" customHeight="1">
      <c r="A74" s="146" t="s">
        <v>3085</v>
      </c>
      <c r="B74" s="147" t="s">
        <v>3086</v>
      </c>
      <c r="C74" s="147" t="s">
        <v>1105</v>
      </c>
      <c r="D74" s="147" t="s">
        <v>3071</v>
      </c>
      <c r="E74" s="147">
        <v>7</v>
      </c>
      <c r="F74" s="147" t="s">
        <v>3087</v>
      </c>
    </row>
    <row r="75" spans="1:6" ht="20.100000000000001" customHeight="1">
      <c r="A75" s="146" t="s">
        <v>3088</v>
      </c>
      <c r="B75" s="147" t="s">
        <v>3089</v>
      </c>
      <c r="C75" s="147" t="s">
        <v>1105</v>
      </c>
      <c r="D75" s="147" t="s">
        <v>2954</v>
      </c>
      <c r="E75" s="147">
        <v>5</v>
      </c>
      <c r="F75" s="147" t="s">
        <v>3090</v>
      </c>
    </row>
    <row r="76" spans="1:6" ht="20.100000000000001" customHeight="1">
      <c r="A76" s="148" t="s">
        <v>3091</v>
      </c>
      <c r="B76" s="148" t="s">
        <v>3092</v>
      </c>
      <c r="C76" s="149" t="s">
        <v>3093</v>
      </c>
      <c r="D76" s="148" t="s">
        <v>2920</v>
      </c>
      <c r="E76" s="150">
        <v>3</v>
      </c>
      <c r="F76" s="148" t="s">
        <v>3094</v>
      </c>
    </row>
    <row r="77" spans="1:6" ht="20.100000000000001" customHeight="1">
      <c r="A77" s="148" t="s">
        <v>3095</v>
      </c>
      <c r="B77" s="148" t="s">
        <v>3096</v>
      </c>
      <c r="C77" s="149" t="s">
        <v>3097</v>
      </c>
      <c r="D77" s="148" t="s">
        <v>3035</v>
      </c>
      <c r="E77" s="150">
        <v>15</v>
      </c>
      <c r="F77" s="148" t="s">
        <v>3098</v>
      </c>
    </row>
    <row r="78" spans="1:6" ht="20.100000000000001" customHeight="1">
      <c r="A78" s="148" t="s">
        <v>3099</v>
      </c>
      <c r="B78" s="148" t="s">
        <v>3100</v>
      </c>
      <c r="C78" s="149" t="s">
        <v>3097</v>
      </c>
      <c r="D78" s="148" t="s">
        <v>3101</v>
      </c>
      <c r="E78" s="150">
        <v>2</v>
      </c>
      <c r="F78" s="148" t="s">
        <v>3102</v>
      </c>
    </row>
    <row r="79" spans="1:6" ht="20.100000000000001" customHeight="1">
      <c r="A79" s="148" t="s">
        <v>3103</v>
      </c>
      <c r="B79" s="148" t="s">
        <v>3104</v>
      </c>
      <c r="C79" s="149" t="s">
        <v>3097</v>
      </c>
      <c r="D79" s="148" t="s">
        <v>3035</v>
      </c>
      <c r="E79" s="150">
        <v>12</v>
      </c>
      <c r="F79" s="148" t="s">
        <v>3105</v>
      </c>
    </row>
    <row r="80" spans="1:6" ht="20.100000000000001" customHeight="1">
      <c r="A80" s="148" t="s">
        <v>3106</v>
      </c>
      <c r="B80" s="148" t="s">
        <v>3107</v>
      </c>
      <c r="C80" s="149" t="s">
        <v>3097</v>
      </c>
      <c r="D80" s="148" t="s">
        <v>2920</v>
      </c>
      <c r="E80" s="150">
        <v>2</v>
      </c>
      <c r="F80" s="148" t="s">
        <v>3108</v>
      </c>
    </row>
    <row r="81" spans="1:6" ht="20.100000000000001" customHeight="1">
      <c r="A81" s="148" t="s">
        <v>3109</v>
      </c>
      <c r="B81" s="148" t="s">
        <v>3110</v>
      </c>
      <c r="C81" s="149" t="s">
        <v>3097</v>
      </c>
      <c r="D81" s="148" t="s">
        <v>2920</v>
      </c>
      <c r="E81" s="150">
        <v>3</v>
      </c>
      <c r="F81" s="148" t="s">
        <v>3111</v>
      </c>
    </row>
    <row r="82" spans="1:6" ht="20.100000000000001" customHeight="1">
      <c r="A82" s="148" t="s">
        <v>3112</v>
      </c>
      <c r="B82" s="148" t="s">
        <v>3113</v>
      </c>
      <c r="C82" s="149" t="s">
        <v>3097</v>
      </c>
      <c r="D82" s="148" t="s">
        <v>3114</v>
      </c>
      <c r="E82" s="150">
        <v>3</v>
      </c>
      <c r="F82" s="148" t="s">
        <v>3115</v>
      </c>
    </row>
    <row r="83" spans="1:6" ht="20.100000000000001" customHeight="1">
      <c r="A83" s="148" t="s">
        <v>3116</v>
      </c>
      <c r="B83" s="148" t="s">
        <v>3117</v>
      </c>
      <c r="C83" s="149" t="s">
        <v>3097</v>
      </c>
      <c r="D83" s="148" t="s">
        <v>2920</v>
      </c>
      <c r="E83" s="150">
        <v>3</v>
      </c>
      <c r="F83" s="148" t="s">
        <v>3118</v>
      </c>
    </row>
    <row r="84" spans="1:6" ht="20.100000000000001" customHeight="1">
      <c r="A84" s="148" t="s">
        <v>3119</v>
      </c>
      <c r="B84" s="148" t="s">
        <v>3120</v>
      </c>
      <c r="C84" s="149" t="s">
        <v>3097</v>
      </c>
      <c r="D84" s="148" t="s">
        <v>2920</v>
      </c>
      <c r="E84" s="150">
        <v>3</v>
      </c>
      <c r="F84" s="148" t="s">
        <v>3121</v>
      </c>
    </row>
    <row r="85" spans="1:6" ht="20.100000000000001" customHeight="1">
      <c r="A85" s="148" t="s">
        <v>3122</v>
      </c>
      <c r="B85" s="148" t="s">
        <v>3123</v>
      </c>
      <c r="C85" s="149" t="s">
        <v>3097</v>
      </c>
      <c r="D85" s="148" t="s">
        <v>3021</v>
      </c>
      <c r="E85" s="150">
        <v>7</v>
      </c>
      <c r="F85" s="148" t="s">
        <v>3124</v>
      </c>
    </row>
    <row r="86" spans="1:6" ht="20.100000000000001" customHeight="1">
      <c r="A86" s="148" t="s">
        <v>3125</v>
      </c>
      <c r="B86" s="148" t="s">
        <v>3126</v>
      </c>
      <c r="C86" s="149" t="s">
        <v>3097</v>
      </c>
      <c r="D86" s="148" t="s">
        <v>3114</v>
      </c>
      <c r="E86" s="150">
        <v>5</v>
      </c>
      <c r="F86" s="148" t="s">
        <v>3127</v>
      </c>
    </row>
    <row r="87" spans="1:6" ht="20.100000000000001" customHeight="1">
      <c r="A87" s="148" t="s">
        <v>3128</v>
      </c>
      <c r="B87" s="148" t="s">
        <v>3129</v>
      </c>
      <c r="C87" s="149" t="s">
        <v>3097</v>
      </c>
      <c r="D87" s="148" t="s">
        <v>2920</v>
      </c>
      <c r="E87" s="150">
        <v>3</v>
      </c>
      <c r="F87" s="148" t="s">
        <v>3130</v>
      </c>
    </row>
    <row r="88" spans="1:6" ht="20.100000000000001" customHeight="1">
      <c r="A88" s="151" t="s">
        <v>3131</v>
      </c>
      <c r="B88" s="151" t="s">
        <v>3132</v>
      </c>
      <c r="C88" s="152" t="s">
        <v>3097</v>
      </c>
      <c r="D88" s="151" t="s">
        <v>2920</v>
      </c>
      <c r="E88" s="153">
        <v>6</v>
      </c>
      <c r="F88" s="151" t="s">
        <v>3133</v>
      </c>
    </row>
    <row r="89" spans="1:6" ht="20.100000000000001" customHeight="1">
      <c r="A89" s="37"/>
      <c r="B89" s="37"/>
      <c r="C89" s="37"/>
      <c r="D89" s="37"/>
      <c r="E89" s="37"/>
      <c r="F89" s="37"/>
    </row>
    <row r="90" spans="1:6" ht="20.100000000000001" customHeight="1">
      <c r="A90" s="130" t="s">
        <v>3134</v>
      </c>
      <c r="B90" s="131"/>
      <c r="C90" s="131"/>
      <c r="D90" s="131"/>
      <c r="E90" s="131"/>
      <c r="F90" s="131"/>
    </row>
    <row r="91" spans="1:6" ht="20.100000000000001" customHeight="1">
      <c r="A91" s="132" t="s">
        <v>353</v>
      </c>
      <c r="B91" s="133" t="s">
        <v>3135</v>
      </c>
      <c r="C91" s="133" t="s">
        <v>3136</v>
      </c>
      <c r="D91" s="132" t="s">
        <v>3137</v>
      </c>
      <c r="E91" s="132" t="s">
        <v>3138</v>
      </c>
      <c r="F91" s="132" t="s">
        <v>678</v>
      </c>
    </row>
    <row r="92" spans="1:6" ht="20.100000000000001" customHeight="1">
      <c r="A92" s="134" t="s">
        <v>3139</v>
      </c>
      <c r="B92" s="140" t="s">
        <v>3140</v>
      </c>
      <c r="C92" s="140" t="s">
        <v>3141</v>
      </c>
      <c r="D92" s="134" t="s">
        <v>3142</v>
      </c>
      <c r="E92" s="134" t="s">
        <v>342</v>
      </c>
      <c r="F92" s="134" t="s">
        <v>3143</v>
      </c>
    </row>
    <row r="93" spans="1:6" ht="20.100000000000001" customHeight="1">
      <c r="A93" s="134" t="s">
        <v>3144</v>
      </c>
      <c r="B93" s="154">
        <v>46042</v>
      </c>
      <c r="C93" s="140" t="s">
        <v>3145</v>
      </c>
      <c r="D93" s="134" t="s">
        <v>3146</v>
      </c>
      <c r="E93" s="134" t="s">
        <v>342</v>
      </c>
      <c r="F93" s="134" t="s">
        <v>3147</v>
      </c>
    </row>
    <row r="94" spans="1:6" ht="20.100000000000001" customHeight="1">
      <c r="A94" s="134" t="s">
        <v>3148</v>
      </c>
      <c r="B94" s="140" t="s">
        <v>3149</v>
      </c>
      <c r="C94" s="140" t="s">
        <v>3150</v>
      </c>
      <c r="D94" s="134" t="s">
        <v>3151</v>
      </c>
      <c r="E94" s="134" t="s">
        <v>3152</v>
      </c>
      <c r="F94" s="134" t="s">
        <v>3153</v>
      </c>
    </row>
    <row r="95" spans="1:6" ht="20.100000000000001" customHeight="1">
      <c r="A95" s="134" t="s">
        <v>3154</v>
      </c>
      <c r="B95" s="140" t="s">
        <v>3155</v>
      </c>
      <c r="C95" s="140" t="s">
        <v>3156</v>
      </c>
      <c r="D95" s="134" t="s">
        <v>3157</v>
      </c>
      <c r="E95" s="134" t="s">
        <v>342</v>
      </c>
      <c r="F95" s="134" t="s">
        <v>3158</v>
      </c>
    </row>
    <row r="96" spans="1:6" ht="20.100000000000001" customHeight="1">
      <c r="A96" s="134" t="s">
        <v>3159</v>
      </c>
      <c r="B96" s="140" t="s">
        <v>3160</v>
      </c>
      <c r="C96" s="140" t="s">
        <v>3161</v>
      </c>
      <c r="D96" s="134" t="s">
        <v>3162</v>
      </c>
      <c r="E96" s="134" t="s">
        <v>3163</v>
      </c>
      <c r="F96" s="134" t="s">
        <v>3164</v>
      </c>
    </row>
    <row r="97" spans="1:6" ht="20.100000000000001" customHeight="1">
      <c r="A97" s="134" t="s">
        <v>3165</v>
      </c>
      <c r="B97" s="140" t="s">
        <v>3166</v>
      </c>
      <c r="C97" s="140" t="s">
        <v>3161</v>
      </c>
      <c r="D97" s="134" t="s">
        <v>3167</v>
      </c>
      <c r="E97" s="134" t="s">
        <v>3163</v>
      </c>
      <c r="F97" s="134" t="s">
        <v>3168</v>
      </c>
    </row>
    <row r="98" spans="1:6" ht="20.100000000000001" customHeight="1">
      <c r="A98" s="134" t="s">
        <v>3169</v>
      </c>
      <c r="B98" s="140" t="s">
        <v>3170</v>
      </c>
      <c r="C98" s="140" t="s">
        <v>3161</v>
      </c>
      <c r="D98" s="134" t="s">
        <v>3167</v>
      </c>
      <c r="E98" s="134" t="s">
        <v>3171</v>
      </c>
      <c r="F98" s="134" t="s">
        <v>3172</v>
      </c>
    </row>
    <row r="99" spans="1:6" ht="20.100000000000001" customHeight="1">
      <c r="A99" s="134" t="s">
        <v>3173</v>
      </c>
      <c r="B99" s="140" t="s">
        <v>3174</v>
      </c>
      <c r="C99" s="140" t="s">
        <v>3161</v>
      </c>
      <c r="D99" s="134" t="s">
        <v>3175</v>
      </c>
      <c r="E99" s="134" t="s">
        <v>3176</v>
      </c>
      <c r="F99" s="134" t="s">
        <v>3177</v>
      </c>
    </row>
    <row r="100" spans="1:6" ht="20.100000000000001" customHeight="1">
      <c r="A100" s="134" t="s">
        <v>3178</v>
      </c>
      <c r="B100" s="140" t="s">
        <v>3179</v>
      </c>
      <c r="C100" s="140" t="s">
        <v>3161</v>
      </c>
      <c r="D100" s="134" t="s">
        <v>3180</v>
      </c>
      <c r="E100" s="134" t="s">
        <v>3181</v>
      </c>
      <c r="F100" s="134" t="s">
        <v>3182</v>
      </c>
    </row>
    <row r="101" spans="1:6" ht="20.100000000000001" customHeight="1">
      <c r="A101" s="134" t="s">
        <v>3183</v>
      </c>
      <c r="B101" s="140" t="s">
        <v>3184</v>
      </c>
      <c r="C101" s="140" t="s">
        <v>3161</v>
      </c>
      <c r="D101" s="134" t="s">
        <v>3185</v>
      </c>
      <c r="E101" s="134" t="s">
        <v>3186</v>
      </c>
      <c r="F101" s="134" t="s">
        <v>3187</v>
      </c>
    </row>
    <row r="102" spans="1:6" ht="20.100000000000001" customHeight="1">
      <c r="A102" s="134" t="s">
        <v>3188</v>
      </c>
      <c r="B102" s="140" t="s">
        <v>3189</v>
      </c>
      <c r="C102" s="140" t="s">
        <v>3161</v>
      </c>
      <c r="D102" s="134" t="s">
        <v>3190</v>
      </c>
      <c r="E102" s="134" t="s">
        <v>3191</v>
      </c>
      <c r="F102" s="134" t="s">
        <v>3192</v>
      </c>
    </row>
    <row r="103" spans="1:6" ht="20.100000000000001" customHeight="1">
      <c r="A103" s="134" t="s">
        <v>3193</v>
      </c>
      <c r="B103" s="140" t="s">
        <v>3194</v>
      </c>
      <c r="C103" s="140" t="s">
        <v>3161</v>
      </c>
      <c r="D103" s="134" t="s">
        <v>3195</v>
      </c>
      <c r="E103" s="134" t="s">
        <v>3196</v>
      </c>
      <c r="F103" s="134" t="s">
        <v>3197</v>
      </c>
    </row>
    <row r="104" spans="1:6" ht="20.100000000000001" customHeight="1">
      <c r="A104" s="134" t="s">
        <v>3198</v>
      </c>
      <c r="B104" s="140" t="s">
        <v>342</v>
      </c>
      <c r="C104" s="140" t="s">
        <v>3161</v>
      </c>
      <c r="D104" s="134" t="s">
        <v>3199</v>
      </c>
      <c r="E104" s="134" t="s">
        <v>3200</v>
      </c>
      <c r="F104" s="134" t="s">
        <v>3201</v>
      </c>
    </row>
    <row r="105" spans="1:6" ht="20.100000000000001" customHeight="1">
      <c r="A105" s="134" t="s">
        <v>3202</v>
      </c>
      <c r="B105" s="140" t="s">
        <v>3203</v>
      </c>
      <c r="C105" s="140" t="s">
        <v>3161</v>
      </c>
      <c r="D105" s="134" t="s">
        <v>3204</v>
      </c>
      <c r="E105" s="134" t="s">
        <v>3205</v>
      </c>
      <c r="F105" s="134" t="s">
        <v>3206</v>
      </c>
    </row>
    <row r="106" spans="1:6" ht="20.100000000000001" customHeight="1">
      <c r="A106" s="134" t="s">
        <v>3207</v>
      </c>
      <c r="B106" s="140" t="s">
        <v>342</v>
      </c>
      <c r="C106" s="140" t="s">
        <v>3161</v>
      </c>
      <c r="D106" s="134" t="s">
        <v>3208</v>
      </c>
      <c r="E106" s="134" t="s">
        <v>3209</v>
      </c>
      <c r="F106" s="134" t="s">
        <v>3210</v>
      </c>
    </row>
    <row r="107" spans="1:6" ht="20.100000000000001" customHeight="1">
      <c r="A107" s="134" t="s">
        <v>3211</v>
      </c>
      <c r="B107" s="140" t="s">
        <v>342</v>
      </c>
      <c r="C107" s="140" t="s">
        <v>3161</v>
      </c>
      <c r="D107" s="134" t="s">
        <v>3212</v>
      </c>
      <c r="E107" s="134" t="s">
        <v>342</v>
      </c>
      <c r="F107" s="134" t="s">
        <v>3213</v>
      </c>
    </row>
    <row r="108" spans="1:6" ht="20.100000000000001" customHeight="1">
      <c r="A108" s="134" t="s">
        <v>3214</v>
      </c>
      <c r="B108" s="140" t="s">
        <v>342</v>
      </c>
      <c r="C108" s="140" t="s">
        <v>3161</v>
      </c>
      <c r="D108" s="134" t="s">
        <v>3215</v>
      </c>
      <c r="E108" s="134" t="s">
        <v>3216</v>
      </c>
      <c r="F108" s="134" t="s">
        <v>3217</v>
      </c>
    </row>
    <row r="109" spans="1:6" ht="20.100000000000001" customHeight="1">
      <c r="A109" s="134" t="s">
        <v>3218</v>
      </c>
      <c r="B109" s="140" t="s">
        <v>342</v>
      </c>
      <c r="C109" s="140" t="s">
        <v>3219</v>
      </c>
      <c r="D109" s="134" t="s">
        <v>3220</v>
      </c>
      <c r="E109" s="134" t="s">
        <v>342</v>
      </c>
      <c r="F109" s="134" t="s">
        <v>3221</v>
      </c>
    </row>
    <row r="110" spans="1:6" ht="20.100000000000001" customHeight="1">
      <c r="A110" s="134" t="s">
        <v>3222</v>
      </c>
      <c r="B110" s="140" t="s">
        <v>342</v>
      </c>
      <c r="C110" s="140" t="s">
        <v>3161</v>
      </c>
      <c r="D110" s="134" t="s">
        <v>3223</v>
      </c>
      <c r="E110" s="134" t="s">
        <v>342</v>
      </c>
      <c r="F110" s="134" t="s">
        <v>3224</v>
      </c>
    </row>
    <row r="111" spans="1:6" ht="20.100000000000001" customHeight="1">
      <c r="A111" s="138" t="s">
        <v>3225</v>
      </c>
      <c r="B111" s="142" t="s">
        <v>3226</v>
      </c>
      <c r="C111" s="142" t="s">
        <v>3227</v>
      </c>
      <c r="D111" s="138" t="s">
        <v>3228</v>
      </c>
      <c r="E111" s="138" t="s">
        <v>3229</v>
      </c>
      <c r="F111" s="138" t="s">
        <v>3230</v>
      </c>
    </row>
    <row r="112" spans="1:6" ht="20.100000000000001" customHeight="1">
      <c r="A112" s="37"/>
      <c r="B112" s="37"/>
      <c r="C112" s="37"/>
      <c r="D112" s="37"/>
      <c r="E112" s="37"/>
      <c r="F112" s="37"/>
    </row>
    <row r="113" spans="1:6" ht="20.100000000000001" customHeight="1">
      <c r="A113" s="130" t="s">
        <v>3231</v>
      </c>
      <c r="B113" s="131"/>
      <c r="C113" s="131"/>
      <c r="D113" s="131"/>
      <c r="E113" s="131"/>
      <c r="F113" s="131"/>
    </row>
    <row r="114" spans="1:6" ht="20.100000000000001" customHeight="1">
      <c r="A114" s="155" t="s">
        <v>3232</v>
      </c>
      <c r="B114" s="37"/>
      <c r="C114" s="37"/>
      <c r="D114" s="37"/>
      <c r="E114" s="37"/>
      <c r="F114" s="37"/>
    </row>
    <row r="115" spans="1:6" ht="20.100000000000001" customHeight="1">
      <c r="A115" s="143" t="s">
        <v>3233</v>
      </c>
      <c r="B115" s="37"/>
      <c r="C115" s="37"/>
      <c r="D115" s="37"/>
      <c r="E115" s="37"/>
      <c r="F115" s="37"/>
    </row>
    <row r="116" spans="1:6" ht="27" customHeight="1">
      <c r="A116" s="143" t="s">
        <v>3234</v>
      </c>
      <c r="B116" s="37"/>
      <c r="C116" s="37"/>
      <c r="D116" s="37"/>
      <c r="E116" s="37"/>
      <c r="F116" s="37"/>
    </row>
    <row r="117" spans="1:6" ht="27" customHeight="1">
      <c r="A117" s="143" t="s">
        <v>3235</v>
      </c>
      <c r="B117" s="37"/>
      <c r="C117" s="37"/>
      <c r="D117" s="37"/>
      <c r="E117" s="37"/>
      <c r="F117" s="37"/>
    </row>
    <row r="118" spans="1:6" ht="27" customHeight="1">
      <c r="A118" s="143" t="s">
        <v>3236</v>
      </c>
      <c r="B118" s="37"/>
      <c r="C118" s="37"/>
      <c r="D118" s="37"/>
      <c r="E118" s="37"/>
      <c r="F118" s="37"/>
    </row>
    <row r="119" spans="1:6" ht="27" customHeight="1">
      <c r="A119" s="143" t="s">
        <v>3237</v>
      </c>
      <c r="B119" s="37"/>
      <c r="C119" s="37"/>
      <c r="D119" s="37"/>
      <c r="E119" s="37"/>
      <c r="F119" s="37"/>
    </row>
    <row r="120" spans="1:6">
      <c r="A120" s="143" t="s">
        <v>3238</v>
      </c>
      <c r="B120" s="37"/>
      <c r="C120" s="37"/>
      <c r="D120" s="37"/>
      <c r="E120" s="37"/>
      <c r="F120" s="37"/>
    </row>
    <row r="121" spans="1:6">
      <c r="A121" s="143" t="s">
        <v>3239</v>
      </c>
      <c r="B121" s="37"/>
      <c r="C121" s="37"/>
      <c r="D121" s="37"/>
      <c r="E121" s="37"/>
      <c r="F121" s="37"/>
    </row>
    <row r="122" spans="1:6">
      <c r="A122" s="143"/>
      <c r="B122" s="37"/>
      <c r="C122" s="37"/>
      <c r="D122" s="37"/>
      <c r="E122" s="37"/>
      <c r="F122" s="37"/>
    </row>
    <row r="123" spans="1:6" ht="40.5" customHeight="1">
      <c r="A123" s="155" t="s">
        <v>3240</v>
      </c>
      <c r="B123" s="37"/>
      <c r="C123" s="37"/>
      <c r="D123" s="37"/>
      <c r="E123" s="37"/>
      <c r="F123" s="37"/>
    </row>
    <row r="124" spans="1:6" ht="40.5" customHeight="1">
      <c r="A124" s="143" t="s">
        <v>3241</v>
      </c>
      <c r="B124" s="37"/>
      <c r="C124" s="37"/>
      <c r="D124" s="37"/>
      <c r="E124" s="37"/>
      <c r="F124" s="37"/>
    </row>
    <row r="125" spans="1:6" ht="27" customHeight="1">
      <c r="A125" s="143" t="s">
        <v>3242</v>
      </c>
      <c r="B125" s="37"/>
      <c r="C125" s="37"/>
      <c r="D125" s="37"/>
      <c r="E125" s="37"/>
      <c r="F125" s="37"/>
    </row>
    <row r="126" spans="1:6" ht="27" customHeight="1">
      <c r="A126" s="143" t="s">
        <v>3243</v>
      </c>
      <c r="B126" s="37"/>
      <c r="C126" s="37"/>
      <c r="D126" s="37"/>
      <c r="E126" s="37"/>
      <c r="F126" s="37"/>
    </row>
    <row r="127" spans="1:6" ht="27" customHeight="1">
      <c r="A127" s="143" t="s">
        <v>3244</v>
      </c>
      <c r="B127" s="37"/>
      <c r="C127" s="37"/>
      <c r="D127" s="37"/>
      <c r="E127" s="37"/>
      <c r="F127" s="37"/>
    </row>
    <row r="128" spans="1:6" ht="27" customHeight="1">
      <c r="A128" s="143" t="s">
        <v>3245</v>
      </c>
      <c r="B128" s="37"/>
      <c r="C128" s="37"/>
      <c r="D128" s="37"/>
      <c r="E128" s="37"/>
      <c r="F128" s="37"/>
    </row>
    <row r="129" spans="1:6">
      <c r="A129" s="143"/>
      <c r="B129" s="37"/>
      <c r="C129" s="37"/>
      <c r="D129" s="37"/>
      <c r="E129" s="37"/>
      <c r="F129" s="37"/>
    </row>
    <row r="130" spans="1:6" ht="40.5" customHeight="1">
      <c r="A130" s="155" t="s">
        <v>3246</v>
      </c>
      <c r="B130" s="37"/>
      <c r="C130" s="37"/>
      <c r="D130" s="37"/>
      <c r="E130" s="37"/>
      <c r="F130" s="37"/>
    </row>
    <row r="131" spans="1:6" ht="27" customHeight="1">
      <c r="A131" s="143" t="s">
        <v>3247</v>
      </c>
      <c r="B131" s="37"/>
      <c r="C131" s="37"/>
      <c r="D131" s="37"/>
      <c r="E131" s="37"/>
      <c r="F131" s="37"/>
    </row>
    <row r="132" spans="1:6" ht="27" customHeight="1">
      <c r="A132" s="143" t="s">
        <v>3248</v>
      </c>
      <c r="B132" s="37"/>
      <c r="C132" s="37"/>
      <c r="D132" s="37"/>
      <c r="E132" s="37"/>
      <c r="F132" s="37"/>
    </row>
    <row r="133" spans="1:6" ht="27" customHeight="1">
      <c r="A133" s="143" t="s">
        <v>3249</v>
      </c>
      <c r="B133" s="37"/>
      <c r="C133" s="37"/>
      <c r="D133" s="37"/>
      <c r="E133" s="37"/>
      <c r="F133" s="37"/>
    </row>
    <row r="134" spans="1:6" ht="27" customHeight="1">
      <c r="A134" s="143" t="s">
        <v>3250</v>
      </c>
      <c r="B134" s="37"/>
      <c r="C134" s="37"/>
      <c r="D134" s="37"/>
      <c r="E134" s="37"/>
      <c r="F134" s="37"/>
    </row>
    <row r="135" spans="1:6" ht="27" customHeight="1">
      <c r="A135" s="143" t="s">
        <v>3251</v>
      </c>
      <c r="B135" s="37"/>
      <c r="C135" s="37"/>
      <c r="D135" s="37"/>
      <c r="E135" s="37"/>
      <c r="F135" s="37"/>
    </row>
    <row r="136" spans="1:6" ht="27" customHeight="1">
      <c r="A136" s="143" t="s">
        <v>3252</v>
      </c>
      <c r="B136" s="37"/>
      <c r="C136" s="37"/>
      <c r="D136" s="37"/>
      <c r="E136" s="37"/>
      <c r="F136" s="37"/>
    </row>
    <row r="137" spans="1:6" ht="27" customHeight="1">
      <c r="A137" s="143" t="s">
        <v>3253</v>
      </c>
      <c r="B137" s="37"/>
      <c r="C137" s="37"/>
      <c r="D137" s="37"/>
      <c r="E137" s="37"/>
      <c r="F137" s="37"/>
    </row>
    <row r="138" spans="1:6">
      <c r="A138" s="143"/>
      <c r="B138" s="37"/>
      <c r="C138" s="37"/>
      <c r="D138" s="37"/>
      <c r="E138" s="37"/>
      <c r="F138" s="37"/>
    </row>
    <row r="139" spans="1:6" ht="27" customHeight="1">
      <c r="A139" s="155" t="s">
        <v>3254</v>
      </c>
      <c r="B139" s="37"/>
      <c r="C139" s="37"/>
      <c r="D139" s="37"/>
      <c r="E139" s="37"/>
      <c r="F139" s="37"/>
    </row>
    <row r="140" spans="1:6" ht="27" customHeight="1">
      <c r="A140" s="143" t="s">
        <v>3255</v>
      </c>
      <c r="B140" s="37"/>
      <c r="C140" s="37"/>
      <c r="D140" s="37"/>
      <c r="E140" s="37"/>
      <c r="F140" s="37"/>
    </row>
    <row r="141" spans="1:6" ht="27" customHeight="1">
      <c r="A141" s="143" t="s">
        <v>3256</v>
      </c>
      <c r="B141" s="37"/>
      <c r="C141" s="37"/>
      <c r="D141" s="37"/>
      <c r="E141" s="37"/>
      <c r="F141" s="37"/>
    </row>
    <row r="142" spans="1:6">
      <c r="A142" s="143" t="s">
        <v>3257</v>
      </c>
      <c r="B142" s="37"/>
      <c r="C142" s="37"/>
      <c r="D142" s="37"/>
      <c r="E142" s="37"/>
      <c r="F142" s="37"/>
    </row>
    <row r="143" spans="1:6">
      <c r="A143" s="37"/>
      <c r="B143" s="37"/>
      <c r="C143" s="37"/>
      <c r="D143" s="37"/>
      <c r="E143" s="37"/>
      <c r="F143" s="37"/>
    </row>
    <row r="144" spans="1:6">
      <c r="A144" s="130" t="s">
        <v>3258</v>
      </c>
      <c r="B144" s="131"/>
      <c r="C144" s="131"/>
      <c r="D144" s="131"/>
      <c r="E144" s="131"/>
      <c r="F144" s="131"/>
    </row>
    <row r="145" spans="1:6">
      <c r="A145" s="132" t="s">
        <v>39</v>
      </c>
      <c r="B145" s="132" t="s">
        <v>43</v>
      </c>
      <c r="C145" s="132" t="s">
        <v>3259</v>
      </c>
      <c r="D145" s="132" t="s">
        <v>3260</v>
      </c>
      <c r="E145" s="37"/>
      <c r="F145" s="37"/>
    </row>
    <row r="146" spans="1:6">
      <c r="A146" s="156" t="s">
        <v>3261</v>
      </c>
      <c r="B146" s="134" t="s">
        <v>3262</v>
      </c>
      <c r="C146" s="134" t="s">
        <v>3263</v>
      </c>
      <c r="D146" s="134" t="s">
        <v>3264</v>
      </c>
      <c r="E146" s="37"/>
      <c r="F146" s="37"/>
    </row>
    <row r="147" spans="1:6">
      <c r="A147" s="156" t="s">
        <v>3265</v>
      </c>
      <c r="B147" s="134" t="s">
        <v>3266</v>
      </c>
      <c r="C147" s="134" t="s">
        <v>3267</v>
      </c>
      <c r="D147" s="134" t="s">
        <v>3268</v>
      </c>
      <c r="E147" s="37"/>
      <c r="F147" s="37"/>
    </row>
    <row r="148" spans="1:6">
      <c r="A148" s="156" t="s">
        <v>3269</v>
      </c>
      <c r="B148" s="134" t="s">
        <v>3270</v>
      </c>
      <c r="C148" s="134" t="s">
        <v>3271</v>
      </c>
      <c r="D148" s="134" t="s">
        <v>3272</v>
      </c>
      <c r="E148" s="37"/>
      <c r="F148" s="37"/>
    </row>
    <row r="149" spans="1:6">
      <c r="A149" s="156" t="s">
        <v>3273</v>
      </c>
      <c r="B149" s="134" t="s">
        <v>370</v>
      </c>
      <c r="C149" s="134" t="s">
        <v>3274</v>
      </c>
      <c r="D149" s="134" t="s">
        <v>3275</v>
      </c>
      <c r="E149" s="37"/>
      <c r="F149" s="37"/>
    </row>
    <row r="150" spans="1:6">
      <c r="A150" s="156" t="s">
        <v>3276</v>
      </c>
      <c r="B150" s="134" t="s">
        <v>3277</v>
      </c>
      <c r="C150" s="134" t="s">
        <v>3278</v>
      </c>
      <c r="D150" s="134" t="s">
        <v>3279</v>
      </c>
      <c r="E150" s="37"/>
      <c r="F150" s="37"/>
    </row>
    <row r="151" spans="1:6">
      <c r="A151" s="156" t="s">
        <v>3280</v>
      </c>
      <c r="B151" s="134" t="s">
        <v>2901</v>
      </c>
      <c r="C151" s="134" t="s">
        <v>3281</v>
      </c>
      <c r="D151" s="134" t="s">
        <v>3282</v>
      </c>
      <c r="E151" s="37"/>
      <c r="F151" s="37"/>
    </row>
    <row r="152" spans="1:6">
      <c r="A152" s="156" t="s">
        <v>3283</v>
      </c>
      <c r="B152" s="134" t="s">
        <v>3284</v>
      </c>
      <c r="C152" s="134" t="s">
        <v>3285</v>
      </c>
      <c r="D152" s="134" t="s">
        <v>3286</v>
      </c>
      <c r="E152" s="37"/>
      <c r="F152" s="37"/>
    </row>
    <row r="153" spans="1:6">
      <c r="A153" s="156" t="s">
        <v>3287</v>
      </c>
      <c r="B153" s="134" t="s">
        <v>3288</v>
      </c>
      <c r="C153" s="134" t="s">
        <v>3289</v>
      </c>
      <c r="D153" s="134" t="s">
        <v>3290</v>
      </c>
      <c r="E153" s="37"/>
      <c r="F153" s="37"/>
    </row>
    <row r="154" spans="1:6">
      <c r="A154" s="156" t="s">
        <v>3291</v>
      </c>
      <c r="B154" s="134" t="s">
        <v>3292</v>
      </c>
      <c r="C154" s="134" t="s">
        <v>3293</v>
      </c>
      <c r="D154" s="134" t="s">
        <v>3294</v>
      </c>
      <c r="E154" s="37"/>
      <c r="F154" s="37"/>
    </row>
    <row r="155" spans="1:6">
      <c r="A155" s="156" t="s">
        <v>3295</v>
      </c>
      <c r="B155" s="134" t="s">
        <v>3296</v>
      </c>
      <c r="C155" s="134" t="s">
        <v>3297</v>
      </c>
      <c r="D155" s="134" t="s">
        <v>3298</v>
      </c>
      <c r="E155" s="37"/>
      <c r="F155" s="37"/>
    </row>
    <row r="156" spans="1:6">
      <c r="A156" s="156" t="s">
        <v>3299</v>
      </c>
      <c r="B156" s="134" t="s">
        <v>249</v>
      </c>
      <c r="C156" s="134" t="s">
        <v>3300</v>
      </c>
      <c r="D156" s="134" t="s">
        <v>3301</v>
      </c>
      <c r="E156" s="37"/>
      <c r="F156" s="37"/>
    </row>
    <row r="157" spans="1:6">
      <c r="A157" s="156" t="s">
        <v>3302</v>
      </c>
      <c r="B157" s="134" t="s">
        <v>3303</v>
      </c>
      <c r="C157" s="134" t="s">
        <v>3304</v>
      </c>
      <c r="D157" s="134" t="s">
        <v>3305</v>
      </c>
      <c r="E157" s="37"/>
      <c r="F157" s="37"/>
    </row>
    <row r="158" spans="1:6">
      <c r="A158" s="156" t="s">
        <v>3306</v>
      </c>
      <c r="B158" s="134" t="s">
        <v>3307</v>
      </c>
      <c r="C158" s="134" t="s">
        <v>3308</v>
      </c>
      <c r="D158" s="134" t="s">
        <v>3309</v>
      </c>
      <c r="E158" s="37"/>
      <c r="F158" s="37"/>
    </row>
    <row r="159" spans="1:6">
      <c r="A159" s="156" t="s">
        <v>3310</v>
      </c>
      <c r="B159" s="134" t="s">
        <v>3311</v>
      </c>
      <c r="C159" s="134" t="s">
        <v>3312</v>
      </c>
      <c r="D159" s="134" t="s">
        <v>3313</v>
      </c>
      <c r="E159" s="37"/>
      <c r="F159" s="37"/>
    </row>
    <row r="160" spans="1:6">
      <c r="A160" s="156" t="s">
        <v>3314</v>
      </c>
      <c r="B160" s="134" t="s">
        <v>3315</v>
      </c>
      <c r="C160" s="134" t="s">
        <v>3316</v>
      </c>
      <c r="D160" s="134" t="s">
        <v>3317</v>
      </c>
      <c r="E160" s="37"/>
      <c r="F160" s="37"/>
    </row>
    <row r="161" spans="1:6">
      <c r="A161" s="156" t="s">
        <v>3318</v>
      </c>
      <c r="B161" s="134" t="s">
        <v>3319</v>
      </c>
      <c r="C161" s="134" t="s">
        <v>3320</v>
      </c>
      <c r="D161" s="134" t="s">
        <v>3321</v>
      </c>
      <c r="E161" s="37"/>
      <c r="F161" s="37"/>
    </row>
    <row r="162" spans="1:6">
      <c r="A162" s="156" t="s">
        <v>3322</v>
      </c>
      <c r="B162" s="134" t="s">
        <v>3323</v>
      </c>
      <c r="C162" s="134" t="s">
        <v>3324</v>
      </c>
      <c r="D162" s="134" t="s">
        <v>3325</v>
      </c>
      <c r="E162" s="37"/>
      <c r="F162" s="37"/>
    </row>
    <row r="163" spans="1:6">
      <c r="A163" s="156" t="s">
        <v>3326</v>
      </c>
      <c r="B163" s="134" t="s">
        <v>3327</v>
      </c>
      <c r="C163" s="134" t="s">
        <v>3328</v>
      </c>
      <c r="D163" s="134" t="s">
        <v>3329</v>
      </c>
      <c r="E163" s="37"/>
      <c r="F163" s="37"/>
    </row>
    <row r="164" spans="1:6">
      <c r="A164" s="156" t="s">
        <v>3330</v>
      </c>
      <c r="B164" s="134" t="s">
        <v>3331</v>
      </c>
      <c r="C164" s="134" t="s">
        <v>3332</v>
      </c>
      <c r="D164" s="134" t="s">
        <v>3333</v>
      </c>
      <c r="E164" s="37"/>
      <c r="F164" s="37"/>
    </row>
    <row r="165" spans="1:6">
      <c r="A165" s="156" t="s">
        <v>3334</v>
      </c>
      <c r="B165" s="134" t="s">
        <v>3335</v>
      </c>
      <c r="C165" s="134" t="s">
        <v>3336</v>
      </c>
      <c r="D165" s="134" t="s">
        <v>3337</v>
      </c>
      <c r="E165" s="37"/>
      <c r="F165" s="37"/>
    </row>
    <row r="166" spans="1:6">
      <c r="A166" s="156" t="s">
        <v>3338</v>
      </c>
      <c r="B166" s="134" t="s">
        <v>3339</v>
      </c>
      <c r="C166" s="134" t="s">
        <v>3340</v>
      </c>
      <c r="D166" s="134" t="s">
        <v>3341</v>
      </c>
      <c r="E166" s="37"/>
      <c r="F166" s="37"/>
    </row>
    <row r="167" spans="1:6">
      <c r="A167" s="156" t="s">
        <v>3342</v>
      </c>
      <c r="B167" s="134" t="s">
        <v>3339</v>
      </c>
      <c r="C167" s="134" t="s">
        <v>3343</v>
      </c>
      <c r="D167" s="134" t="s">
        <v>3344</v>
      </c>
      <c r="E167" s="37"/>
      <c r="F167" s="37"/>
    </row>
    <row r="168" spans="1:6">
      <c r="A168" s="156" t="s">
        <v>3345</v>
      </c>
      <c r="B168" s="134" t="s">
        <v>3339</v>
      </c>
      <c r="C168" s="134" t="s">
        <v>3346</v>
      </c>
      <c r="D168" s="134" t="s">
        <v>3347</v>
      </c>
      <c r="E168" s="37"/>
      <c r="F168" s="37"/>
    </row>
    <row r="169" spans="1:6">
      <c r="A169" s="156" t="s">
        <v>3348</v>
      </c>
      <c r="B169" s="134" t="s">
        <v>3339</v>
      </c>
      <c r="C169" s="134" t="s">
        <v>3349</v>
      </c>
      <c r="D169" s="134" t="s">
        <v>3350</v>
      </c>
      <c r="E169" s="37"/>
      <c r="F169" s="37"/>
    </row>
    <row r="170" spans="1:6">
      <c r="A170" s="156" t="s">
        <v>3351</v>
      </c>
      <c r="B170" s="134" t="s">
        <v>3352</v>
      </c>
      <c r="C170" s="134" t="s">
        <v>3353</v>
      </c>
      <c r="D170" s="134" t="s">
        <v>3354</v>
      </c>
      <c r="E170" s="37"/>
      <c r="F170" s="37"/>
    </row>
    <row r="171" spans="1:6">
      <c r="A171" s="156" t="s">
        <v>3355</v>
      </c>
      <c r="B171" s="134" t="s">
        <v>3356</v>
      </c>
      <c r="C171" s="134" t="s">
        <v>3357</v>
      </c>
      <c r="D171" s="134" t="s">
        <v>3358</v>
      </c>
      <c r="E171" s="37"/>
      <c r="F171" s="37"/>
    </row>
    <row r="172" spans="1:6">
      <c r="A172" s="156" t="s">
        <v>3359</v>
      </c>
      <c r="B172" s="134" t="s">
        <v>3339</v>
      </c>
      <c r="C172" s="134" t="s">
        <v>3360</v>
      </c>
      <c r="D172" s="134" t="s">
        <v>3361</v>
      </c>
      <c r="E172" s="37"/>
      <c r="F172" s="37"/>
    </row>
    <row r="173" spans="1:6">
      <c r="A173" s="156" t="s">
        <v>3362</v>
      </c>
      <c r="B173" s="134" t="s">
        <v>3363</v>
      </c>
      <c r="C173" s="134" t="s">
        <v>3364</v>
      </c>
      <c r="D173" s="134" t="s">
        <v>3365</v>
      </c>
      <c r="E173" s="37"/>
      <c r="F173" s="37"/>
    </row>
    <row r="174" spans="1:6">
      <c r="A174" s="156" t="s">
        <v>3366</v>
      </c>
      <c r="B174" s="134" t="s">
        <v>370</v>
      </c>
      <c r="C174" s="134" t="s">
        <v>3367</v>
      </c>
      <c r="D174" s="134" t="s">
        <v>3368</v>
      </c>
      <c r="E174" s="37"/>
      <c r="F174" s="37"/>
    </row>
    <row r="175" spans="1:6">
      <c r="A175" s="156" t="s">
        <v>3369</v>
      </c>
      <c r="B175" s="134" t="s">
        <v>3370</v>
      </c>
      <c r="C175" s="134" t="s">
        <v>3371</v>
      </c>
      <c r="D175" s="134" t="s">
        <v>3372</v>
      </c>
      <c r="E175" s="37"/>
      <c r="F175" s="37"/>
    </row>
    <row r="176" spans="1:6">
      <c r="A176" s="156" t="s">
        <v>3373</v>
      </c>
      <c r="B176" s="134" t="s">
        <v>370</v>
      </c>
      <c r="C176" s="134" t="s">
        <v>3374</v>
      </c>
      <c r="D176" s="134" t="s">
        <v>3375</v>
      </c>
      <c r="E176" s="37"/>
      <c r="F176" s="37"/>
    </row>
    <row r="177" spans="1:6">
      <c r="A177" s="156" t="s">
        <v>3376</v>
      </c>
      <c r="B177" s="134" t="s">
        <v>3377</v>
      </c>
      <c r="C177" s="134" t="s">
        <v>3378</v>
      </c>
      <c r="D177" s="134" t="s">
        <v>3379</v>
      </c>
      <c r="E177" s="37"/>
      <c r="F177" s="37"/>
    </row>
    <row r="178" spans="1:6">
      <c r="A178" s="156" t="s">
        <v>3380</v>
      </c>
      <c r="B178" s="134" t="s">
        <v>3377</v>
      </c>
      <c r="C178" s="134" t="s">
        <v>3381</v>
      </c>
      <c r="D178" s="134" t="s">
        <v>3382</v>
      </c>
      <c r="E178" s="37"/>
      <c r="F178" s="37"/>
    </row>
    <row r="179" spans="1:6">
      <c r="A179" s="156" t="s">
        <v>3383</v>
      </c>
      <c r="B179" s="134" t="s">
        <v>3384</v>
      </c>
      <c r="C179" s="134" t="s">
        <v>3385</v>
      </c>
      <c r="D179" s="134" t="s">
        <v>3386</v>
      </c>
      <c r="E179" s="37"/>
      <c r="F179" s="37"/>
    </row>
    <row r="180" spans="1:6">
      <c r="A180" s="156" t="s">
        <v>3387</v>
      </c>
      <c r="B180" s="134" t="s">
        <v>3388</v>
      </c>
      <c r="C180" s="134" t="s">
        <v>3389</v>
      </c>
      <c r="D180" s="134" t="s">
        <v>3390</v>
      </c>
      <c r="E180" s="37"/>
      <c r="F180" s="37"/>
    </row>
    <row r="181" spans="1:6">
      <c r="A181" s="156" t="s">
        <v>3391</v>
      </c>
      <c r="B181" s="134" t="s">
        <v>3392</v>
      </c>
      <c r="C181" s="134" t="s">
        <v>3393</v>
      </c>
      <c r="D181" s="134" t="s">
        <v>3394</v>
      </c>
      <c r="E181" s="37"/>
      <c r="F181" s="37"/>
    </row>
    <row r="182" spans="1:6">
      <c r="A182" s="156" t="s">
        <v>3395</v>
      </c>
      <c r="B182" s="134" t="s">
        <v>3388</v>
      </c>
      <c r="C182" s="134" t="s">
        <v>3396</v>
      </c>
      <c r="D182" s="134" t="s">
        <v>3397</v>
      </c>
      <c r="E182" s="37"/>
      <c r="F182" s="37"/>
    </row>
    <row r="183" spans="1:6">
      <c r="A183" s="156" t="s">
        <v>3398</v>
      </c>
      <c r="B183" s="134" t="s">
        <v>3399</v>
      </c>
      <c r="C183" s="134" t="s">
        <v>3400</v>
      </c>
      <c r="D183" s="134" t="s">
        <v>3401</v>
      </c>
      <c r="E183" s="37"/>
      <c r="F183" s="37"/>
    </row>
    <row r="184" spans="1:6">
      <c r="A184" s="156" t="s">
        <v>3402</v>
      </c>
      <c r="B184" s="134" t="s">
        <v>3399</v>
      </c>
      <c r="C184" s="134" t="s">
        <v>3403</v>
      </c>
      <c r="D184" s="134" t="s">
        <v>3404</v>
      </c>
      <c r="E184" s="37"/>
      <c r="F184" s="37"/>
    </row>
    <row r="185" spans="1:6" ht="27" customHeight="1">
      <c r="A185" s="156" t="s">
        <v>3405</v>
      </c>
      <c r="B185" s="134" t="s">
        <v>3370</v>
      </c>
      <c r="C185" s="134" t="s">
        <v>3406</v>
      </c>
      <c r="D185" s="134" t="s">
        <v>3407</v>
      </c>
      <c r="E185" s="37"/>
      <c r="F185" s="37"/>
    </row>
    <row r="186" spans="1:6" ht="27" customHeight="1">
      <c r="A186" s="156" t="s">
        <v>3408</v>
      </c>
      <c r="B186" s="134" t="s">
        <v>370</v>
      </c>
      <c r="C186" s="134" t="s">
        <v>3409</v>
      </c>
      <c r="D186" s="134" t="s">
        <v>3410</v>
      </c>
      <c r="E186" s="37"/>
      <c r="F186" s="37"/>
    </row>
    <row r="187" spans="1:6">
      <c r="A187" s="156" t="s">
        <v>3411</v>
      </c>
      <c r="B187" s="134" t="s">
        <v>370</v>
      </c>
      <c r="C187" s="134" t="s">
        <v>3412</v>
      </c>
      <c r="D187" s="134" t="s">
        <v>3413</v>
      </c>
      <c r="E187" s="37"/>
      <c r="F187" s="37"/>
    </row>
    <row r="188" spans="1:6">
      <c r="A188" s="156" t="s">
        <v>3414</v>
      </c>
      <c r="B188" s="134" t="s">
        <v>370</v>
      </c>
      <c r="C188" s="134" t="s">
        <v>3415</v>
      </c>
      <c r="D188" s="134" t="s">
        <v>3416</v>
      </c>
      <c r="E188" s="37"/>
      <c r="F188" s="37"/>
    </row>
    <row r="189" spans="1:6">
      <c r="A189" s="156" t="s">
        <v>3417</v>
      </c>
      <c r="B189" s="134" t="s">
        <v>370</v>
      </c>
      <c r="C189" s="134" t="s">
        <v>3418</v>
      </c>
      <c r="D189" s="134" t="s">
        <v>3419</v>
      </c>
      <c r="E189" s="37"/>
      <c r="F189" s="37"/>
    </row>
    <row r="190" spans="1:6">
      <c r="A190" s="156" t="s">
        <v>3420</v>
      </c>
      <c r="B190" s="134" t="s">
        <v>370</v>
      </c>
      <c r="C190" s="134" t="s">
        <v>3421</v>
      </c>
      <c r="D190" s="134" t="s">
        <v>3422</v>
      </c>
      <c r="E190" s="37"/>
      <c r="F190" s="37"/>
    </row>
    <row r="191" spans="1:6">
      <c r="A191" s="156" t="s">
        <v>3423</v>
      </c>
      <c r="B191" s="134" t="s">
        <v>370</v>
      </c>
      <c r="C191" s="134" t="s">
        <v>3424</v>
      </c>
      <c r="D191" s="134" t="s">
        <v>3425</v>
      </c>
      <c r="E191" s="37"/>
      <c r="F191" s="37"/>
    </row>
    <row r="192" spans="1:6">
      <c r="A192" s="156" t="s">
        <v>3426</v>
      </c>
      <c r="B192" s="134" t="s">
        <v>3427</v>
      </c>
      <c r="C192" s="134" t="s">
        <v>3428</v>
      </c>
      <c r="D192" s="134" t="s">
        <v>3429</v>
      </c>
      <c r="E192" s="37"/>
      <c r="F192" s="37"/>
    </row>
    <row r="193" spans="1:6">
      <c r="A193" s="156" t="s">
        <v>3430</v>
      </c>
      <c r="B193" s="134" t="s">
        <v>370</v>
      </c>
      <c r="C193" s="134" t="s">
        <v>3431</v>
      </c>
      <c r="D193" s="134" t="s">
        <v>3432</v>
      </c>
      <c r="E193" s="37"/>
      <c r="F193" s="37"/>
    </row>
    <row r="194" spans="1:6">
      <c r="A194" s="156" t="s">
        <v>3433</v>
      </c>
      <c r="B194" s="134" t="s">
        <v>370</v>
      </c>
      <c r="C194" s="134" t="s">
        <v>3434</v>
      </c>
      <c r="D194" s="134" t="s">
        <v>3435</v>
      </c>
      <c r="E194" s="37"/>
      <c r="F194" s="37"/>
    </row>
    <row r="195" spans="1:6">
      <c r="A195" s="156" t="s">
        <v>3436</v>
      </c>
      <c r="B195" s="134" t="s">
        <v>3437</v>
      </c>
      <c r="C195" s="134" t="s">
        <v>3438</v>
      </c>
      <c r="D195" s="134" t="s">
        <v>3439</v>
      </c>
      <c r="E195" s="37"/>
      <c r="F195" s="37"/>
    </row>
    <row r="196" spans="1:6">
      <c r="A196" s="156" t="s">
        <v>3440</v>
      </c>
      <c r="B196" s="134" t="s">
        <v>3441</v>
      </c>
      <c r="C196" s="134" t="s">
        <v>3442</v>
      </c>
      <c r="D196" s="134" t="s">
        <v>3443</v>
      </c>
      <c r="E196" s="37"/>
      <c r="F196" s="37"/>
    </row>
    <row r="197" spans="1:6">
      <c r="A197" s="156" t="s">
        <v>3444</v>
      </c>
      <c r="B197" s="134" t="s">
        <v>3445</v>
      </c>
      <c r="C197" s="134" t="s">
        <v>3446</v>
      </c>
      <c r="D197" s="134" t="s">
        <v>3447</v>
      </c>
      <c r="E197" s="37"/>
      <c r="F197" s="37"/>
    </row>
    <row r="198" spans="1:6">
      <c r="A198" s="156" t="s">
        <v>3448</v>
      </c>
      <c r="B198" s="134" t="s">
        <v>3370</v>
      </c>
      <c r="C198" s="134" t="s">
        <v>3449</v>
      </c>
      <c r="D198" s="134" t="s">
        <v>3450</v>
      </c>
      <c r="E198" s="37"/>
      <c r="F198" s="37"/>
    </row>
    <row r="199" spans="1:6">
      <c r="A199" s="156" t="s">
        <v>3451</v>
      </c>
      <c r="B199" s="134" t="s">
        <v>3370</v>
      </c>
      <c r="C199" s="134" t="s">
        <v>3452</v>
      </c>
      <c r="D199" s="134" t="s">
        <v>3453</v>
      </c>
      <c r="E199" s="37"/>
      <c r="F199" s="37"/>
    </row>
    <row r="200" spans="1:6">
      <c r="A200" s="156" t="s">
        <v>3454</v>
      </c>
      <c r="B200" s="134" t="s">
        <v>370</v>
      </c>
      <c r="C200" s="134" t="s">
        <v>3455</v>
      </c>
      <c r="D200" s="134" t="s">
        <v>3456</v>
      </c>
      <c r="E200" s="37"/>
      <c r="F200" s="37"/>
    </row>
    <row r="201" spans="1:6">
      <c r="A201" s="156" t="s">
        <v>3457</v>
      </c>
      <c r="B201" s="134" t="s">
        <v>370</v>
      </c>
      <c r="C201" s="134" t="s">
        <v>3458</v>
      </c>
      <c r="D201" s="134" t="s">
        <v>3459</v>
      </c>
      <c r="E201" s="37"/>
      <c r="F201" s="37"/>
    </row>
    <row r="202" spans="1:6">
      <c r="A202" s="156" t="s">
        <v>3460</v>
      </c>
      <c r="B202" s="134" t="s">
        <v>370</v>
      </c>
      <c r="C202" s="134" t="s">
        <v>3461</v>
      </c>
      <c r="D202" s="134" t="s">
        <v>3462</v>
      </c>
      <c r="E202" s="37"/>
      <c r="F202" s="37"/>
    </row>
    <row r="203" spans="1:6">
      <c r="A203" s="156" t="s">
        <v>3463</v>
      </c>
      <c r="B203" s="134" t="s">
        <v>3335</v>
      </c>
      <c r="C203" s="134" t="s">
        <v>3464</v>
      </c>
      <c r="D203" s="134" t="s">
        <v>3465</v>
      </c>
      <c r="E203" s="37"/>
      <c r="F203" s="37"/>
    </row>
    <row r="204" spans="1:6">
      <c r="A204" s="156" t="s">
        <v>3466</v>
      </c>
      <c r="B204" s="134" t="s">
        <v>370</v>
      </c>
      <c r="C204" s="134" t="s">
        <v>3467</v>
      </c>
      <c r="D204" s="134" t="s">
        <v>3468</v>
      </c>
      <c r="E204" s="37"/>
      <c r="F204" s="37"/>
    </row>
    <row r="205" spans="1:6">
      <c r="A205" s="156" t="s">
        <v>3469</v>
      </c>
      <c r="B205" s="134" t="s">
        <v>3470</v>
      </c>
      <c r="C205" s="134" t="s">
        <v>3471</v>
      </c>
      <c r="D205" s="134" t="s">
        <v>3472</v>
      </c>
      <c r="E205" s="37"/>
      <c r="F205" s="37"/>
    </row>
    <row r="206" spans="1:6" ht="121.5" customHeight="1">
      <c r="A206" s="157" t="s">
        <v>3473</v>
      </c>
      <c r="B206" s="138" t="s">
        <v>3470</v>
      </c>
      <c r="C206" s="138" t="s">
        <v>3474</v>
      </c>
      <c r="D206" s="138" t="s">
        <v>3475</v>
      </c>
      <c r="E206" s="37"/>
      <c r="F206" s="37"/>
    </row>
    <row r="207" spans="1:6" ht="121.5" customHeight="1">
      <c r="A207" s="155" t="s">
        <v>3476</v>
      </c>
      <c r="B207" s="143" t="s">
        <v>370</v>
      </c>
      <c r="C207" s="143" t="s">
        <v>3477</v>
      </c>
      <c r="D207" s="143"/>
      <c r="E207" s="37"/>
      <c r="F207" s="37"/>
    </row>
    <row r="208" spans="1:6" ht="94.5" customHeight="1">
      <c r="A208" s="37"/>
      <c r="B208" s="37"/>
      <c r="C208" s="37"/>
      <c r="D208" s="37"/>
      <c r="E208" s="37"/>
      <c r="F208" s="37"/>
    </row>
    <row r="209" spans="1:6" ht="94.5" customHeight="1">
      <c r="A209" s="37" t="s">
        <v>3478</v>
      </c>
      <c r="B209" s="37" t="s">
        <v>3479</v>
      </c>
      <c r="C209" s="37" t="s">
        <v>3480</v>
      </c>
      <c r="D209" s="37" t="s">
        <v>3481</v>
      </c>
      <c r="E209" s="37"/>
      <c r="F209" s="37"/>
    </row>
    <row r="210" spans="1:6">
      <c r="A210" s="271" t="s">
        <v>3482</v>
      </c>
      <c r="B210" s="271" t="s">
        <v>370</v>
      </c>
      <c r="C210" s="271" t="s">
        <v>3483</v>
      </c>
      <c r="D210" s="271" t="s">
        <v>3484</v>
      </c>
      <c r="E210" s="271"/>
      <c r="F210" s="271"/>
    </row>
    <row r="211" spans="1:6" ht="27" customHeight="1">
      <c r="A211" s="272" t="s">
        <v>3485</v>
      </c>
      <c r="B211" s="272" t="s">
        <v>3370</v>
      </c>
      <c r="C211" s="272" t="s">
        <v>3486</v>
      </c>
      <c r="D211" s="272" t="s">
        <v>3487</v>
      </c>
      <c r="E211" s="272"/>
      <c r="F211" s="272"/>
    </row>
    <row r="212" spans="1:6" ht="27" customHeight="1">
      <c r="A212" s="271" t="s">
        <v>3488</v>
      </c>
      <c r="B212" s="271" t="s">
        <v>3370</v>
      </c>
      <c r="C212" s="271" t="s">
        <v>3489</v>
      </c>
      <c r="D212" s="271" t="s">
        <v>3490</v>
      </c>
      <c r="E212" s="271"/>
      <c r="F212" s="271"/>
    </row>
    <row r="213" spans="1:6" ht="27" customHeight="1">
      <c r="A213" s="130" t="s">
        <v>3491</v>
      </c>
      <c r="B213" s="131"/>
      <c r="C213" s="131"/>
      <c r="D213" s="131"/>
      <c r="E213" s="131"/>
      <c r="F213" s="131"/>
    </row>
    <row r="214" spans="1:6" ht="27" customHeight="1">
      <c r="A214" s="132" t="s">
        <v>3492</v>
      </c>
      <c r="B214" s="132" t="s">
        <v>43</v>
      </c>
      <c r="C214" s="133" t="s">
        <v>187</v>
      </c>
      <c r="D214" s="133" t="s">
        <v>337</v>
      </c>
      <c r="E214" s="132" t="s">
        <v>207</v>
      </c>
      <c r="F214" s="37"/>
    </row>
    <row r="215" spans="1:6" ht="27" customHeight="1">
      <c r="A215" s="134" t="s">
        <v>3493</v>
      </c>
      <c r="B215" s="134" t="s">
        <v>3494</v>
      </c>
      <c r="C215" s="158" t="s">
        <v>2890</v>
      </c>
      <c r="D215" s="140" t="s">
        <v>848</v>
      </c>
      <c r="E215" s="134" t="s">
        <v>3495</v>
      </c>
      <c r="F215" s="37"/>
    </row>
    <row r="216" spans="1:6" ht="27" customHeight="1">
      <c r="A216" s="134" t="s">
        <v>362</v>
      </c>
      <c r="B216" s="134" t="s">
        <v>3494</v>
      </c>
      <c r="C216" s="158" t="s">
        <v>2890</v>
      </c>
      <c r="D216" s="140" t="s">
        <v>848</v>
      </c>
      <c r="E216" s="134" t="s">
        <v>3496</v>
      </c>
      <c r="F216" s="37"/>
    </row>
    <row r="217" spans="1:6" ht="27" customHeight="1">
      <c r="A217" s="134" t="s">
        <v>3497</v>
      </c>
      <c r="B217" s="134" t="s">
        <v>3498</v>
      </c>
      <c r="C217" s="158" t="s">
        <v>2890</v>
      </c>
      <c r="D217" s="140" t="s">
        <v>848</v>
      </c>
      <c r="E217" s="134" t="s">
        <v>3499</v>
      </c>
      <c r="F217" s="37"/>
    </row>
    <row r="218" spans="1:6" ht="27" customHeight="1">
      <c r="A218" s="134" t="s">
        <v>2893</v>
      </c>
      <c r="B218" s="134" t="s">
        <v>3427</v>
      </c>
      <c r="C218" s="158" t="s">
        <v>2890</v>
      </c>
      <c r="D218" s="140" t="s">
        <v>848</v>
      </c>
      <c r="E218" s="134" t="s">
        <v>3500</v>
      </c>
      <c r="F218" s="37"/>
    </row>
    <row r="219" spans="1:6" ht="27" customHeight="1">
      <c r="A219" s="134" t="s">
        <v>3501</v>
      </c>
      <c r="B219" s="134" t="s">
        <v>3502</v>
      </c>
      <c r="C219" s="158" t="s">
        <v>2890</v>
      </c>
      <c r="D219" s="140" t="s">
        <v>848</v>
      </c>
      <c r="E219" s="134" t="s">
        <v>3503</v>
      </c>
      <c r="F219" s="37"/>
    </row>
    <row r="220" spans="1:6" ht="27" customHeight="1">
      <c r="A220" s="134" t="s">
        <v>3504</v>
      </c>
      <c r="B220" s="134" t="s">
        <v>3505</v>
      </c>
      <c r="C220" s="158" t="s">
        <v>2890</v>
      </c>
      <c r="D220" s="140" t="s">
        <v>848</v>
      </c>
      <c r="E220" s="134" t="s">
        <v>3506</v>
      </c>
      <c r="F220" s="37"/>
    </row>
    <row r="221" spans="1:6" ht="27" customHeight="1">
      <c r="A221" s="134" t="s">
        <v>3507</v>
      </c>
      <c r="B221" s="134" t="s">
        <v>2978</v>
      </c>
      <c r="C221" s="158" t="s">
        <v>1105</v>
      </c>
      <c r="D221" s="140" t="s">
        <v>848</v>
      </c>
      <c r="E221" s="134" t="s">
        <v>3508</v>
      </c>
      <c r="F221" s="37"/>
    </row>
    <row r="222" spans="1:6" ht="27" customHeight="1">
      <c r="A222" s="134" t="s">
        <v>3509</v>
      </c>
      <c r="B222" s="134" t="s">
        <v>3510</v>
      </c>
      <c r="C222" s="158" t="s">
        <v>2890</v>
      </c>
      <c r="D222" s="140" t="s">
        <v>816</v>
      </c>
      <c r="E222" s="134" t="s">
        <v>3511</v>
      </c>
      <c r="F222" s="37"/>
    </row>
    <row r="223" spans="1:6" ht="27" customHeight="1">
      <c r="A223" s="134" t="s">
        <v>3512</v>
      </c>
      <c r="B223" s="134" t="s">
        <v>2978</v>
      </c>
      <c r="C223" s="158" t="s">
        <v>3513</v>
      </c>
      <c r="D223" s="140" t="s">
        <v>816</v>
      </c>
      <c r="E223" s="134" t="s">
        <v>3514</v>
      </c>
      <c r="F223" s="37"/>
    </row>
    <row r="224" spans="1:6" ht="27" customHeight="1">
      <c r="A224" s="134" t="s">
        <v>3515</v>
      </c>
      <c r="B224" s="134" t="s">
        <v>2978</v>
      </c>
      <c r="C224" s="158" t="s">
        <v>3513</v>
      </c>
      <c r="D224" s="140" t="s">
        <v>816</v>
      </c>
      <c r="E224" s="134" t="s">
        <v>3516</v>
      </c>
      <c r="F224" s="37"/>
    </row>
    <row r="225" spans="1:6" ht="27" customHeight="1">
      <c r="A225" s="134" t="s">
        <v>3517</v>
      </c>
      <c r="B225" s="134" t="s">
        <v>2978</v>
      </c>
      <c r="C225" s="158" t="s">
        <v>3518</v>
      </c>
      <c r="D225" s="140" t="s">
        <v>816</v>
      </c>
      <c r="E225" s="134" t="s">
        <v>3519</v>
      </c>
      <c r="F225" s="37"/>
    </row>
    <row r="226" spans="1:6" ht="27" customHeight="1">
      <c r="A226" s="134" t="s">
        <v>3520</v>
      </c>
      <c r="B226" s="134" t="s">
        <v>3510</v>
      </c>
      <c r="C226" s="158" t="s">
        <v>2890</v>
      </c>
      <c r="D226" s="140" t="s">
        <v>816</v>
      </c>
      <c r="E226" s="134" t="s">
        <v>3521</v>
      </c>
      <c r="F226" s="37"/>
    </row>
    <row r="227" spans="1:6">
      <c r="A227" s="134" t="s">
        <v>3522</v>
      </c>
      <c r="B227" s="134" t="s">
        <v>3523</v>
      </c>
      <c r="C227" s="158" t="s">
        <v>2890</v>
      </c>
      <c r="D227" s="140" t="s">
        <v>816</v>
      </c>
      <c r="E227" s="134" t="s">
        <v>3524</v>
      </c>
      <c r="F227" s="37"/>
    </row>
    <row r="228" spans="1:6" ht="27" customHeight="1">
      <c r="A228" s="134" t="s">
        <v>3525</v>
      </c>
      <c r="B228" s="134" t="s">
        <v>2971</v>
      </c>
      <c r="C228" s="158" t="s">
        <v>1105</v>
      </c>
      <c r="D228" s="140" t="s">
        <v>816</v>
      </c>
      <c r="E228" s="134" t="s">
        <v>3526</v>
      </c>
      <c r="F228" s="37"/>
    </row>
    <row r="229" spans="1:6" ht="27" customHeight="1">
      <c r="A229" s="134" t="s">
        <v>3527</v>
      </c>
      <c r="B229" s="134" t="s">
        <v>2971</v>
      </c>
      <c r="C229" s="158" t="s">
        <v>1105</v>
      </c>
      <c r="D229" s="140" t="s">
        <v>816</v>
      </c>
      <c r="E229" s="134" t="s">
        <v>3528</v>
      </c>
      <c r="F229" s="37"/>
    </row>
    <row r="230" spans="1:6" ht="27" customHeight="1">
      <c r="A230" s="134" t="s">
        <v>3529</v>
      </c>
      <c r="B230" s="134" t="s">
        <v>2967</v>
      </c>
      <c r="C230" s="158" t="s">
        <v>1105</v>
      </c>
      <c r="D230" s="140" t="s">
        <v>816</v>
      </c>
      <c r="E230" s="134" t="s">
        <v>3530</v>
      </c>
      <c r="F230" s="37"/>
    </row>
    <row r="231" spans="1:6">
      <c r="A231" s="134" t="s">
        <v>3531</v>
      </c>
      <c r="B231" s="134" t="s">
        <v>2963</v>
      </c>
      <c r="C231" s="158" t="s">
        <v>1105</v>
      </c>
      <c r="D231" s="140" t="s">
        <v>816</v>
      </c>
      <c r="E231" s="134" t="s">
        <v>3532</v>
      </c>
      <c r="F231" s="37"/>
    </row>
    <row r="232" spans="1:6" ht="27" customHeight="1">
      <c r="A232" s="134" t="s">
        <v>3533</v>
      </c>
      <c r="B232" s="134" t="s">
        <v>2954</v>
      </c>
      <c r="C232" s="158" t="s">
        <v>1105</v>
      </c>
      <c r="D232" s="140" t="s">
        <v>816</v>
      </c>
      <c r="E232" s="134" t="s">
        <v>3534</v>
      </c>
      <c r="F232" s="37"/>
    </row>
    <row r="233" spans="1:6">
      <c r="A233" s="134" t="s">
        <v>3535</v>
      </c>
      <c r="B233" s="134" t="s">
        <v>3510</v>
      </c>
      <c r="C233" s="158" t="s">
        <v>1105</v>
      </c>
      <c r="D233" s="140" t="s">
        <v>816</v>
      </c>
      <c r="E233" s="134" t="s">
        <v>3536</v>
      </c>
      <c r="F233" s="37"/>
    </row>
    <row r="234" spans="1:6">
      <c r="A234" s="134" t="s">
        <v>3537</v>
      </c>
      <c r="B234" s="134" t="s">
        <v>3003</v>
      </c>
      <c r="C234" s="158" t="s">
        <v>1105</v>
      </c>
      <c r="D234" s="140" t="s">
        <v>816</v>
      </c>
      <c r="E234" s="134" t="s">
        <v>3538</v>
      </c>
      <c r="F234" s="37"/>
    </row>
    <row r="235" spans="1:6">
      <c r="A235" s="134" t="s">
        <v>3539</v>
      </c>
      <c r="B235" s="134" t="s">
        <v>3003</v>
      </c>
      <c r="C235" s="158" t="s">
        <v>1105</v>
      </c>
      <c r="D235" s="140" t="s">
        <v>816</v>
      </c>
      <c r="E235" s="134" t="s">
        <v>3540</v>
      </c>
      <c r="F235" s="37"/>
    </row>
    <row r="236" spans="1:6">
      <c r="A236" s="134" t="s">
        <v>3541</v>
      </c>
      <c r="B236" s="134" t="s">
        <v>2978</v>
      </c>
      <c r="C236" s="158" t="s">
        <v>3518</v>
      </c>
      <c r="D236" s="140" t="s">
        <v>837</v>
      </c>
      <c r="E236" s="134" t="s">
        <v>3542</v>
      </c>
      <c r="F236" s="37"/>
    </row>
    <row r="237" spans="1:6">
      <c r="A237" s="134" t="s">
        <v>3543</v>
      </c>
      <c r="B237" s="134" t="s">
        <v>2978</v>
      </c>
      <c r="C237" s="158" t="s">
        <v>3518</v>
      </c>
      <c r="D237" s="140" t="s">
        <v>837</v>
      </c>
      <c r="E237" s="134" t="s">
        <v>938</v>
      </c>
      <c r="F237" s="37"/>
    </row>
    <row r="238" spans="1:6">
      <c r="A238" s="134" t="s">
        <v>3544</v>
      </c>
      <c r="B238" s="134" t="s">
        <v>2978</v>
      </c>
      <c r="C238" s="158" t="s">
        <v>3518</v>
      </c>
      <c r="D238" s="140" t="s">
        <v>837</v>
      </c>
      <c r="E238" s="134" t="s">
        <v>3545</v>
      </c>
      <c r="F238" s="37"/>
    </row>
    <row r="239" spans="1:6">
      <c r="A239" s="134" t="s">
        <v>3546</v>
      </c>
      <c r="B239" s="134" t="s">
        <v>3035</v>
      </c>
      <c r="C239" s="158" t="s">
        <v>3547</v>
      </c>
      <c r="D239" s="140" t="s">
        <v>837</v>
      </c>
      <c r="E239" s="134" t="s">
        <v>3548</v>
      </c>
      <c r="F239" s="37"/>
    </row>
    <row r="240" spans="1:6">
      <c r="A240" s="138" t="s">
        <v>3549</v>
      </c>
      <c r="B240" s="138" t="s">
        <v>3021</v>
      </c>
      <c r="C240" s="159" t="s">
        <v>1105</v>
      </c>
      <c r="D240" s="142" t="s">
        <v>837</v>
      </c>
      <c r="E240" s="138" t="s">
        <v>3550</v>
      </c>
      <c r="F240" s="37"/>
    </row>
    <row r="241" spans="1:6">
      <c r="A241" s="37"/>
      <c r="B241" s="37"/>
      <c r="C241" s="37"/>
      <c r="D241" s="37"/>
      <c r="E241" s="37"/>
      <c r="F241" s="37"/>
    </row>
    <row r="242" spans="1:6">
      <c r="A242" s="130" t="s">
        <v>3551</v>
      </c>
      <c r="B242" s="131"/>
      <c r="C242" s="131"/>
      <c r="D242" s="131"/>
      <c r="E242" s="131"/>
      <c r="F242" s="131"/>
    </row>
    <row r="243" spans="1:6">
      <c r="A243" s="132" t="s">
        <v>3552</v>
      </c>
      <c r="B243" s="132" t="s">
        <v>3007</v>
      </c>
      <c r="C243" s="133" t="s">
        <v>430</v>
      </c>
      <c r="D243" s="133" t="s">
        <v>187</v>
      </c>
      <c r="E243" s="132" t="s">
        <v>678</v>
      </c>
      <c r="F243" s="37"/>
    </row>
    <row r="244" spans="1:6">
      <c r="A244" s="134" t="s">
        <v>3553</v>
      </c>
      <c r="B244" s="134" t="s">
        <v>3554</v>
      </c>
      <c r="C244" s="134" t="s">
        <v>3555</v>
      </c>
      <c r="D244" s="140" t="s">
        <v>3556</v>
      </c>
      <c r="E244" s="134" t="s">
        <v>3557</v>
      </c>
      <c r="F244" s="37"/>
    </row>
    <row r="245" spans="1:6" ht="27" customHeight="1">
      <c r="A245" s="134" t="s">
        <v>3558</v>
      </c>
      <c r="B245" s="134" t="s">
        <v>3559</v>
      </c>
      <c r="C245" s="134" t="s">
        <v>3560</v>
      </c>
      <c r="D245" s="140" t="s">
        <v>1105</v>
      </c>
      <c r="E245" s="134" t="s">
        <v>3561</v>
      </c>
      <c r="F245" s="37"/>
    </row>
    <row r="246" spans="1:6">
      <c r="A246" s="134" t="s">
        <v>3562</v>
      </c>
      <c r="B246" s="134" t="s">
        <v>3563</v>
      </c>
      <c r="C246" s="134" t="s">
        <v>3564</v>
      </c>
      <c r="D246" s="140" t="s">
        <v>3556</v>
      </c>
      <c r="E246" s="134" t="s">
        <v>3565</v>
      </c>
      <c r="F246" s="37"/>
    </row>
    <row r="247" spans="1:6">
      <c r="A247" s="134" t="s">
        <v>3566</v>
      </c>
      <c r="B247" s="134" t="s">
        <v>3567</v>
      </c>
      <c r="C247" s="134" t="s">
        <v>3568</v>
      </c>
      <c r="D247" s="140" t="s">
        <v>3556</v>
      </c>
      <c r="E247" s="134" t="s">
        <v>3569</v>
      </c>
      <c r="F247" s="37"/>
    </row>
    <row r="248" spans="1:6">
      <c r="A248" s="134" t="s">
        <v>3570</v>
      </c>
      <c r="B248" s="134" t="s">
        <v>3571</v>
      </c>
      <c r="C248" s="134" t="s">
        <v>3572</v>
      </c>
      <c r="D248" s="140" t="s">
        <v>3556</v>
      </c>
      <c r="E248" s="134" t="s">
        <v>3573</v>
      </c>
      <c r="F248" s="37"/>
    </row>
    <row r="249" spans="1:6" ht="27" customHeight="1">
      <c r="A249" s="134" t="s">
        <v>3574</v>
      </c>
      <c r="B249" s="134" t="s">
        <v>3575</v>
      </c>
      <c r="C249" s="134" t="s">
        <v>3576</v>
      </c>
      <c r="D249" s="140" t="s">
        <v>3556</v>
      </c>
      <c r="E249" s="134" t="s">
        <v>3577</v>
      </c>
      <c r="F249" s="37"/>
    </row>
    <row r="250" spans="1:6" ht="27" customHeight="1">
      <c r="A250" s="134" t="s">
        <v>3578</v>
      </c>
      <c r="B250" s="134" t="s">
        <v>3579</v>
      </c>
      <c r="C250" s="134" t="s">
        <v>3580</v>
      </c>
      <c r="D250" s="140" t="s">
        <v>13</v>
      </c>
      <c r="E250" s="134" t="s">
        <v>3581</v>
      </c>
      <c r="F250" s="37"/>
    </row>
    <row r="251" spans="1:6">
      <c r="A251" s="134" t="s">
        <v>3582</v>
      </c>
      <c r="B251" s="134" t="s">
        <v>3583</v>
      </c>
      <c r="C251" s="134" t="s">
        <v>3584</v>
      </c>
      <c r="D251" s="140" t="s">
        <v>3556</v>
      </c>
      <c r="E251" s="134" t="s">
        <v>3585</v>
      </c>
      <c r="F251" s="37"/>
    </row>
    <row r="252" spans="1:6">
      <c r="A252" s="134" t="s">
        <v>3586</v>
      </c>
      <c r="B252" s="134" t="s">
        <v>3587</v>
      </c>
      <c r="C252" s="134" t="s">
        <v>3588</v>
      </c>
      <c r="D252" s="140" t="s">
        <v>3556</v>
      </c>
      <c r="E252" s="134" t="s">
        <v>3589</v>
      </c>
      <c r="F252" s="37"/>
    </row>
    <row r="253" spans="1:6">
      <c r="A253" s="134"/>
      <c r="B253" s="134"/>
      <c r="C253" s="134"/>
      <c r="D253" s="140"/>
      <c r="E253" s="134"/>
      <c r="F253" s="37"/>
    </row>
    <row r="254" spans="1:6" ht="27" customHeight="1">
      <c r="A254" s="134" t="s">
        <v>3590</v>
      </c>
      <c r="B254" s="134" t="s">
        <v>3591</v>
      </c>
      <c r="C254" s="134"/>
      <c r="D254" s="140" t="s">
        <v>3592</v>
      </c>
      <c r="E254" s="134"/>
      <c r="F254" s="37"/>
    </row>
    <row r="255" spans="1:6">
      <c r="A255" s="138" t="s">
        <v>3593</v>
      </c>
      <c r="B255" s="138" t="s">
        <v>3594</v>
      </c>
      <c r="C255" s="138"/>
      <c r="D255" s="142" t="s">
        <v>3595</v>
      </c>
      <c r="E255" s="138" t="s">
        <v>3596</v>
      </c>
      <c r="F255" s="3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55"/>
  <sheetViews>
    <sheetView topLeftCell="A6" workbookViewId="0">
      <selection activeCell="C20" sqref="C20"/>
    </sheetView>
  </sheetViews>
  <sheetFormatPr defaultRowHeight="15"/>
  <cols>
    <col min="1" max="1" width="30.7109375" bestFit="1" customWidth="1"/>
    <col min="2" max="2" width="53" style="1" customWidth="1"/>
    <col min="3" max="3" width="70.5703125" style="1" customWidth="1"/>
  </cols>
  <sheetData>
    <row r="1" spans="1:3" s="15" customFormat="1" ht="33.950000000000003" customHeight="1">
      <c r="A1" s="288" t="s">
        <v>3597</v>
      </c>
      <c r="B1" s="289"/>
      <c r="C1" s="289"/>
    </row>
    <row r="2" spans="1:3">
      <c r="A2" s="19"/>
      <c r="B2" s="19"/>
      <c r="C2" s="19"/>
    </row>
    <row r="3" spans="1:3" ht="27.95" customHeight="1">
      <c r="A3" s="47" t="s">
        <v>3598</v>
      </c>
      <c r="B3" s="47" t="s">
        <v>3599</v>
      </c>
      <c r="C3" s="47" t="s">
        <v>3600</v>
      </c>
    </row>
    <row r="4" spans="1:3" ht="20.100000000000001" customHeight="1">
      <c r="A4" s="160" t="s">
        <v>3601</v>
      </c>
      <c r="B4" s="161" t="s">
        <v>3602</v>
      </c>
      <c r="C4" s="161" t="s">
        <v>3603</v>
      </c>
    </row>
    <row r="5" spans="1:3" ht="20.100000000000001" customHeight="1">
      <c r="A5" s="25"/>
      <c r="B5" s="25" t="s">
        <v>3604</v>
      </c>
      <c r="C5" s="95" t="s">
        <v>3605</v>
      </c>
    </row>
    <row r="6" spans="1:3" ht="20.100000000000001" customHeight="1">
      <c r="A6" s="20"/>
      <c r="B6" s="20" t="s">
        <v>3606</v>
      </c>
      <c r="C6" s="92" t="s">
        <v>3607</v>
      </c>
    </row>
    <row r="7" spans="1:3" ht="20.100000000000001" customHeight="1">
      <c r="A7" s="25"/>
      <c r="B7" s="25" t="s">
        <v>3608</v>
      </c>
      <c r="C7" s="95" t="s">
        <v>3609</v>
      </c>
    </row>
    <row r="8" spans="1:3" ht="20.100000000000001" customHeight="1">
      <c r="A8" s="20"/>
      <c r="B8" s="20" t="s">
        <v>3610</v>
      </c>
      <c r="C8" s="92" t="s">
        <v>3611</v>
      </c>
    </row>
    <row r="9" spans="1:3" ht="20.100000000000001" customHeight="1">
      <c r="A9" s="25"/>
      <c r="B9" s="25" t="s">
        <v>3612</v>
      </c>
      <c r="C9" s="95" t="s">
        <v>3613</v>
      </c>
    </row>
    <row r="10" spans="1:3" ht="20.100000000000001" customHeight="1">
      <c r="A10" s="20"/>
      <c r="B10" s="20" t="s">
        <v>3614</v>
      </c>
      <c r="C10" s="92" t="s">
        <v>3615</v>
      </c>
    </row>
    <row r="11" spans="1:3" ht="20.100000000000001" customHeight="1">
      <c r="A11" s="160" t="s">
        <v>3616</v>
      </c>
      <c r="B11" s="161" t="s">
        <v>3617</v>
      </c>
      <c r="C11" s="161" t="s">
        <v>3618</v>
      </c>
    </row>
    <row r="12" spans="1:3" ht="20.100000000000001" customHeight="1">
      <c r="A12" s="20"/>
      <c r="B12" s="20" t="s">
        <v>3619</v>
      </c>
      <c r="C12" s="92" t="s">
        <v>3620</v>
      </c>
    </row>
    <row r="13" spans="1:3" ht="20.100000000000001" customHeight="1">
      <c r="A13" s="25"/>
      <c r="B13" s="25" t="s">
        <v>3621</v>
      </c>
      <c r="C13" s="95" t="s">
        <v>3622</v>
      </c>
    </row>
    <row r="14" spans="1:3" ht="20.100000000000001" customHeight="1">
      <c r="A14" s="20"/>
      <c r="B14" s="20" t="s">
        <v>3623</v>
      </c>
      <c r="C14" s="92" t="s">
        <v>3624</v>
      </c>
    </row>
    <row r="15" spans="1:3" ht="20.100000000000001" customHeight="1">
      <c r="A15" s="160" t="s">
        <v>3625</v>
      </c>
      <c r="B15" s="161" t="s">
        <v>3626</v>
      </c>
      <c r="C15" s="161" t="s">
        <v>3627</v>
      </c>
    </row>
    <row r="16" spans="1:3" ht="20.100000000000001" customHeight="1">
      <c r="A16" s="20"/>
      <c r="B16" s="20" t="s">
        <v>3628</v>
      </c>
      <c r="C16" s="92" t="s">
        <v>3629</v>
      </c>
    </row>
    <row r="17" spans="1:3" ht="20.100000000000001" customHeight="1">
      <c r="A17" s="160" t="s">
        <v>3630</v>
      </c>
      <c r="B17" s="161" t="s">
        <v>3631</v>
      </c>
      <c r="C17" s="161" t="s">
        <v>3632</v>
      </c>
    </row>
    <row r="18" spans="1:3" ht="20.100000000000001" customHeight="1">
      <c r="A18" s="20"/>
      <c r="B18" s="20" t="s">
        <v>3633</v>
      </c>
      <c r="C18" s="92" t="s">
        <v>3634</v>
      </c>
    </row>
    <row r="19" spans="1:3" ht="20.100000000000001" customHeight="1">
      <c r="A19" s="25"/>
      <c r="B19" s="25" t="s">
        <v>3635</v>
      </c>
      <c r="C19" s="95" t="s">
        <v>3636</v>
      </c>
    </row>
    <row r="20" spans="1:3" ht="20.100000000000001" customHeight="1">
      <c r="A20" s="160" t="s">
        <v>3637</v>
      </c>
      <c r="B20" s="161" t="s">
        <v>3638</v>
      </c>
      <c r="C20" s="161" t="s">
        <v>3639</v>
      </c>
    </row>
    <row r="21" spans="1:3" ht="20.100000000000001" customHeight="1">
      <c r="A21" s="25"/>
      <c r="B21" s="25" t="s">
        <v>3640</v>
      </c>
      <c r="C21" s="95" t="s">
        <v>3641</v>
      </c>
    </row>
    <row r="22" spans="1:3" ht="20.100000000000001" customHeight="1">
      <c r="A22" s="20"/>
      <c r="B22" s="20" t="s">
        <v>3642</v>
      </c>
      <c r="C22" s="92" t="s">
        <v>3643</v>
      </c>
    </row>
    <row r="23" spans="1:3" ht="20.100000000000001" customHeight="1">
      <c r="A23" s="25"/>
      <c r="B23" s="25" t="s">
        <v>3644</v>
      </c>
      <c r="C23" s="95" t="s">
        <v>3645</v>
      </c>
    </row>
    <row r="24" spans="1:3" ht="20.100000000000001" customHeight="1">
      <c r="A24" s="160" t="s">
        <v>3646</v>
      </c>
      <c r="B24" s="161" t="s">
        <v>3647</v>
      </c>
      <c r="C24" s="161" t="s">
        <v>3648</v>
      </c>
    </row>
    <row r="25" spans="1:3" ht="20.100000000000001" customHeight="1">
      <c r="A25" s="25"/>
      <c r="B25" s="25" t="s">
        <v>3649</v>
      </c>
      <c r="C25" s="95" t="s">
        <v>3650</v>
      </c>
    </row>
    <row r="26" spans="1:3" ht="20.100000000000001" customHeight="1">
      <c r="A26" s="20"/>
      <c r="B26" s="20" t="s">
        <v>3651</v>
      </c>
      <c r="C26" s="92" t="s">
        <v>3652</v>
      </c>
    </row>
    <row r="27" spans="1:3" ht="20.100000000000001" customHeight="1">
      <c r="A27" s="160" t="s">
        <v>3653</v>
      </c>
      <c r="B27" s="161" t="s">
        <v>3654</v>
      </c>
      <c r="C27" s="162" t="s">
        <v>3655</v>
      </c>
    </row>
    <row r="28" spans="1:3" ht="20.100000000000001" customHeight="1">
      <c r="A28" s="20"/>
      <c r="B28" s="20" t="s">
        <v>3656</v>
      </c>
      <c r="C28" s="92" t="s">
        <v>3657</v>
      </c>
    </row>
    <row r="29" spans="1:3" ht="20.100000000000001" customHeight="1">
      <c r="A29" s="25"/>
      <c r="B29" s="25" t="s">
        <v>3658</v>
      </c>
      <c r="C29" s="95" t="s">
        <v>3659</v>
      </c>
    </row>
    <row r="30" spans="1:3" ht="20.100000000000001" customHeight="1">
      <c r="A30" s="20"/>
      <c r="B30" s="20" t="s">
        <v>3660</v>
      </c>
      <c r="C30" s="92" t="s">
        <v>3661</v>
      </c>
    </row>
    <row r="31" spans="1:3" ht="20.100000000000001" customHeight="1">
      <c r="A31" s="160" t="s">
        <v>3662</v>
      </c>
      <c r="B31" s="161" t="s">
        <v>3663</v>
      </c>
      <c r="C31" s="162" t="s">
        <v>3664</v>
      </c>
    </row>
    <row r="32" spans="1:3" ht="20.100000000000001" customHeight="1">
      <c r="A32" s="25"/>
      <c r="B32" s="25" t="s">
        <v>3665</v>
      </c>
      <c r="C32" s="95" t="s">
        <v>3666</v>
      </c>
    </row>
    <row r="33" spans="1:3" ht="20.100000000000001" customHeight="1">
      <c r="A33" s="160" t="s">
        <v>3667</v>
      </c>
      <c r="B33" s="161" t="s">
        <v>3668</v>
      </c>
      <c r="C33" s="161" t="s">
        <v>3669</v>
      </c>
    </row>
    <row r="34" spans="1:3" ht="20.100000000000001" customHeight="1">
      <c r="A34" s="20"/>
      <c r="B34" s="20" t="s">
        <v>3670</v>
      </c>
      <c r="C34" s="92" t="s">
        <v>3671</v>
      </c>
    </row>
    <row r="35" spans="1:3" ht="20.100000000000001" customHeight="1">
      <c r="A35" s="25"/>
      <c r="B35" s="25"/>
      <c r="C35" s="95"/>
    </row>
    <row r="36" spans="1:3" ht="20.100000000000001" customHeight="1">
      <c r="A36" s="160" t="s">
        <v>3672</v>
      </c>
      <c r="B36" s="161" t="s">
        <v>3673</v>
      </c>
      <c r="C36" s="161" t="s">
        <v>3674</v>
      </c>
    </row>
    <row r="37" spans="1:3" ht="20.100000000000001" customHeight="1">
      <c r="A37" s="25"/>
      <c r="B37" s="25" t="s">
        <v>3675</v>
      </c>
      <c r="C37" s="95" t="s">
        <v>3676</v>
      </c>
    </row>
    <row r="38" spans="1:3" ht="20.100000000000001" customHeight="1">
      <c r="A38" s="20"/>
      <c r="B38" s="20" t="s">
        <v>3677</v>
      </c>
      <c r="C38" s="92" t="s">
        <v>3678</v>
      </c>
    </row>
    <row r="39" spans="1:3" ht="20.100000000000001" customHeight="1">
      <c r="A39" s="25"/>
      <c r="B39" s="25" t="s">
        <v>3679</v>
      </c>
      <c r="C39" s="95" t="s">
        <v>3680</v>
      </c>
    </row>
    <row r="40" spans="1:3" ht="20.100000000000001" customHeight="1">
      <c r="A40" s="20"/>
      <c r="B40" s="20"/>
      <c r="C40" s="92"/>
    </row>
    <row r="41" spans="1:3" ht="20.100000000000001" customHeight="1">
      <c r="A41" s="160" t="s">
        <v>3681</v>
      </c>
      <c r="B41" s="161" t="s">
        <v>3682</v>
      </c>
      <c r="C41" s="161" t="s">
        <v>3683</v>
      </c>
    </row>
    <row r="42" spans="1:3" ht="20.100000000000001" customHeight="1">
      <c r="A42" s="20"/>
      <c r="B42" s="20" t="s">
        <v>3684</v>
      </c>
      <c r="C42" s="92" t="s">
        <v>3685</v>
      </c>
    </row>
    <row r="43" spans="1:3" ht="20.100000000000001" customHeight="1">
      <c r="A43" s="25"/>
      <c r="B43" s="25" t="s">
        <v>3686</v>
      </c>
      <c r="C43" s="95" t="s">
        <v>3687</v>
      </c>
    </row>
    <row r="44" spans="1:3" ht="20.100000000000001" customHeight="1">
      <c r="A44" s="20"/>
      <c r="B44" s="20" t="s">
        <v>3688</v>
      </c>
      <c r="C44" s="92" t="s">
        <v>3689</v>
      </c>
    </row>
    <row r="45" spans="1:3" ht="20.100000000000001" customHeight="1">
      <c r="A45" s="25"/>
      <c r="B45" s="25" t="s">
        <v>3690</v>
      </c>
      <c r="C45" s="95" t="s">
        <v>3691</v>
      </c>
    </row>
    <row r="46" spans="1:3" ht="20.100000000000001" customHeight="1">
      <c r="A46" s="20"/>
      <c r="B46" s="20"/>
      <c r="C46" s="92"/>
    </row>
    <row r="47" spans="1:3" ht="20.100000000000001" customHeight="1">
      <c r="A47" s="160" t="s">
        <v>3692</v>
      </c>
      <c r="B47" s="161" t="s">
        <v>3693</v>
      </c>
      <c r="C47" s="161" t="s">
        <v>3694</v>
      </c>
    </row>
    <row r="48" spans="1:3" ht="20.100000000000001" customHeight="1">
      <c r="A48" s="20"/>
      <c r="B48" s="20"/>
      <c r="C48" s="92"/>
    </row>
    <row r="49" spans="1:3" ht="20.100000000000001" customHeight="1">
      <c r="A49" s="160" t="s">
        <v>3695</v>
      </c>
      <c r="B49" s="161" t="s">
        <v>3696</v>
      </c>
      <c r="C49" s="161" t="s">
        <v>3697</v>
      </c>
    </row>
    <row r="50" spans="1:3" ht="20.100000000000001" customHeight="1">
      <c r="A50" s="20"/>
      <c r="B50" s="20" t="s">
        <v>3698</v>
      </c>
      <c r="C50" s="92" t="s">
        <v>3699</v>
      </c>
    </row>
    <row r="51" spans="1:3" ht="20.100000000000001" customHeight="1">
      <c r="A51" s="25"/>
      <c r="B51" s="25" t="s">
        <v>3700</v>
      </c>
      <c r="C51" s="95" t="s">
        <v>3701</v>
      </c>
    </row>
    <row r="52" spans="1:3" ht="20.100000000000001" customHeight="1">
      <c r="A52" s="20"/>
      <c r="B52" s="20"/>
      <c r="C52" s="92"/>
    </row>
    <row r="53" spans="1:3" ht="20.100000000000001" customHeight="1">
      <c r="A53" s="160" t="s">
        <v>3702</v>
      </c>
      <c r="B53" s="161" t="s">
        <v>3703</v>
      </c>
      <c r="C53" s="161" t="s">
        <v>3704</v>
      </c>
    </row>
    <row r="54" spans="1:3" ht="20.100000000000001" customHeight="1">
      <c r="A54" s="20"/>
      <c r="B54" s="20" t="s">
        <v>3705</v>
      </c>
      <c r="C54" s="92" t="s">
        <v>3706</v>
      </c>
    </row>
    <row r="55" spans="1:3" ht="20.100000000000001" customHeight="1">
      <c r="A55" s="25"/>
      <c r="B55" s="25" t="s">
        <v>3707</v>
      </c>
      <c r="C55" s="95" t="s">
        <v>3708</v>
      </c>
    </row>
  </sheetData>
  <mergeCells count="1">
    <mergeCell ref="A1:C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
  <sheetViews>
    <sheetView workbookViewId="0">
      <selection activeCell="A4" sqref="A4"/>
    </sheetView>
  </sheetViews>
  <sheetFormatPr defaultRowHeight="15"/>
  <cols>
    <col min="1" max="1" width="70.5703125" style="1" customWidth="1"/>
    <col min="2" max="2" width="17.7109375" customWidth="1"/>
  </cols>
  <sheetData>
    <row r="1" spans="1:2" s="15" customFormat="1" ht="27.95" customHeight="1">
      <c r="A1" s="263" t="s">
        <v>3709</v>
      </c>
      <c r="B1" s="263" t="s">
        <v>187</v>
      </c>
    </row>
    <row r="2" spans="1:2" ht="21.95" customHeight="1">
      <c r="A2" s="20" t="s">
        <v>3710</v>
      </c>
      <c r="B2" s="21" t="s">
        <v>273</v>
      </c>
    </row>
    <row r="3" spans="1:2" ht="21.95" customHeight="1">
      <c r="A3" s="25" t="s">
        <v>3711</v>
      </c>
      <c r="B3" s="26"/>
    </row>
    <row r="4" spans="1:2" ht="21.95" customHeight="1">
      <c r="A4" s="20" t="s">
        <v>3712</v>
      </c>
      <c r="B4" s="21"/>
    </row>
    <row r="5" spans="1:2" ht="21.95" customHeight="1">
      <c r="A5" s="25" t="s">
        <v>3713</v>
      </c>
      <c r="B5" s="26"/>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4"/>
  <sheetViews>
    <sheetView zoomScaleNormal="100" workbookViewId="0">
      <selection activeCell="L127" sqref="L127"/>
    </sheetView>
  </sheetViews>
  <sheetFormatPr defaultRowHeight="15"/>
  <cols>
    <col min="1" max="1" width="61.7109375" style="1" customWidth="1"/>
    <col min="2" max="2" width="17.7109375" style="1" customWidth="1"/>
  </cols>
  <sheetData>
    <row r="1" spans="1:2" s="15" customFormat="1" ht="27.95" customHeight="1">
      <c r="A1" s="263" t="s">
        <v>3714</v>
      </c>
      <c r="B1" s="263" t="s">
        <v>187</v>
      </c>
    </row>
    <row r="2" spans="1:2" ht="21.95" customHeight="1">
      <c r="A2" s="20" t="s">
        <v>3710</v>
      </c>
      <c r="B2" s="21" t="s">
        <v>273</v>
      </c>
    </row>
    <row r="3" spans="1:2" ht="21.95" customHeight="1">
      <c r="A3" s="25" t="s">
        <v>3715</v>
      </c>
      <c r="B3" s="26"/>
    </row>
    <row r="4" spans="1:2" ht="21.95" customHeight="1">
      <c r="A4" s="20" t="s">
        <v>3716</v>
      </c>
      <c r="B4" s="21"/>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
  <sheetViews>
    <sheetView workbookViewId="0">
      <selection activeCell="J5" sqref="J5:J6"/>
    </sheetView>
  </sheetViews>
  <sheetFormatPr defaultRowHeight="15"/>
  <cols>
    <col min="1" max="1" width="61.7109375" style="1" customWidth="1"/>
    <col min="2" max="2" width="17.7109375" style="1" customWidth="1"/>
    <col min="10" max="10" width="78.85546875" bestFit="1" customWidth="1"/>
  </cols>
  <sheetData>
    <row r="1" spans="1:2" s="15" customFormat="1" ht="27.95" customHeight="1">
      <c r="A1" s="263" t="s">
        <v>3717</v>
      </c>
      <c r="B1" s="263" t="s">
        <v>187</v>
      </c>
    </row>
    <row r="2" spans="1:2" ht="21.95" customHeight="1">
      <c r="A2" s="20" t="s">
        <v>3718</v>
      </c>
      <c r="B2" s="21" t="s">
        <v>273</v>
      </c>
    </row>
    <row r="3" spans="1:2" ht="21.95" customHeight="1">
      <c r="A3" s="25" t="s">
        <v>3719</v>
      </c>
      <c r="B3" s="2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3"/>
  <sheetViews>
    <sheetView workbookViewId="0">
      <selection activeCell="L14" sqref="L14"/>
    </sheetView>
  </sheetViews>
  <sheetFormatPr defaultRowHeight="15"/>
  <cols>
    <col min="1" max="1" width="61.7109375" style="1" customWidth="1"/>
    <col min="2" max="2" width="17.7109375" style="1" customWidth="1"/>
  </cols>
  <sheetData>
    <row r="1" spans="1:2" s="15" customFormat="1" ht="27.95" customHeight="1">
      <c r="A1" s="263" t="s">
        <v>3720</v>
      </c>
      <c r="B1" s="263" t="s">
        <v>187</v>
      </c>
    </row>
    <row r="2" spans="1:2" ht="21.95" customHeight="1">
      <c r="A2" s="20" t="s">
        <v>3721</v>
      </c>
      <c r="B2" s="21" t="s">
        <v>273</v>
      </c>
    </row>
    <row r="3" spans="1:2" ht="21.95" customHeight="1">
      <c r="A3" s="25" t="s">
        <v>3722</v>
      </c>
      <c r="B3" s="26"/>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
  <sheetViews>
    <sheetView workbookViewId="0"/>
  </sheetViews>
  <sheetFormatPr defaultRowHeight="15"/>
  <cols>
    <col min="1" max="1" width="61.7109375" style="1" customWidth="1"/>
    <col min="2" max="2" width="17.7109375" style="1" customWidth="1"/>
  </cols>
  <sheetData>
    <row r="1" spans="1:2" s="15" customFormat="1" ht="27.95" customHeight="1">
      <c r="A1" s="263" t="s">
        <v>3723</v>
      </c>
      <c r="B1" s="263" t="s">
        <v>187</v>
      </c>
    </row>
    <row r="2" spans="1:2" ht="21.95" customHeight="1">
      <c r="A2" s="20" t="s">
        <v>3724</v>
      </c>
      <c r="B2" s="21" t="s">
        <v>3725</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
  <sheetViews>
    <sheetView topLeftCell="A100" workbookViewId="0">
      <selection activeCell="A107" sqref="A107"/>
    </sheetView>
  </sheetViews>
  <sheetFormatPr defaultRowHeight="15"/>
  <cols>
    <col min="1" max="1" width="61.7109375" style="1" customWidth="1"/>
    <col min="2" max="2" width="17.7109375" style="1" customWidth="1"/>
  </cols>
  <sheetData>
    <row r="1" spans="1:2" s="15" customFormat="1" ht="27.95" customHeight="1">
      <c r="A1" s="263" t="s">
        <v>3726</v>
      </c>
      <c r="B1" s="263" t="s">
        <v>187</v>
      </c>
    </row>
    <row r="2" spans="1:2" ht="21.95" customHeight="1">
      <c r="A2" s="20" t="s">
        <v>3727</v>
      </c>
      <c r="B2" s="21" t="s">
        <v>3725</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96"/>
  <sheetViews>
    <sheetView workbookViewId="0">
      <pane ySplit="1" topLeftCell="A2" activePane="bottomLeft" state="frozen"/>
      <selection pane="bottomLeft"/>
    </sheetView>
  </sheetViews>
  <sheetFormatPr defaultRowHeight="15"/>
  <cols>
    <col min="1" max="1" width="38.140625" customWidth="1"/>
    <col min="2" max="2" width="21" customWidth="1"/>
    <col min="3" max="3" width="19" customWidth="1"/>
    <col min="4" max="5" width="24.7109375" customWidth="1"/>
    <col min="6" max="6" width="41.85546875" customWidth="1"/>
    <col min="7" max="7" width="76.140625" customWidth="1"/>
  </cols>
  <sheetData>
    <row r="1" spans="1:7" ht="18" customHeight="1">
      <c r="A1" s="265" t="s">
        <v>3728</v>
      </c>
      <c r="B1" s="172"/>
      <c r="C1" s="172"/>
      <c r="D1" s="172"/>
      <c r="E1" s="172"/>
      <c r="F1" s="172"/>
      <c r="G1" s="172"/>
    </row>
    <row r="2" spans="1:7">
      <c r="A2" s="173" t="s">
        <v>3729</v>
      </c>
    </row>
    <row r="4" spans="1:7">
      <c r="A4" s="174" t="s">
        <v>3730</v>
      </c>
      <c r="B4" s="175"/>
      <c r="C4" s="175"/>
      <c r="D4" s="175"/>
      <c r="E4" s="175"/>
      <c r="F4" s="175"/>
      <c r="G4" s="175"/>
    </row>
    <row r="5" spans="1:7">
      <c r="A5" s="177" t="s">
        <v>3731</v>
      </c>
      <c r="B5" s="177" t="s">
        <v>43</v>
      </c>
      <c r="C5" s="177" t="s">
        <v>187</v>
      </c>
      <c r="D5" s="177" t="s">
        <v>337</v>
      </c>
      <c r="E5" s="177" t="s">
        <v>3732</v>
      </c>
      <c r="F5" s="177" t="s">
        <v>3733</v>
      </c>
      <c r="G5" s="177" t="s">
        <v>3734</v>
      </c>
    </row>
    <row r="6" spans="1:7">
      <c r="A6" t="s">
        <v>3735</v>
      </c>
      <c r="B6" t="s">
        <v>3736</v>
      </c>
      <c r="C6" t="s">
        <v>359</v>
      </c>
      <c r="D6" t="s">
        <v>848</v>
      </c>
      <c r="E6" t="s">
        <v>3737</v>
      </c>
      <c r="F6" t="s">
        <v>282</v>
      </c>
      <c r="G6" t="s">
        <v>3738</v>
      </c>
    </row>
    <row r="7" spans="1:7">
      <c r="A7" t="s">
        <v>362</v>
      </c>
      <c r="B7" t="s">
        <v>3739</v>
      </c>
      <c r="C7" t="s">
        <v>359</v>
      </c>
      <c r="D7" t="s">
        <v>848</v>
      </c>
      <c r="E7" t="s">
        <v>3740</v>
      </c>
      <c r="F7" t="s">
        <v>2889</v>
      </c>
      <c r="G7" t="s">
        <v>3741</v>
      </c>
    </row>
    <row r="8" spans="1:7">
      <c r="A8" t="s">
        <v>3493</v>
      </c>
      <c r="B8" t="s">
        <v>3742</v>
      </c>
      <c r="C8" t="s">
        <v>359</v>
      </c>
      <c r="D8" t="s">
        <v>848</v>
      </c>
      <c r="E8" t="s">
        <v>3743</v>
      </c>
      <c r="F8" t="s">
        <v>279</v>
      </c>
      <c r="G8" t="s">
        <v>3744</v>
      </c>
    </row>
    <row r="9" spans="1:7">
      <c r="A9" t="s">
        <v>3497</v>
      </c>
      <c r="B9" t="s">
        <v>3498</v>
      </c>
      <c r="C9" t="s">
        <v>359</v>
      </c>
      <c r="D9" t="s">
        <v>848</v>
      </c>
      <c r="E9" t="s">
        <v>3745</v>
      </c>
      <c r="F9" t="s">
        <v>3746</v>
      </c>
      <c r="G9" t="s">
        <v>3747</v>
      </c>
    </row>
    <row r="10" spans="1:7">
      <c r="A10" t="s">
        <v>3748</v>
      </c>
      <c r="B10" t="s">
        <v>3749</v>
      </c>
      <c r="C10" t="s">
        <v>372</v>
      </c>
      <c r="D10" t="s">
        <v>848</v>
      </c>
      <c r="E10" t="s">
        <v>3750</v>
      </c>
      <c r="F10" t="s">
        <v>3751</v>
      </c>
      <c r="G10" t="s">
        <v>3752</v>
      </c>
    </row>
    <row r="11" spans="1:7">
      <c r="A11" t="s">
        <v>3753</v>
      </c>
      <c r="B11" t="s">
        <v>3754</v>
      </c>
      <c r="C11" t="s">
        <v>372</v>
      </c>
      <c r="D11" t="s">
        <v>848</v>
      </c>
      <c r="E11" t="s">
        <v>3755</v>
      </c>
      <c r="F11" t="s">
        <v>3756</v>
      </c>
      <c r="G11" t="s">
        <v>3757</v>
      </c>
    </row>
    <row r="12" spans="1:7">
      <c r="A12" t="s">
        <v>3758</v>
      </c>
      <c r="B12" t="s">
        <v>3759</v>
      </c>
      <c r="C12" t="s">
        <v>359</v>
      </c>
      <c r="D12" t="s">
        <v>848</v>
      </c>
      <c r="E12" t="s">
        <v>3760</v>
      </c>
      <c r="F12" t="s">
        <v>3761</v>
      </c>
      <c r="G12" t="s">
        <v>3762</v>
      </c>
    </row>
    <row r="13" spans="1:7">
      <c r="A13" t="s">
        <v>2893</v>
      </c>
      <c r="B13" t="s">
        <v>3427</v>
      </c>
      <c r="C13" t="s">
        <v>372</v>
      </c>
      <c r="D13" t="s">
        <v>848</v>
      </c>
      <c r="E13" t="s">
        <v>3763</v>
      </c>
      <c r="F13" t="s">
        <v>2894</v>
      </c>
      <c r="G13" t="s">
        <v>3764</v>
      </c>
    </row>
    <row r="14" spans="1:7">
      <c r="A14" t="s">
        <v>3504</v>
      </c>
      <c r="B14" t="s">
        <v>3505</v>
      </c>
      <c r="C14" t="s">
        <v>359</v>
      </c>
      <c r="D14" t="s">
        <v>848</v>
      </c>
      <c r="E14" t="s">
        <v>3765</v>
      </c>
      <c r="F14" t="s">
        <v>3766</v>
      </c>
      <c r="G14" t="s">
        <v>3767</v>
      </c>
    </row>
    <row r="15" spans="1:7">
      <c r="A15" t="s">
        <v>3768</v>
      </c>
      <c r="B15" t="s">
        <v>370</v>
      </c>
      <c r="C15" t="s">
        <v>372</v>
      </c>
      <c r="D15" t="s">
        <v>848</v>
      </c>
      <c r="E15" t="s">
        <v>3769</v>
      </c>
      <c r="F15" t="s">
        <v>2898</v>
      </c>
      <c r="G15" t="s">
        <v>3770</v>
      </c>
    </row>
    <row r="16" spans="1:7">
      <c r="A16" t="s">
        <v>3771</v>
      </c>
      <c r="B16" t="s">
        <v>370</v>
      </c>
      <c r="C16" t="s">
        <v>372</v>
      </c>
      <c r="D16" t="s">
        <v>816</v>
      </c>
      <c r="E16" t="s">
        <v>3769</v>
      </c>
      <c r="F16" t="s">
        <v>2902</v>
      </c>
      <c r="G16" t="s">
        <v>3772</v>
      </c>
    </row>
    <row r="18" spans="1:7">
      <c r="A18" s="174" t="s">
        <v>3773</v>
      </c>
      <c r="B18" s="175"/>
      <c r="C18" s="175"/>
      <c r="D18" s="175"/>
      <c r="E18" s="175"/>
      <c r="F18" s="175"/>
      <c r="G18" s="175"/>
    </row>
    <row r="19" spans="1:7">
      <c r="A19" s="177" t="s">
        <v>3731</v>
      </c>
      <c r="B19" s="177" t="s">
        <v>43</v>
      </c>
      <c r="C19" s="177" t="s">
        <v>187</v>
      </c>
      <c r="D19" s="177" t="s">
        <v>337</v>
      </c>
      <c r="E19" s="177" t="s">
        <v>3732</v>
      </c>
      <c r="F19" s="177" t="s">
        <v>3733</v>
      </c>
      <c r="G19" s="177" t="s">
        <v>3734</v>
      </c>
    </row>
    <row r="20" spans="1:7">
      <c r="A20" t="s">
        <v>3509</v>
      </c>
      <c r="B20" t="s">
        <v>3510</v>
      </c>
      <c r="C20" t="s">
        <v>359</v>
      </c>
      <c r="D20" t="s">
        <v>816</v>
      </c>
      <c r="E20" t="s">
        <v>3774</v>
      </c>
      <c r="F20" t="s">
        <v>3775</v>
      </c>
      <c r="G20" t="s">
        <v>3776</v>
      </c>
    </row>
    <row r="21" spans="1:7">
      <c r="A21" t="s">
        <v>3520</v>
      </c>
      <c r="B21" t="s">
        <v>3510</v>
      </c>
      <c r="C21" t="s">
        <v>359</v>
      </c>
      <c r="D21" t="s">
        <v>816</v>
      </c>
      <c r="E21" t="s">
        <v>3777</v>
      </c>
      <c r="F21" t="s">
        <v>3778</v>
      </c>
      <c r="G21" t="s">
        <v>3779</v>
      </c>
    </row>
    <row r="22" spans="1:7">
      <c r="A22" t="s">
        <v>3780</v>
      </c>
      <c r="B22" t="s">
        <v>3510</v>
      </c>
      <c r="C22" t="s">
        <v>372</v>
      </c>
      <c r="D22" t="s">
        <v>816</v>
      </c>
      <c r="E22" t="s">
        <v>3769</v>
      </c>
      <c r="F22" t="s">
        <v>3781</v>
      </c>
      <c r="G22" t="s">
        <v>3782</v>
      </c>
    </row>
    <row r="23" spans="1:7">
      <c r="A23" t="s">
        <v>3783</v>
      </c>
      <c r="B23" t="s">
        <v>3510</v>
      </c>
      <c r="C23" t="s">
        <v>372</v>
      </c>
      <c r="D23" t="s">
        <v>816</v>
      </c>
      <c r="E23" t="s">
        <v>3784</v>
      </c>
      <c r="F23" t="s">
        <v>3785</v>
      </c>
      <c r="G23" t="s">
        <v>3786</v>
      </c>
    </row>
    <row r="24" spans="1:7">
      <c r="A24" t="s">
        <v>1621</v>
      </c>
      <c r="B24" t="s">
        <v>2913</v>
      </c>
      <c r="C24" t="s">
        <v>372</v>
      </c>
      <c r="D24" t="s">
        <v>816</v>
      </c>
      <c r="E24" t="s">
        <v>3787</v>
      </c>
      <c r="F24" t="s">
        <v>3788</v>
      </c>
      <c r="G24" t="s">
        <v>3789</v>
      </c>
    </row>
    <row r="25" spans="1:7">
      <c r="A25" t="s">
        <v>3790</v>
      </c>
      <c r="B25" t="s">
        <v>3791</v>
      </c>
      <c r="C25" t="s">
        <v>372</v>
      </c>
      <c r="D25" t="s">
        <v>816</v>
      </c>
      <c r="E25" t="s">
        <v>3769</v>
      </c>
      <c r="F25" t="s">
        <v>3792</v>
      </c>
      <c r="G25" t="s">
        <v>3793</v>
      </c>
    </row>
    <row r="26" spans="1:7">
      <c r="A26" t="s">
        <v>3794</v>
      </c>
      <c r="B26" t="s">
        <v>3791</v>
      </c>
      <c r="C26" t="s">
        <v>372</v>
      </c>
      <c r="D26" t="s">
        <v>816</v>
      </c>
      <c r="E26" t="s">
        <v>3795</v>
      </c>
      <c r="F26" t="s">
        <v>3796</v>
      </c>
      <c r="G26" t="s">
        <v>3797</v>
      </c>
    </row>
    <row r="27" spans="1:7">
      <c r="A27" t="s">
        <v>3798</v>
      </c>
      <c r="B27" t="s">
        <v>3003</v>
      </c>
      <c r="C27" t="s">
        <v>372</v>
      </c>
      <c r="D27" t="s">
        <v>816</v>
      </c>
      <c r="E27" t="s">
        <v>3769</v>
      </c>
      <c r="F27" t="s">
        <v>3799</v>
      </c>
      <c r="G27" t="s">
        <v>3800</v>
      </c>
    </row>
    <row r="29" spans="1:7">
      <c r="A29" s="174" t="s">
        <v>3801</v>
      </c>
      <c r="B29" s="175"/>
      <c r="C29" s="175"/>
      <c r="D29" s="175"/>
      <c r="E29" s="175"/>
      <c r="F29" s="175"/>
      <c r="G29" s="175"/>
    </row>
    <row r="30" spans="1:7">
      <c r="A30" s="177" t="s">
        <v>3731</v>
      </c>
      <c r="B30" s="177" t="s">
        <v>43</v>
      </c>
      <c r="C30" s="177" t="s">
        <v>187</v>
      </c>
      <c r="D30" s="177" t="s">
        <v>337</v>
      </c>
      <c r="E30" s="177" t="s">
        <v>3732</v>
      </c>
      <c r="F30" s="177" t="s">
        <v>3733</v>
      </c>
      <c r="G30" s="177" t="s">
        <v>3734</v>
      </c>
    </row>
    <row r="31" spans="1:7">
      <c r="A31" t="s">
        <v>3515</v>
      </c>
      <c r="B31" t="s">
        <v>2978</v>
      </c>
      <c r="C31" t="s">
        <v>3802</v>
      </c>
      <c r="D31" t="s">
        <v>816</v>
      </c>
      <c r="E31" t="s">
        <v>3784</v>
      </c>
      <c r="F31" t="s">
        <v>3803</v>
      </c>
      <c r="G31" t="s">
        <v>3804</v>
      </c>
    </row>
    <row r="32" spans="1:7">
      <c r="A32" t="s">
        <v>3512</v>
      </c>
      <c r="B32" t="s">
        <v>2978</v>
      </c>
      <c r="C32" t="s">
        <v>3802</v>
      </c>
      <c r="D32" t="s">
        <v>816</v>
      </c>
      <c r="E32" t="s">
        <v>3777</v>
      </c>
      <c r="F32" t="s">
        <v>3805</v>
      </c>
      <c r="G32" t="s">
        <v>3806</v>
      </c>
    </row>
    <row r="33" spans="1:7">
      <c r="A33" t="s">
        <v>3507</v>
      </c>
      <c r="B33" t="s">
        <v>2978</v>
      </c>
      <c r="C33" t="s">
        <v>372</v>
      </c>
      <c r="D33" t="s">
        <v>848</v>
      </c>
      <c r="E33" t="s">
        <v>376</v>
      </c>
      <c r="F33" t="s">
        <v>3807</v>
      </c>
      <c r="G33" t="s">
        <v>3808</v>
      </c>
    </row>
    <row r="34" spans="1:7">
      <c r="A34" t="s">
        <v>3546</v>
      </c>
      <c r="B34" t="s">
        <v>3035</v>
      </c>
      <c r="C34" t="s">
        <v>3809</v>
      </c>
      <c r="D34" t="s">
        <v>837</v>
      </c>
      <c r="E34" t="s">
        <v>3769</v>
      </c>
      <c r="F34" t="s">
        <v>3810</v>
      </c>
      <c r="G34" t="s">
        <v>3811</v>
      </c>
    </row>
    <row r="35" spans="1:7">
      <c r="A35" t="s">
        <v>3812</v>
      </c>
      <c r="B35" t="s">
        <v>2978</v>
      </c>
      <c r="C35" t="s">
        <v>3813</v>
      </c>
      <c r="D35" t="s">
        <v>816</v>
      </c>
      <c r="E35" t="s">
        <v>3814</v>
      </c>
      <c r="F35" t="s">
        <v>3815</v>
      </c>
      <c r="G35" t="s">
        <v>3816</v>
      </c>
    </row>
    <row r="36" spans="1:7">
      <c r="A36" t="s">
        <v>3541</v>
      </c>
      <c r="B36" t="s">
        <v>2978</v>
      </c>
      <c r="C36" t="s">
        <v>3813</v>
      </c>
      <c r="D36" t="s">
        <v>837</v>
      </c>
      <c r="E36" t="s">
        <v>3814</v>
      </c>
      <c r="F36" t="s">
        <v>3817</v>
      </c>
      <c r="G36" t="s">
        <v>3818</v>
      </c>
    </row>
    <row r="37" spans="1:7">
      <c r="A37" t="s">
        <v>3543</v>
      </c>
      <c r="B37" t="s">
        <v>2978</v>
      </c>
      <c r="C37" t="s">
        <v>3813</v>
      </c>
      <c r="D37" t="s">
        <v>837</v>
      </c>
      <c r="E37" t="s">
        <v>3814</v>
      </c>
      <c r="F37" t="s">
        <v>3819</v>
      </c>
      <c r="G37" t="s">
        <v>3820</v>
      </c>
    </row>
    <row r="38" spans="1:7">
      <c r="A38" t="s">
        <v>3544</v>
      </c>
      <c r="B38" t="s">
        <v>2978</v>
      </c>
      <c r="C38" t="s">
        <v>3813</v>
      </c>
      <c r="D38" t="s">
        <v>837</v>
      </c>
      <c r="E38" t="s">
        <v>3814</v>
      </c>
      <c r="F38" t="s">
        <v>3821</v>
      </c>
      <c r="G38" t="s">
        <v>3822</v>
      </c>
    </row>
    <row r="39" spans="1:7">
      <c r="A39" t="s">
        <v>3823</v>
      </c>
      <c r="B39" t="s">
        <v>3824</v>
      </c>
      <c r="C39" t="s">
        <v>372</v>
      </c>
      <c r="D39" t="s">
        <v>837</v>
      </c>
      <c r="E39" t="s">
        <v>3825</v>
      </c>
      <c r="F39" t="s">
        <v>3826</v>
      </c>
      <c r="G39" t="s">
        <v>3827</v>
      </c>
    </row>
    <row r="40" spans="1:7">
      <c r="A40" t="s">
        <v>3828</v>
      </c>
      <c r="B40" t="s">
        <v>3523</v>
      </c>
      <c r="C40" t="s">
        <v>359</v>
      </c>
      <c r="D40" t="s">
        <v>816</v>
      </c>
      <c r="E40" t="s">
        <v>3829</v>
      </c>
      <c r="F40" t="s">
        <v>3830</v>
      </c>
      <c r="G40" t="s">
        <v>3831</v>
      </c>
    </row>
    <row r="42" spans="1:7">
      <c r="A42" s="174" t="s">
        <v>3832</v>
      </c>
      <c r="B42" s="175"/>
      <c r="C42" s="175"/>
      <c r="D42" s="175"/>
      <c r="E42" s="175"/>
      <c r="F42" s="175"/>
      <c r="G42" s="175"/>
    </row>
    <row r="43" spans="1:7">
      <c r="A43" s="177" t="s">
        <v>3731</v>
      </c>
      <c r="B43" s="177" t="s">
        <v>43</v>
      </c>
      <c r="C43" s="177" t="s">
        <v>187</v>
      </c>
      <c r="D43" s="177" t="s">
        <v>337</v>
      </c>
      <c r="E43" s="177" t="s">
        <v>3732</v>
      </c>
      <c r="F43" s="177" t="s">
        <v>3833</v>
      </c>
      <c r="G43" s="177" t="s">
        <v>3734</v>
      </c>
    </row>
    <row r="44" spans="1:7">
      <c r="A44" t="s">
        <v>3531</v>
      </c>
      <c r="B44" t="s">
        <v>2963</v>
      </c>
      <c r="C44" t="s">
        <v>372</v>
      </c>
      <c r="D44" t="s">
        <v>816</v>
      </c>
      <c r="E44" t="s">
        <v>3834</v>
      </c>
      <c r="F44" t="s">
        <v>3165</v>
      </c>
      <c r="G44" t="s">
        <v>3835</v>
      </c>
    </row>
    <row r="45" spans="1:7">
      <c r="A45" t="s">
        <v>3836</v>
      </c>
      <c r="B45" t="s">
        <v>2971</v>
      </c>
      <c r="C45" t="s">
        <v>372</v>
      </c>
      <c r="D45" t="s">
        <v>816</v>
      </c>
      <c r="E45" t="s">
        <v>3769</v>
      </c>
      <c r="F45" t="s">
        <v>3169</v>
      </c>
      <c r="G45" t="s">
        <v>3837</v>
      </c>
    </row>
    <row r="46" spans="1:7">
      <c r="A46" t="s">
        <v>3525</v>
      </c>
      <c r="B46" t="s">
        <v>2971</v>
      </c>
      <c r="C46" t="s">
        <v>372</v>
      </c>
      <c r="D46" t="s">
        <v>816</v>
      </c>
      <c r="E46" t="s">
        <v>3769</v>
      </c>
      <c r="F46" t="s">
        <v>3178</v>
      </c>
      <c r="G46" t="s">
        <v>3838</v>
      </c>
    </row>
    <row r="47" spans="1:7">
      <c r="A47" t="s">
        <v>3839</v>
      </c>
      <c r="B47" t="s">
        <v>2967</v>
      </c>
      <c r="C47" t="s">
        <v>372</v>
      </c>
      <c r="D47" t="s">
        <v>816</v>
      </c>
      <c r="E47" t="s">
        <v>3769</v>
      </c>
      <c r="F47" t="s">
        <v>3193</v>
      </c>
      <c r="G47" t="s">
        <v>3840</v>
      </c>
    </row>
    <row r="48" spans="1:7">
      <c r="A48" t="s">
        <v>3529</v>
      </c>
      <c r="B48" t="s">
        <v>2967</v>
      </c>
      <c r="C48" t="s">
        <v>372</v>
      </c>
      <c r="D48" t="s">
        <v>816</v>
      </c>
      <c r="E48" t="s">
        <v>3841</v>
      </c>
      <c r="F48" t="s">
        <v>3842</v>
      </c>
      <c r="G48" t="s">
        <v>3843</v>
      </c>
    </row>
    <row r="49" spans="1:7">
      <c r="A49" t="s">
        <v>3844</v>
      </c>
      <c r="B49" t="s">
        <v>3014</v>
      </c>
      <c r="C49" t="s">
        <v>372</v>
      </c>
      <c r="D49" t="s">
        <v>837</v>
      </c>
      <c r="E49" t="s">
        <v>3769</v>
      </c>
      <c r="F49" t="s">
        <v>3183</v>
      </c>
      <c r="G49" t="s">
        <v>3845</v>
      </c>
    </row>
    <row r="50" spans="1:7">
      <c r="A50" t="s">
        <v>3846</v>
      </c>
      <c r="B50" t="s">
        <v>3014</v>
      </c>
      <c r="C50" t="s">
        <v>372</v>
      </c>
      <c r="D50" t="s">
        <v>837</v>
      </c>
      <c r="E50" t="s">
        <v>3769</v>
      </c>
      <c r="F50" t="s">
        <v>3202</v>
      </c>
      <c r="G50" t="s">
        <v>3847</v>
      </c>
    </row>
    <row r="51" spans="1:7">
      <c r="A51" t="s">
        <v>3549</v>
      </c>
      <c r="B51" t="s">
        <v>3021</v>
      </c>
      <c r="C51" t="s">
        <v>372</v>
      </c>
      <c r="D51" t="s">
        <v>837</v>
      </c>
      <c r="E51" t="s">
        <v>3784</v>
      </c>
      <c r="F51" t="s">
        <v>3848</v>
      </c>
      <c r="G51" t="s">
        <v>3849</v>
      </c>
    </row>
    <row r="52" spans="1:7">
      <c r="A52" t="s">
        <v>3850</v>
      </c>
      <c r="B52" t="s">
        <v>3021</v>
      </c>
      <c r="C52" t="s">
        <v>372</v>
      </c>
      <c r="D52" t="s">
        <v>837</v>
      </c>
      <c r="E52" t="s">
        <v>3784</v>
      </c>
      <c r="F52" t="s">
        <v>3848</v>
      </c>
      <c r="G52" t="s">
        <v>3851</v>
      </c>
    </row>
    <row r="53" spans="1:7">
      <c r="A53" t="s">
        <v>377</v>
      </c>
      <c r="B53" t="s">
        <v>3852</v>
      </c>
      <c r="C53" t="s">
        <v>359</v>
      </c>
      <c r="D53" t="s">
        <v>816</v>
      </c>
      <c r="E53" t="s">
        <v>3737</v>
      </c>
      <c r="F53" t="s">
        <v>380</v>
      </c>
      <c r="G53" t="s">
        <v>3853</v>
      </c>
    </row>
    <row r="55" spans="1:7">
      <c r="A55" s="174" t="s">
        <v>3854</v>
      </c>
      <c r="B55" s="175"/>
      <c r="C55" s="175"/>
      <c r="D55" s="175"/>
      <c r="E55" s="175"/>
      <c r="F55" s="175"/>
      <c r="G55" s="175"/>
    </row>
    <row r="56" spans="1:7">
      <c r="A56" s="177" t="s">
        <v>3731</v>
      </c>
      <c r="B56" s="177" t="s">
        <v>43</v>
      </c>
      <c r="C56" s="177" t="s">
        <v>187</v>
      </c>
      <c r="D56" s="177" t="s">
        <v>337</v>
      </c>
      <c r="E56" s="177" t="s">
        <v>3732</v>
      </c>
      <c r="F56" s="177" t="s">
        <v>3855</v>
      </c>
      <c r="G56" s="177" t="s">
        <v>3734</v>
      </c>
    </row>
    <row r="57" spans="1:7">
      <c r="A57" t="s">
        <v>3856</v>
      </c>
      <c r="B57" t="s">
        <v>2978</v>
      </c>
      <c r="C57" t="s">
        <v>372</v>
      </c>
      <c r="D57" t="s">
        <v>816</v>
      </c>
      <c r="E57" t="s">
        <v>3857</v>
      </c>
      <c r="F57" t="s">
        <v>3858</v>
      </c>
      <c r="G57" t="s">
        <v>3859</v>
      </c>
    </row>
    <row r="58" spans="1:7">
      <c r="A58" t="s">
        <v>3860</v>
      </c>
      <c r="B58" t="s">
        <v>2978</v>
      </c>
      <c r="C58" t="s">
        <v>372</v>
      </c>
      <c r="D58" t="s">
        <v>816</v>
      </c>
      <c r="E58" t="s">
        <v>3769</v>
      </c>
      <c r="F58" t="s">
        <v>3861</v>
      </c>
      <c r="G58" t="s">
        <v>3862</v>
      </c>
    </row>
    <row r="59" spans="1:7">
      <c r="A59" t="s">
        <v>3863</v>
      </c>
      <c r="B59" t="s">
        <v>2978</v>
      </c>
      <c r="C59" t="s">
        <v>372</v>
      </c>
      <c r="D59" t="s">
        <v>816</v>
      </c>
      <c r="E59" t="s">
        <v>3769</v>
      </c>
      <c r="F59" t="s">
        <v>3864</v>
      </c>
      <c r="G59" t="s">
        <v>3865</v>
      </c>
    </row>
    <row r="60" spans="1:7">
      <c r="A60" t="s">
        <v>3537</v>
      </c>
      <c r="B60" t="s">
        <v>3003</v>
      </c>
      <c r="C60" t="s">
        <v>372</v>
      </c>
      <c r="D60" t="s">
        <v>816</v>
      </c>
      <c r="E60" t="s">
        <v>3769</v>
      </c>
      <c r="F60" t="s">
        <v>3866</v>
      </c>
      <c r="G60" t="s">
        <v>3867</v>
      </c>
    </row>
    <row r="61" spans="1:7">
      <c r="A61" t="s">
        <v>3539</v>
      </c>
      <c r="B61" t="s">
        <v>3003</v>
      </c>
      <c r="C61" t="s">
        <v>372</v>
      </c>
      <c r="D61" t="s">
        <v>816</v>
      </c>
      <c r="E61" t="s">
        <v>3769</v>
      </c>
      <c r="F61" t="s">
        <v>3868</v>
      </c>
      <c r="G61" t="s">
        <v>3869</v>
      </c>
    </row>
    <row r="62" spans="1:7">
      <c r="A62" t="s">
        <v>3870</v>
      </c>
      <c r="B62" t="s">
        <v>3003</v>
      </c>
      <c r="C62" t="s">
        <v>372</v>
      </c>
      <c r="D62" t="s">
        <v>837</v>
      </c>
      <c r="E62" t="s">
        <v>3769</v>
      </c>
      <c r="F62" t="s">
        <v>3871</v>
      </c>
      <c r="G62" t="s">
        <v>3872</v>
      </c>
    </row>
    <row r="63" spans="1:7">
      <c r="A63" t="s">
        <v>3873</v>
      </c>
      <c r="B63" t="s">
        <v>3003</v>
      </c>
      <c r="C63" t="s">
        <v>372</v>
      </c>
      <c r="D63" t="s">
        <v>816</v>
      </c>
      <c r="E63" t="s">
        <v>3874</v>
      </c>
      <c r="F63" t="s">
        <v>3875</v>
      </c>
      <c r="G63" t="s">
        <v>3876</v>
      </c>
    </row>
    <row r="64" spans="1:7">
      <c r="A64" t="s">
        <v>3877</v>
      </c>
      <c r="B64" t="s">
        <v>2978</v>
      </c>
      <c r="C64" t="s">
        <v>372</v>
      </c>
      <c r="D64" t="s">
        <v>816</v>
      </c>
      <c r="E64" t="s">
        <v>3878</v>
      </c>
      <c r="F64" t="s">
        <v>3879</v>
      </c>
      <c r="G64" t="s">
        <v>3880</v>
      </c>
    </row>
    <row r="65" spans="1:7">
      <c r="A65" t="s">
        <v>3881</v>
      </c>
      <c r="B65" t="s">
        <v>2954</v>
      </c>
      <c r="C65" t="s">
        <v>372</v>
      </c>
      <c r="D65" t="s">
        <v>816</v>
      </c>
      <c r="E65" t="s">
        <v>3841</v>
      </c>
      <c r="F65" t="s">
        <v>3882</v>
      </c>
      <c r="G65" t="s">
        <v>3883</v>
      </c>
    </row>
    <row r="67" spans="1:7">
      <c r="A67" s="174" t="s">
        <v>3884</v>
      </c>
      <c r="B67" s="175"/>
      <c r="C67" s="175"/>
      <c r="D67" s="175"/>
      <c r="E67" s="175"/>
      <c r="F67" s="175"/>
      <c r="G67" s="175"/>
    </row>
    <row r="68" spans="1:7">
      <c r="A68" s="177" t="s">
        <v>3731</v>
      </c>
      <c r="B68" s="177" t="s">
        <v>43</v>
      </c>
      <c r="C68" s="177" t="s">
        <v>187</v>
      </c>
      <c r="D68" s="177" t="s">
        <v>3885</v>
      </c>
      <c r="E68" s="177" t="s">
        <v>3855</v>
      </c>
      <c r="F68" s="177" t="s">
        <v>3886</v>
      </c>
      <c r="G68" s="177" t="s">
        <v>3734</v>
      </c>
    </row>
    <row r="69" spans="1:7">
      <c r="A69" t="s">
        <v>3887</v>
      </c>
      <c r="B69" t="s">
        <v>3071</v>
      </c>
      <c r="C69" t="s">
        <v>372</v>
      </c>
      <c r="D69" t="s">
        <v>3074</v>
      </c>
      <c r="E69" t="s">
        <v>3888</v>
      </c>
      <c r="F69" t="s">
        <v>3889</v>
      </c>
      <c r="G69" t="s">
        <v>3890</v>
      </c>
    </row>
    <row r="70" spans="1:7">
      <c r="A70" t="s">
        <v>3891</v>
      </c>
      <c r="B70" t="s">
        <v>3071</v>
      </c>
      <c r="C70" t="s">
        <v>372</v>
      </c>
      <c r="D70" t="s">
        <v>3070</v>
      </c>
      <c r="E70" t="s">
        <v>3892</v>
      </c>
      <c r="F70" t="s">
        <v>3893</v>
      </c>
      <c r="G70" t="s">
        <v>3894</v>
      </c>
    </row>
    <row r="71" spans="1:7">
      <c r="A71" t="s">
        <v>3895</v>
      </c>
      <c r="B71" t="s">
        <v>3071</v>
      </c>
      <c r="C71" t="s">
        <v>372</v>
      </c>
      <c r="D71" t="s">
        <v>3077</v>
      </c>
      <c r="E71" t="s">
        <v>3896</v>
      </c>
      <c r="F71" t="s">
        <v>3897</v>
      </c>
      <c r="G71" t="s">
        <v>3898</v>
      </c>
    </row>
    <row r="72" spans="1:7">
      <c r="A72" t="s">
        <v>3899</v>
      </c>
      <c r="B72" t="s">
        <v>3071</v>
      </c>
      <c r="C72" t="s">
        <v>372</v>
      </c>
      <c r="D72" t="s">
        <v>3080</v>
      </c>
      <c r="E72" t="s">
        <v>3900</v>
      </c>
      <c r="F72" t="s">
        <v>3901</v>
      </c>
      <c r="G72" t="s">
        <v>3902</v>
      </c>
    </row>
    <row r="73" spans="1:7">
      <c r="A73" t="s">
        <v>3903</v>
      </c>
      <c r="B73" t="s">
        <v>3071</v>
      </c>
      <c r="C73" t="s">
        <v>372</v>
      </c>
      <c r="D73" t="s">
        <v>3083</v>
      </c>
      <c r="E73" t="s">
        <v>3904</v>
      </c>
      <c r="F73" t="s">
        <v>3905</v>
      </c>
      <c r="G73" t="s">
        <v>3906</v>
      </c>
    </row>
    <row r="74" spans="1:7">
      <c r="A74" t="s">
        <v>3907</v>
      </c>
      <c r="B74" t="s">
        <v>3071</v>
      </c>
      <c r="C74" t="s">
        <v>372</v>
      </c>
      <c r="D74" t="s">
        <v>3086</v>
      </c>
      <c r="E74" t="s">
        <v>3908</v>
      </c>
      <c r="F74" t="s">
        <v>3909</v>
      </c>
      <c r="G74" t="s">
        <v>3910</v>
      </c>
    </row>
    <row r="76" spans="1:7">
      <c r="A76" s="174" t="s">
        <v>3911</v>
      </c>
      <c r="B76" s="175"/>
      <c r="C76" s="175"/>
      <c r="D76" s="175"/>
      <c r="E76" s="175"/>
      <c r="F76" s="175"/>
      <c r="G76" s="175"/>
    </row>
    <row r="77" spans="1:7">
      <c r="A77" s="177" t="s">
        <v>3731</v>
      </c>
      <c r="B77" s="177" t="s">
        <v>43</v>
      </c>
      <c r="C77" s="177" t="s">
        <v>187</v>
      </c>
      <c r="D77" s="177" t="s">
        <v>3885</v>
      </c>
      <c r="E77" s="177" t="s">
        <v>3732</v>
      </c>
      <c r="F77" s="177" t="s">
        <v>3912</v>
      </c>
      <c r="G77" s="177" t="s">
        <v>3734</v>
      </c>
    </row>
    <row r="78" spans="1:7">
      <c r="A78" t="s">
        <v>3913</v>
      </c>
      <c r="B78" t="s">
        <v>2920</v>
      </c>
      <c r="C78" t="s">
        <v>372</v>
      </c>
      <c r="D78" t="s">
        <v>2919</v>
      </c>
      <c r="E78" t="s">
        <v>3769</v>
      </c>
      <c r="F78" t="s">
        <v>3914</v>
      </c>
      <c r="G78" t="s">
        <v>3915</v>
      </c>
    </row>
    <row r="79" spans="1:7">
      <c r="A79" t="s">
        <v>3916</v>
      </c>
      <c r="B79" t="s">
        <v>2920</v>
      </c>
      <c r="C79" t="s">
        <v>372</v>
      </c>
      <c r="D79" t="s">
        <v>2923</v>
      </c>
      <c r="E79" t="s">
        <v>3769</v>
      </c>
      <c r="F79" t="s">
        <v>3917</v>
      </c>
      <c r="G79" t="s">
        <v>3918</v>
      </c>
    </row>
    <row r="80" spans="1:7">
      <c r="A80" t="s">
        <v>3919</v>
      </c>
      <c r="B80" t="s">
        <v>2920</v>
      </c>
      <c r="C80" t="s">
        <v>372</v>
      </c>
      <c r="D80" t="s">
        <v>2926</v>
      </c>
      <c r="E80" t="s">
        <v>3769</v>
      </c>
      <c r="F80" t="s">
        <v>3920</v>
      </c>
      <c r="G80" t="s">
        <v>3921</v>
      </c>
    </row>
    <row r="81" spans="1:7">
      <c r="A81" t="s">
        <v>3922</v>
      </c>
      <c r="B81" t="s">
        <v>2920</v>
      </c>
      <c r="C81" t="s">
        <v>372</v>
      </c>
      <c r="D81" t="s">
        <v>2932</v>
      </c>
      <c r="E81" t="s">
        <v>3769</v>
      </c>
      <c r="F81" t="s">
        <v>3923</v>
      </c>
      <c r="G81" t="s">
        <v>3924</v>
      </c>
    </row>
    <row r="82" spans="1:7">
      <c r="A82" t="s">
        <v>2937</v>
      </c>
      <c r="B82" t="s">
        <v>2920</v>
      </c>
      <c r="C82" t="s">
        <v>372</v>
      </c>
      <c r="D82" t="s">
        <v>2938</v>
      </c>
      <c r="E82" t="s">
        <v>3769</v>
      </c>
      <c r="F82" t="s">
        <v>3925</v>
      </c>
      <c r="G82" t="s">
        <v>3926</v>
      </c>
    </row>
    <row r="83" spans="1:7">
      <c r="A83" t="s">
        <v>2943</v>
      </c>
      <c r="B83" t="s">
        <v>2920</v>
      </c>
      <c r="C83" t="s">
        <v>372</v>
      </c>
      <c r="D83" t="s">
        <v>2944</v>
      </c>
      <c r="E83" t="s">
        <v>3769</v>
      </c>
      <c r="F83" t="s">
        <v>3927</v>
      </c>
      <c r="G83" t="s">
        <v>3928</v>
      </c>
    </row>
    <row r="84" spans="1:7">
      <c r="A84" t="s">
        <v>3929</v>
      </c>
      <c r="B84" t="s">
        <v>2920</v>
      </c>
      <c r="C84" t="s">
        <v>372</v>
      </c>
      <c r="D84" t="s">
        <v>2947</v>
      </c>
      <c r="E84" t="s">
        <v>3769</v>
      </c>
      <c r="F84" t="s">
        <v>3930</v>
      </c>
      <c r="G84" t="s">
        <v>3931</v>
      </c>
    </row>
    <row r="85" spans="1:7">
      <c r="A85" t="s">
        <v>2952</v>
      </c>
      <c r="B85" t="s">
        <v>2954</v>
      </c>
      <c r="C85" t="s">
        <v>372</v>
      </c>
      <c r="D85" t="s">
        <v>2953</v>
      </c>
      <c r="E85" t="s">
        <v>3878</v>
      </c>
      <c r="F85" t="s">
        <v>3932</v>
      </c>
      <c r="G85" t="s">
        <v>3933</v>
      </c>
    </row>
    <row r="86" spans="1:7">
      <c r="A86" t="s">
        <v>3934</v>
      </c>
      <c r="B86" t="s">
        <v>2954</v>
      </c>
      <c r="C86" t="s">
        <v>372</v>
      </c>
      <c r="D86" t="s">
        <v>2957</v>
      </c>
      <c r="E86" t="s">
        <v>3935</v>
      </c>
      <c r="F86" t="s">
        <v>3936</v>
      </c>
      <c r="G86" t="s">
        <v>3937</v>
      </c>
    </row>
    <row r="87" spans="1:7">
      <c r="A87" t="s">
        <v>3938</v>
      </c>
      <c r="B87" t="s">
        <v>2954</v>
      </c>
      <c r="C87" t="s">
        <v>372</v>
      </c>
      <c r="D87" t="s">
        <v>2960</v>
      </c>
      <c r="E87" t="s">
        <v>3939</v>
      </c>
      <c r="F87" t="s">
        <v>3940</v>
      </c>
      <c r="G87" t="s">
        <v>3941</v>
      </c>
    </row>
    <row r="89" spans="1:7">
      <c r="A89" s="178" t="s">
        <v>3942</v>
      </c>
      <c r="B89" s="172"/>
      <c r="C89" s="172"/>
      <c r="D89" s="172"/>
      <c r="E89" s="172"/>
      <c r="F89" s="172"/>
      <c r="G89" s="172"/>
    </row>
    <row r="90" spans="1:7">
      <c r="A90" s="176" t="s">
        <v>352</v>
      </c>
      <c r="B90" s="176" t="s">
        <v>327</v>
      </c>
      <c r="C90" s="176" t="s">
        <v>678</v>
      </c>
    </row>
    <row r="91" spans="1:7">
      <c r="A91" t="s">
        <v>3943</v>
      </c>
      <c r="B91">
        <v>46</v>
      </c>
      <c r="C91" t="s">
        <v>3944</v>
      </c>
    </row>
    <row r="92" spans="1:7">
      <c r="A92" t="s">
        <v>3945</v>
      </c>
      <c r="B92">
        <v>38</v>
      </c>
      <c r="C92" t="s">
        <v>3946</v>
      </c>
    </row>
    <row r="93" spans="1:7">
      <c r="A93" t="s">
        <v>3947</v>
      </c>
      <c r="B93">
        <v>4</v>
      </c>
      <c r="C93" t="s">
        <v>3948</v>
      </c>
    </row>
    <row r="94" spans="1:7">
      <c r="A94" t="s">
        <v>3949</v>
      </c>
      <c r="B94">
        <v>54</v>
      </c>
      <c r="C94" t="s">
        <v>3950</v>
      </c>
    </row>
    <row r="95" spans="1:7">
      <c r="A95" t="s">
        <v>360</v>
      </c>
      <c r="B95">
        <v>8</v>
      </c>
      <c r="C95" t="s">
        <v>3951</v>
      </c>
    </row>
    <row r="96" spans="1:7">
      <c r="A96" t="s">
        <v>364</v>
      </c>
      <c r="B96">
        <v>11</v>
      </c>
      <c r="C96" t="s">
        <v>3952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6"/>
  <sheetViews>
    <sheetView workbookViewId="0">
      <pane ySplit="1" topLeftCell="A2" activePane="bottomLeft" state="frozen"/>
      <selection pane="bottomLeft"/>
    </sheetView>
  </sheetViews>
  <sheetFormatPr defaultRowHeight="15"/>
  <cols>
    <col min="1" max="1" width="41.85546875" customWidth="1"/>
    <col min="2" max="2" width="26.7109375" customWidth="1"/>
    <col min="3" max="3" width="21" customWidth="1"/>
    <col min="4" max="4" width="19" customWidth="1"/>
    <col min="5" max="5" width="10.42578125" customWidth="1"/>
    <col min="6" max="7" width="34.28515625" customWidth="1"/>
    <col min="8" max="8" width="76.140625" customWidth="1"/>
  </cols>
  <sheetData>
    <row r="1" spans="1:8" ht="18" customHeight="1">
      <c r="A1" s="265" t="s">
        <v>3953</v>
      </c>
      <c r="B1" s="172"/>
      <c r="C1" s="172"/>
      <c r="D1" s="172"/>
      <c r="E1" s="172"/>
      <c r="F1" s="172"/>
      <c r="G1" s="172"/>
      <c r="H1" s="172"/>
    </row>
    <row r="2" spans="1:8">
      <c r="A2" s="173" t="s">
        <v>3954</v>
      </c>
    </row>
    <row r="4" spans="1:8">
      <c r="A4" s="174" t="s">
        <v>3955</v>
      </c>
      <c r="B4" s="175"/>
      <c r="C4" s="175"/>
      <c r="D4" s="175"/>
      <c r="E4" s="175"/>
      <c r="F4" s="175"/>
      <c r="G4" s="175"/>
      <c r="H4" s="175"/>
    </row>
    <row r="5" spans="1:8">
      <c r="A5" s="179" t="s">
        <v>3956</v>
      </c>
      <c r="B5" t="s">
        <v>3957</v>
      </c>
    </row>
    <row r="6" spans="1:8">
      <c r="A6" s="179" t="s">
        <v>3958</v>
      </c>
      <c r="B6" t="s">
        <v>3959</v>
      </c>
    </row>
    <row r="7" spans="1:8">
      <c r="A7" s="179" t="s">
        <v>3960</v>
      </c>
      <c r="B7" t="s">
        <v>3961</v>
      </c>
    </row>
    <row r="8" spans="1:8">
      <c r="A8" s="179" t="s">
        <v>3962</v>
      </c>
      <c r="B8" t="s">
        <v>3963</v>
      </c>
    </row>
    <row r="9" spans="1:8">
      <c r="A9" s="179" t="s">
        <v>3964</v>
      </c>
      <c r="B9" t="s">
        <v>3965</v>
      </c>
    </row>
    <row r="10" spans="1:8">
      <c r="A10" s="179" t="s">
        <v>3966</v>
      </c>
      <c r="B10" t="s">
        <v>3967</v>
      </c>
    </row>
    <row r="11" spans="1:8">
      <c r="A11" s="179" t="s">
        <v>3968</v>
      </c>
      <c r="B11" t="s">
        <v>3969</v>
      </c>
    </row>
    <row r="12" spans="1:8">
      <c r="A12" s="179" t="s">
        <v>3970</v>
      </c>
      <c r="B12" t="s">
        <v>3971</v>
      </c>
    </row>
    <row r="13" spans="1:8">
      <c r="A13" s="179" t="s">
        <v>3972</v>
      </c>
      <c r="B13" t="s">
        <v>3973</v>
      </c>
    </row>
    <row r="15" spans="1:8">
      <c r="A15" s="174" t="s">
        <v>3974</v>
      </c>
      <c r="B15" s="175"/>
      <c r="C15" s="175"/>
      <c r="D15" s="175"/>
      <c r="E15" s="175"/>
      <c r="F15" s="175"/>
      <c r="G15" s="175"/>
      <c r="H15" s="175"/>
    </row>
    <row r="16" spans="1:8">
      <c r="A16" s="177" t="s">
        <v>2910</v>
      </c>
      <c r="B16" s="177" t="s">
        <v>3885</v>
      </c>
      <c r="C16" s="177" t="s">
        <v>187</v>
      </c>
      <c r="D16" s="177" t="s">
        <v>3975</v>
      </c>
      <c r="E16" s="177" t="s">
        <v>2911</v>
      </c>
      <c r="F16" s="177" t="s">
        <v>3855</v>
      </c>
      <c r="G16" s="177" t="s">
        <v>3833</v>
      </c>
      <c r="H16" s="177" t="s">
        <v>3734</v>
      </c>
    </row>
    <row r="17" spans="1:8">
      <c r="A17" t="s">
        <v>1621</v>
      </c>
      <c r="B17" t="s">
        <v>2912</v>
      </c>
      <c r="C17" t="s">
        <v>3976</v>
      </c>
      <c r="D17" t="s">
        <v>3977</v>
      </c>
      <c r="E17">
        <v>20</v>
      </c>
      <c r="F17" t="s">
        <v>3209</v>
      </c>
      <c r="G17" t="s">
        <v>3207</v>
      </c>
      <c r="H17" t="s">
        <v>3978</v>
      </c>
    </row>
    <row r="18" spans="1:8">
      <c r="A18" t="s">
        <v>2915</v>
      </c>
      <c r="B18" t="s">
        <v>2916</v>
      </c>
      <c r="C18" t="s">
        <v>3976</v>
      </c>
      <c r="D18" t="s">
        <v>3977</v>
      </c>
      <c r="E18">
        <v>12</v>
      </c>
      <c r="F18" t="s">
        <v>3979</v>
      </c>
      <c r="G18" t="s">
        <v>3207</v>
      </c>
      <c r="H18" t="s">
        <v>3980</v>
      </c>
    </row>
    <row r="20" spans="1:8">
      <c r="A20" s="174" t="s">
        <v>3981</v>
      </c>
      <c r="B20" s="175"/>
      <c r="C20" s="175"/>
      <c r="D20" s="175"/>
      <c r="E20" s="175"/>
      <c r="F20" s="175"/>
      <c r="G20" s="175"/>
      <c r="H20" s="175"/>
    </row>
    <row r="21" spans="1:8">
      <c r="A21" s="177" t="s">
        <v>2910</v>
      </c>
      <c r="B21" s="177" t="s">
        <v>3885</v>
      </c>
      <c r="C21" s="177" t="s">
        <v>187</v>
      </c>
      <c r="D21" s="177" t="s">
        <v>3975</v>
      </c>
      <c r="E21" s="177" t="s">
        <v>2911</v>
      </c>
      <c r="F21" s="177" t="s">
        <v>3855</v>
      </c>
      <c r="G21" s="177" t="s">
        <v>3982</v>
      </c>
      <c r="H21" s="177" t="s">
        <v>3734</v>
      </c>
    </row>
    <row r="22" spans="1:8">
      <c r="A22" t="s">
        <v>3983</v>
      </c>
      <c r="B22" t="s">
        <v>2919</v>
      </c>
      <c r="C22" t="s">
        <v>3976</v>
      </c>
      <c r="D22" t="s">
        <v>3977</v>
      </c>
      <c r="E22">
        <v>4</v>
      </c>
      <c r="F22" t="s">
        <v>2918</v>
      </c>
      <c r="G22" t="s">
        <v>3984</v>
      </c>
      <c r="H22" t="s">
        <v>3985</v>
      </c>
    </row>
    <row r="23" spans="1:8">
      <c r="A23" t="s">
        <v>2922</v>
      </c>
      <c r="B23" t="s">
        <v>2923</v>
      </c>
      <c r="C23" t="s">
        <v>3976</v>
      </c>
      <c r="D23" t="s">
        <v>3977</v>
      </c>
      <c r="E23">
        <v>4</v>
      </c>
      <c r="F23" t="s">
        <v>3986</v>
      </c>
      <c r="G23" t="s">
        <v>3987</v>
      </c>
      <c r="H23" t="s">
        <v>3988</v>
      </c>
    </row>
    <row r="24" spans="1:8">
      <c r="A24" t="s">
        <v>2925</v>
      </c>
      <c r="B24" t="s">
        <v>2926</v>
      </c>
      <c r="C24" t="s">
        <v>3976</v>
      </c>
      <c r="D24" t="s">
        <v>3977</v>
      </c>
      <c r="E24">
        <v>6</v>
      </c>
      <c r="F24" t="s">
        <v>3989</v>
      </c>
      <c r="G24" t="s">
        <v>3987</v>
      </c>
      <c r="H24" t="s">
        <v>3990</v>
      </c>
    </row>
    <row r="25" spans="1:8">
      <c r="A25" t="s">
        <v>2928</v>
      </c>
      <c r="B25" t="s">
        <v>2929</v>
      </c>
      <c r="C25" t="s">
        <v>3976</v>
      </c>
      <c r="D25" t="s">
        <v>3977</v>
      </c>
      <c r="E25">
        <v>4</v>
      </c>
      <c r="F25" t="s">
        <v>3991</v>
      </c>
      <c r="G25" t="s">
        <v>3987</v>
      </c>
      <c r="H25" t="s">
        <v>3992</v>
      </c>
    </row>
    <row r="26" spans="1:8">
      <c r="A26" t="s">
        <v>2931</v>
      </c>
      <c r="B26" t="s">
        <v>2932</v>
      </c>
      <c r="C26" t="s">
        <v>3976</v>
      </c>
      <c r="D26" t="s">
        <v>3977</v>
      </c>
      <c r="E26">
        <v>3</v>
      </c>
      <c r="F26" t="s">
        <v>3993</v>
      </c>
      <c r="G26" t="s">
        <v>3987</v>
      </c>
      <c r="H26" t="s">
        <v>3994</v>
      </c>
    </row>
    <row r="27" spans="1:8">
      <c r="A27" t="s">
        <v>2934</v>
      </c>
      <c r="B27" t="s">
        <v>2935</v>
      </c>
      <c r="C27" t="s">
        <v>3976</v>
      </c>
      <c r="D27" t="s">
        <v>3977</v>
      </c>
      <c r="E27">
        <v>3</v>
      </c>
      <c r="F27" t="s">
        <v>3995</v>
      </c>
      <c r="G27" t="s">
        <v>3987</v>
      </c>
      <c r="H27" t="s">
        <v>3996</v>
      </c>
    </row>
    <row r="28" spans="1:8">
      <c r="A28" t="s">
        <v>2937</v>
      </c>
      <c r="B28" t="s">
        <v>2938</v>
      </c>
      <c r="C28" t="s">
        <v>3976</v>
      </c>
      <c r="D28" t="s">
        <v>3977</v>
      </c>
      <c r="E28">
        <v>5</v>
      </c>
      <c r="F28" t="s">
        <v>2937</v>
      </c>
      <c r="G28" t="s">
        <v>3987</v>
      </c>
      <c r="H28" t="s">
        <v>3997</v>
      </c>
    </row>
    <row r="29" spans="1:8">
      <c r="A29" t="s">
        <v>2940</v>
      </c>
      <c r="B29" t="s">
        <v>2941</v>
      </c>
      <c r="C29" t="s">
        <v>3976</v>
      </c>
      <c r="D29" t="s">
        <v>3977</v>
      </c>
      <c r="E29">
        <v>3</v>
      </c>
      <c r="F29" t="s">
        <v>2940</v>
      </c>
      <c r="G29" t="s">
        <v>1103</v>
      </c>
      <c r="H29" t="s">
        <v>3998</v>
      </c>
    </row>
    <row r="30" spans="1:8">
      <c r="A30" t="s">
        <v>3999</v>
      </c>
      <c r="B30" t="s">
        <v>4000</v>
      </c>
      <c r="C30" t="s">
        <v>3976</v>
      </c>
      <c r="D30" t="s">
        <v>3977</v>
      </c>
      <c r="E30" s="180">
        <v>46084</v>
      </c>
      <c r="F30" t="s">
        <v>2943</v>
      </c>
      <c r="G30" t="s">
        <v>1103</v>
      </c>
      <c r="H30" t="s">
        <v>4001</v>
      </c>
    </row>
    <row r="32" spans="1:8">
      <c r="A32" s="174" t="s">
        <v>4002</v>
      </c>
      <c r="B32" s="175"/>
      <c r="C32" s="175"/>
      <c r="D32" s="175"/>
      <c r="E32" s="175"/>
      <c r="F32" s="175"/>
      <c r="G32" s="175"/>
      <c r="H32" s="175"/>
    </row>
    <row r="33" spans="1:8">
      <c r="A33" s="177" t="s">
        <v>2910</v>
      </c>
      <c r="B33" s="177" t="s">
        <v>3885</v>
      </c>
      <c r="C33" s="177" t="s">
        <v>187</v>
      </c>
      <c r="D33" s="177" t="s">
        <v>3975</v>
      </c>
      <c r="E33" s="177" t="s">
        <v>2911</v>
      </c>
      <c r="F33" s="177" t="s">
        <v>3855</v>
      </c>
      <c r="G33" s="177" t="s">
        <v>4003</v>
      </c>
      <c r="H33" s="177" t="s">
        <v>3734</v>
      </c>
    </row>
    <row r="34" spans="1:8">
      <c r="A34" t="s">
        <v>2980</v>
      </c>
      <c r="B34" t="s">
        <v>2981</v>
      </c>
      <c r="C34" t="s">
        <v>3976</v>
      </c>
      <c r="D34" t="s">
        <v>3977</v>
      </c>
      <c r="E34">
        <v>6</v>
      </c>
      <c r="F34" t="s">
        <v>4004</v>
      </c>
      <c r="G34" t="s">
        <v>4005</v>
      </c>
      <c r="H34" t="s">
        <v>4006</v>
      </c>
    </row>
    <row r="35" spans="1:8">
      <c r="A35" t="s">
        <v>4007</v>
      </c>
      <c r="B35" t="s">
        <v>2984</v>
      </c>
      <c r="C35" t="s">
        <v>3976</v>
      </c>
      <c r="D35" t="s">
        <v>3939</v>
      </c>
      <c r="E35">
        <v>10</v>
      </c>
      <c r="F35" t="s">
        <v>4008</v>
      </c>
      <c r="G35" t="s">
        <v>4009</v>
      </c>
      <c r="H35" t="s">
        <v>4010</v>
      </c>
    </row>
    <row r="36" spans="1:8">
      <c r="A36" t="s">
        <v>2986</v>
      </c>
      <c r="B36" t="s">
        <v>2987</v>
      </c>
      <c r="C36" t="s">
        <v>3976</v>
      </c>
      <c r="D36" t="s">
        <v>3977</v>
      </c>
      <c r="E36">
        <v>4</v>
      </c>
      <c r="F36" t="s">
        <v>4011</v>
      </c>
      <c r="G36" t="s">
        <v>4005</v>
      </c>
      <c r="H36" t="s">
        <v>3862</v>
      </c>
    </row>
    <row r="37" spans="1:8">
      <c r="A37" t="s">
        <v>2989</v>
      </c>
      <c r="B37" t="s">
        <v>2990</v>
      </c>
      <c r="C37" t="s">
        <v>3976</v>
      </c>
      <c r="D37" t="s">
        <v>3977</v>
      </c>
      <c r="E37">
        <v>6</v>
      </c>
      <c r="F37" t="s">
        <v>4012</v>
      </c>
      <c r="G37" t="s">
        <v>4005</v>
      </c>
      <c r="H37" t="s">
        <v>4013</v>
      </c>
    </row>
    <row r="38" spans="1:8">
      <c r="A38" t="s">
        <v>2976</v>
      </c>
      <c r="B38" t="s">
        <v>2977</v>
      </c>
      <c r="C38" t="s">
        <v>3976</v>
      </c>
      <c r="D38" t="s">
        <v>3977</v>
      </c>
      <c r="E38">
        <v>5</v>
      </c>
      <c r="F38" t="s">
        <v>4014</v>
      </c>
      <c r="G38" t="s">
        <v>4005</v>
      </c>
      <c r="H38" t="s">
        <v>4015</v>
      </c>
    </row>
    <row r="39" spans="1:8">
      <c r="A39" t="s">
        <v>3063</v>
      </c>
      <c r="B39" t="s">
        <v>3064</v>
      </c>
      <c r="C39" t="s">
        <v>3976</v>
      </c>
      <c r="D39" t="s">
        <v>3977</v>
      </c>
      <c r="E39">
        <v>4</v>
      </c>
      <c r="F39" t="s">
        <v>4016</v>
      </c>
      <c r="G39" t="s">
        <v>4005</v>
      </c>
      <c r="H39" t="s">
        <v>4017</v>
      </c>
    </row>
    <row r="40" spans="1:8">
      <c r="A40" t="s">
        <v>3066</v>
      </c>
      <c r="B40" t="s">
        <v>3067</v>
      </c>
      <c r="C40" t="s">
        <v>3976</v>
      </c>
      <c r="D40" t="s">
        <v>3977</v>
      </c>
      <c r="E40">
        <v>4</v>
      </c>
      <c r="F40" t="s">
        <v>4018</v>
      </c>
      <c r="G40" t="s">
        <v>4005</v>
      </c>
      <c r="H40" t="s">
        <v>4019</v>
      </c>
    </row>
    <row r="41" spans="1:8">
      <c r="A41" t="s">
        <v>3033</v>
      </c>
      <c r="B41" t="s">
        <v>3034</v>
      </c>
      <c r="C41" t="s">
        <v>3976</v>
      </c>
      <c r="D41" t="s">
        <v>3977</v>
      </c>
      <c r="E41">
        <v>13</v>
      </c>
      <c r="F41" t="s">
        <v>4020</v>
      </c>
      <c r="G41" t="s">
        <v>4005</v>
      </c>
      <c r="H41" t="s">
        <v>4021</v>
      </c>
    </row>
    <row r="43" spans="1:8">
      <c r="A43" s="174" t="s">
        <v>4022</v>
      </c>
      <c r="B43" s="175"/>
      <c r="C43" s="175"/>
      <c r="D43" s="175"/>
      <c r="E43" s="175"/>
      <c r="F43" s="175"/>
      <c r="G43" s="175"/>
      <c r="H43" s="175"/>
    </row>
    <row r="44" spans="1:8">
      <c r="A44" s="177" t="s">
        <v>2910</v>
      </c>
      <c r="B44" s="177" t="s">
        <v>3885</v>
      </c>
      <c r="C44" s="177" t="s">
        <v>187</v>
      </c>
      <c r="D44" s="177" t="s">
        <v>3975</v>
      </c>
      <c r="E44" s="177" t="s">
        <v>2911</v>
      </c>
      <c r="F44" s="177" t="s">
        <v>3855</v>
      </c>
      <c r="G44" s="177" t="s">
        <v>3833</v>
      </c>
      <c r="H44" s="177" t="s">
        <v>3734</v>
      </c>
    </row>
    <row r="45" spans="1:8">
      <c r="A45" t="s">
        <v>2992</v>
      </c>
      <c r="B45" t="s">
        <v>2993</v>
      </c>
      <c r="C45" t="s">
        <v>3976</v>
      </c>
      <c r="D45" t="s">
        <v>3977</v>
      </c>
      <c r="E45">
        <v>14</v>
      </c>
      <c r="F45" t="s">
        <v>4023</v>
      </c>
      <c r="G45" t="s">
        <v>3173</v>
      </c>
      <c r="H45" t="s">
        <v>4024</v>
      </c>
    </row>
    <row r="46" spans="1:8">
      <c r="A46" t="s">
        <v>4025</v>
      </c>
      <c r="B46" t="s">
        <v>2996</v>
      </c>
      <c r="C46" t="s">
        <v>3976</v>
      </c>
      <c r="D46" t="s">
        <v>3977</v>
      </c>
      <c r="E46">
        <v>10</v>
      </c>
      <c r="F46" t="s">
        <v>3176</v>
      </c>
      <c r="G46" t="s">
        <v>3173</v>
      </c>
      <c r="H46" t="s">
        <v>4026</v>
      </c>
    </row>
    <row r="47" spans="1:8">
      <c r="A47" t="s">
        <v>2998</v>
      </c>
      <c r="B47" t="s">
        <v>2999</v>
      </c>
      <c r="C47" t="s">
        <v>3976</v>
      </c>
      <c r="D47" t="s">
        <v>3977</v>
      </c>
      <c r="E47">
        <v>3</v>
      </c>
      <c r="F47" t="s">
        <v>4027</v>
      </c>
      <c r="G47" t="s">
        <v>2416</v>
      </c>
      <c r="H47" t="s">
        <v>4028</v>
      </c>
    </row>
    <row r="48" spans="1:8">
      <c r="A48" t="s">
        <v>2965</v>
      </c>
      <c r="B48" t="s">
        <v>2966</v>
      </c>
      <c r="C48" t="s">
        <v>3976</v>
      </c>
      <c r="D48" t="s">
        <v>3977</v>
      </c>
      <c r="E48">
        <v>25</v>
      </c>
      <c r="F48" t="s">
        <v>4029</v>
      </c>
      <c r="G48" t="s">
        <v>3842</v>
      </c>
      <c r="H48" t="s">
        <v>4030</v>
      </c>
    </row>
    <row r="49" spans="1:8">
      <c r="A49" t="s">
        <v>2973</v>
      </c>
      <c r="B49" t="s">
        <v>2974</v>
      </c>
      <c r="C49" t="s">
        <v>3976</v>
      </c>
      <c r="D49" t="s">
        <v>3977</v>
      </c>
      <c r="E49">
        <v>13</v>
      </c>
      <c r="F49" t="s">
        <v>4031</v>
      </c>
      <c r="G49" t="s">
        <v>3193</v>
      </c>
      <c r="H49" t="s">
        <v>4032</v>
      </c>
    </row>
    <row r="50" spans="1:8">
      <c r="A50" t="s">
        <v>3047</v>
      </c>
      <c r="B50" t="s">
        <v>3048</v>
      </c>
      <c r="C50" t="s">
        <v>3976</v>
      </c>
      <c r="D50" t="s">
        <v>3977</v>
      </c>
      <c r="E50">
        <v>9</v>
      </c>
      <c r="F50" t="s">
        <v>4033</v>
      </c>
      <c r="G50" t="s">
        <v>2416</v>
      </c>
      <c r="H50" t="s">
        <v>4034</v>
      </c>
    </row>
    <row r="51" spans="1:8">
      <c r="A51" t="s">
        <v>3051</v>
      </c>
      <c r="B51" t="s">
        <v>3052</v>
      </c>
      <c r="C51" t="s">
        <v>3976</v>
      </c>
      <c r="D51" t="s">
        <v>4035</v>
      </c>
      <c r="E51">
        <v>8</v>
      </c>
      <c r="F51" t="s">
        <v>4036</v>
      </c>
      <c r="G51" t="s">
        <v>2416</v>
      </c>
      <c r="H51" t="s">
        <v>4037</v>
      </c>
    </row>
    <row r="53" spans="1:8">
      <c r="A53" s="174" t="s">
        <v>4038</v>
      </c>
      <c r="B53" s="175"/>
      <c r="C53" s="175"/>
      <c r="D53" s="175"/>
      <c r="E53" s="175"/>
      <c r="F53" s="175"/>
      <c r="G53" s="175"/>
      <c r="H53" s="175"/>
    </row>
    <row r="54" spans="1:8">
      <c r="A54" s="177" t="s">
        <v>2910</v>
      </c>
      <c r="B54" s="177" t="s">
        <v>3885</v>
      </c>
      <c r="C54" s="177" t="s">
        <v>187</v>
      </c>
      <c r="D54" s="177" t="s">
        <v>3975</v>
      </c>
      <c r="E54" s="177" t="s">
        <v>2911</v>
      </c>
      <c r="F54" s="177" t="s">
        <v>3855</v>
      </c>
      <c r="G54" s="177" t="s">
        <v>3833</v>
      </c>
      <c r="H54" s="177" t="s">
        <v>3734</v>
      </c>
    </row>
    <row r="55" spans="1:8">
      <c r="A55" t="s">
        <v>1607</v>
      </c>
      <c r="B55" t="s">
        <v>2962</v>
      </c>
      <c r="C55" t="s">
        <v>3976</v>
      </c>
      <c r="D55" t="s">
        <v>4035</v>
      </c>
      <c r="E55">
        <v>25</v>
      </c>
      <c r="F55" t="s">
        <v>3163</v>
      </c>
      <c r="G55" t="s">
        <v>3165</v>
      </c>
      <c r="H55" t="s">
        <v>4039</v>
      </c>
    </row>
    <row r="56" spans="1:8">
      <c r="A56" t="s">
        <v>2969</v>
      </c>
      <c r="B56" t="s">
        <v>2970</v>
      </c>
      <c r="C56" t="s">
        <v>3976</v>
      </c>
      <c r="D56" t="s">
        <v>3977</v>
      </c>
      <c r="E56">
        <v>18</v>
      </c>
      <c r="F56" t="s">
        <v>3171</v>
      </c>
      <c r="G56" t="s">
        <v>3169</v>
      </c>
      <c r="H56" t="s">
        <v>4040</v>
      </c>
    </row>
    <row r="57" spans="1:8">
      <c r="A57" t="s">
        <v>3009</v>
      </c>
      <c r="B57" t="s">
        <v>3010</v>
      </c>
      <c r="C57" t="s">
        <v>3976</v>
      </c>
      <c r="D57" t="s">
        <v>3977</v>
      </c>
      <c r="E57">
        <v>9</v>
      </c>
      <c r="F57" t="s">
        <v>3181</v>
      </c>
      <c r="G57" t="s">
        <v>3178</v>
      </c>
      <c r="H57" t="s">
        <v>4041</v>
      </c>
    </row>
    <row r="58" spans="1:8">
      <c r="A58" t="s">
        <v>3005</v>
      </c>
      <c r="B58" t="s">
        <v>3006</v>
      </c>
      <c r="C58" t="s">
        <v>3976</v>
      </c>
      <c r="D58" t="s">
        <v>3977</v>
      </c>
      <c r="E58">
        <v>5</v>
      </c>
      <c r="F58" t="s">
        <v>4042</v>
      </c>
      <c r="G58" t="s">
        <v>2416</v>
      </c>
      <c r="H58" t="s">
        <v>4043</v>
      </c>
    </row>
    <row r="60" spans="1:8">
      <c r="A60" s="174" t="s">
        <v>4044</v>
      </c>
      <c r="B60" s="175"/>
      <c r="C60" s="175"/>
      <c r="D60" s="175"/>
      <c r="E60" s="175"/>
      <c r="F60" s="175"/>
      <c r="G60" s="175"/>
      <c r="H60" s="175"/>
    </row>
    <row r="61" spans="1:8">
      <c r="A61" s="177" t="s">
        <v>2910</v>
      </c>
      <c r="B61" s="177" t="s">
        <v>3885</v>
      </c>
      <c r="C61" s="177" t="s">
        <v>187</v>
      </c>
      <c r="D61" s="177" t="s">
        <v>3975</v>
      </c>
      <c r="E61" s="177" t="s">
        <v>2911</v>
      </c>
      <c r="F61" s="177" t="s">
        <v>3855</v>
      </c>
      <c r="G61" s="177" t="s">
        <v>3833</v>
      </c>
      <c r="H61" s="177" t="s">
        <v>3734</v>
      </c>
    </row>
    <row r="62" spans="1:8">
      <c r="A62" t="s">
        <v>3012</v>
      </c>
      <c r="B62" t="s">
        <v>3013</v>
      </c>
      <c r="C62" t="s">
        <v>3976</v>
      </c>
      <c r="D62" t="s">
        <v>3977</v>
      </c>
      <c r="E62">
        <v>8</v>
      </c>
      <c r="F62" t="s">
        <v>3186</v>
      </c>
      <c r="G62" t="s">
        <v>3183</v>
      </c>
      <c r="H62" t="s">
        <v>4045</v>
      </c>
    </row>
    <row r="63" spans="1:8">
      <c r="A63" t="s">
        <v>3016</v>
      </c>
      <c r="B63" t="s">
        <v>3017</v>
      </c>
      <c r="C63" t="s">
        <v>3976</v>
      </c>
      <c r="D63" t="s">
        <v>3977</v>
      </c>
      <c r="E63">
        <v>6</v>
      </c>
      <c r="F63" t="s">
        <v>4046</v>
      </c>
      <c r="G63" t="s">
        <v>3202</v>
      </c>
      <c r="H63" t="s">
        <v>4047</v>
      </c>
    </row>
    <row r="64" spans="1:8">
      <c r="A64" t="s">
        <v>3019</v>
      </c>
      <c r="B64" t="s">
        <v>3020</v>
      </c>
      <c r="C64" t="s">
        <v>3976</v>
      </c>
      <c r="D64" t="s">
        <v>3977</v>
      </c>
      <c r="E64">
        <v>6</v>
      </c>
      <c r="F64" t="s">
        <v>4048</v>
      </c>
      <c r="G64" t="s">
        <v>2416</v>
      </c>
      <c r="H64" t="s">
        <v>4049</v>
      </c>
    </row>
    <row r="65" spans="1:8">
      <c r="A65" t="s">
        <v>3023</v>
      </c>
      <c r="B65" t="s">
        <v>3024</v>
      </c>
      <c r="C65" t="s">
        <v>3976</v>
      </c>
      <c r="D65" t="s">
        <v>3977</v>
      </c>
      <c r="E65">
        <v>51</v>
      </c>
      <c r="F65" t="s">
        <v>4050</v>
      </c>
      <c r="G65" t="s">
        <v>2416</v>
      </c>
      <c r="H65" t="s">
        <v>4051</v>
      </c>
    </row>
    <row r="66" spans="1:8">
      <c r="A66" t="s">
        <v>3026</v>
      </c>
      <c r="B66" t="s">
        <v>3027</v>
      </c>
      <c r="C66" t="s">
        <v>3976</v>
      </c>
      <c r="D66" t="s">
        <v>3977</v>
      </c>
      <c r="E66">
        <v>7</v>
      </c>
      <c r="F66" t="s">
        <v>4052</v>
      </c>
      <c r="G66" t="s">
        <v>2416</v>
      </c>
      <c r="H66" t="s">
        <v>4053</v>
      </c>
    </row>
    <row r="68" spans="1:8">
      <c r="A68" s="174" t="s">
        <v>4054</v>
      </c>
      <c r="B68" s="175"/>
      <c r="C68" s="175"/>
      <c r="D68" s="175"/>
      <c r="E68" s="175"/>
      <c r="F68" s="175"/>
      <c r="G68" s="175"/>
      <c r="H68" s="175"/>
    </row>
    <row r="69" spans="1:8">
      <c r="A69" s="177" t="s">
        <v>2910</v>
      </c>
      <c r="B69" s="177" t="s">
        <v>3885</v>
      </c>
      <c r="C69" s="177" t="s">
        <v>187</v>
      </c>
      <c r="D69" s="177" t="s">
        <v>3975</v>
      </c>
      <c r="E69" s="177" t="s">
        <v>2911</v>
      </c>
      <c r="F69" s="177" t="s">
        <v>3855</v>
      </c>
      <c r="G69" s="177" t="s">
        <v>112</v>
      </c>
      <c r="H69" s="177" t="s">
        <v>3734</v>
      </c>
    </row>
    <row r="70" spans="1:8">
      <c r="A70" t="s">
        <v>3001</v>
      </c>
      <c r="B70" t="s">
        <v>3002</v>
      </c>
      <c r="C70" t="s">
        <v>3976</v>
      </c>
      <c r="D70" t="s">
        <v>3977</v>
      </c>
      <c r="E70">
        <v>14</v>
      </c>
      <c r="F70" t="s">
        <v>3191</v>
      </c>
      <c r="G70" t="s">
        <v>4055</v>
      </c>
      <c r="H70" t="s">
        <v>4056</v>
      </c>
    </row>
    <row r="71" spans="1:8">
      <c r="A71" t="s">
        <v>3054</v>
      </c>
      <c r="B71" t="s">
        <v>3055</v>
      </c>
      <c r="C71" t="s">
        <v>3976</v>
      </c>
      <c r="D71" t="s">
        <v>3977</v>
      </c>
      <c r="E71">
        <v>4</v>
      </c>
      <c r="F71" t="s">
        <v>4057</v>
      </c>
      <c r="G71" t="s">
        <v>4058</v>
      </c>
      <c r="H71" t="s">
        <v>4059</v>
      </c>
    </row>
    <row r="72" spans="1:8">
      <c r="A72" t="s">
        <v>3057</v>
      </c>
      <c r="B72" t="s">
        <v>3058</v>
      </c>
      <c r="C72" t="s">
        <v>3976</v>
      </c>
      <c r="D72" t="s">
        <v>3977</v>
      </c>
      <c r="E72">
        <v>4</v>
      </c>
      <c r="F72" t="s">
        <v>4060</v>
      </c>
      <c r="G72" t="s">
        <v>4061</v>
      </c>
      <c r="H72" t="s">
        <v>4062</v>
      </c>
    </row>
    <row r="73" spans="1:8">
      <c r="A73" t="s">
        <v>3060</v>
      </c>
      <c r="B73" t="s">
        <v>3061</v>
      </c>
      <c r="C73" t="s">
        <v>3976</v>
      </c>
      <c r="D73" t="s">
        <v>3977</v>
      </c>
      <c r="E73">
        <v>5</v>
      </c>
      <c r="F73" t="s">
        <v>4063</v>
      </c>
      <c r="G73" t="s">
        <v>2967</v>
      </c>
      <c r="H73" t="s">
        <v>4064</v>
      </c>
    </row>
    <row r="74" spans="1:8">
      <c r="A74" t="s">
        <v>3088</v>
      </c>
      <c r="B74" t="s">
        <v>3089</v>
      </c>
      <c r="C74" t="s">
        <v>3976</v>
      </c>
      <c r="D74" t="s">
        <v>3977</v>
      </c>
      <c r="E74">
        <v>5</v>
      </c>
      <c r="F74" t="s">
        <v>4065</v>
      </c>
      <c r="G74" t="s">
        <v>4066</v>
      </c>
      <c r="H74" t="s">
        <v>4067</v>
      </c>
    </row>
    <row r="76" spans="1:8">
      <c r="A76" s="174" t="s">
        <v>4068</v>
      </c>
      <c r="B76" s="175"/>
      <c r="C76" s="175"/>
      <c r="D76" s="175"/>
      <c r="E76" s="175"/>
      <c r="F76" s="175"/>
      <c r="G76" s="175"/>
      <c r="H76" s="175"/>
    </row>
    <row r="77" spans="1:8">
      <c r="A77" s="177" t="s">
        <v>2910</v>
      </c>
      <c r="B77" s="177" t="s">
        <v>3885</v>
      </c>
      <c r="C77" s="177" t="s">
        <v>187</v>
      </c>
      <c r="D77" s="177" t="s">
        <v>3975</v>
      </c>
      <c r="E77" s="177" t="s">
        <v>2911</v>
      </c>
      <c r="F77" s="177" t="s">
        <v>3855</v>
      </c>
      <c r="G77" s="177" t="s">
        <v>4003</v>
      </c>
      <c r="H77" s="177" t="s">
        <v>3734</v>
      </c>
    </row>
    <row r="78" spans="1:8">
      <c r="A78" t="s">
        <v>2952</v>
      </c>
      <c r="B78" t="s">
        <v>2953</v>
      </c>
      <c r="C78" t="s">
        <v>3976</v>
      </c>
      <c r="D78" t="s">
        <v>3977</v>
      </c>
      <c r="E78">
        <v>3</v>
      </c>
      <c r="F78" t="s">
        <v>4069</v>
      </c>
      <c r="G78" t="s">
        <v>4005</v>
      </c>
      <c r="H78" t="s">
        <v>4070</v>
      </c>
    </row>
    <row r="79" spans="1:8">
      <c r="A79" t="s">
        <v>2956</v>
      </c>
      <c r="B79" t="s">
        <v>2957</v>
      </c>
      <c r="C79" t="s">
        <v>3976</v>
      </c>
      <c r="D79" t="s">
        <v>3939</v>
      </c>
      <c r="E79">
        <v>3</v>
      </c>
      <c r="F79" t="s">
        <v>4008</v>
      </c>
      <c r="G79" t="s">
        <v>4071</v>
      </c>
      <c r="H79" t="s">
        <v>4072</v>
      </c>
    </row>
    <row r="80" spans="1:8">
      <c r="A80" t="s">
        <v>2959</v>
      </c>
      <c r="B80" t="s">
        <v>2960</v>
      </c>
      <c r="C80" t="s">
        <v>3976</v>
      </c>
      <c r="D80" t="s">
        <v>3939</v>
      </c>
      <c r="E80">
        <v>3</v>
      </c>
      <c r="F80" t="s">
        <v>4008</v>
      </c>
      <c r="G80" t="s">
        <v>4073</v>
      </c>
      <c r="H80" t="s">
        <v>4074</v>
      </c>
    </row>
    <row r="81" spans="1:8">
      <c r="A81" t="s">
        <v>3029</v>
      </c>
      <c r="B81" t="s">
        <v>3030</v>
      </c>
      <c r="C81" t="s">
        <v>3976</v>
      </c>
      <c r="D81" t="s">
        <v>3977</v>
      </c>
      <c r="E81">
        <v>5</v>
      </c>
      <c r="F81" t="s">
        <v>3200</v>
      </c>
      <c r="G81" t="s">
        <v>4005</v>
      </c>
      <c r="H81" t="s">
        <v>4075</v>
      </c>
    </row>
    <row r="83" spans="1:8">
      <c r="A83" s="174" t="s">
        <v>4076</v>
      </c>
      <c r="B83" s="175"/>
      <c r="C83" s="175"/>
      <c r="D83" s="175"/>
      <c r="E83" s="175"/>
      <c r="F83" s="175"/>
      <c r="G83" s="175"/>
      <c r="H83" s="175"/>
    </row>
    <row r="84" spans="1:8">
      <c r="A84" s="177" t="s">
        <v>2910</v>
      </c>
      <c r="B84" s="177" t="s">
        <v>3885</v>
      </c>
      <c r="C84" s="177" t="s">
        <v>187</v>
      </c>
      <c r="D84" s="177" t="s">
        <v>3975</v>
      </c>
      <c r="E84" s="177" t="s">
        <v>2911</v>
      </c>
      <c r="F84" s="177" t="s">
        <v>3855</v>
      </c>
      <c r="G84" s="177" t="s">
        <v>3886</v>
      </c>
      <c r="H84" s="177" t="s">
        <v>3734</v>
      </c>
    </row>
    <row r="85" spans="1:8">
      <c r="A85" t="s">
        <v>3073</v>
      </c>
      <c r="B85" t="s">
        <v>3074</v>
      </c>
      <c r="C85" t="s">
        <v>3976</v>
      </c>
      <c r="D85" t="s">
        <v>3977</v>
      </c>
      <c r="E85">
        <v>3</v>
      </c>
      <c r="F85" t="s">
        <v>4077</v>
      </c>
      <c r="G85" t="s">
        <v>3889</v>
      </c>
      <c r="H85" t="s">
        <v>4078</v>
      </c>
    </row>
    <row r="86" spans="1:8">
      <c r="A86" t="s">
        <v>3069</v>
      </c>
      <c r="B86" t="s">
        <v>3070</v>
      </c>
      <c r="C86" t="s">
        <v>3976</v>
      </c>
      <c r="D86" t="s">
        <v>3977</v>
      </c>
      <c r="E86">
        <v>6</v>
      </c>
      <c r="F86" t="s">
        <v>4079</v>
      </c>
      <c r="G86" t="s">
        <v>4080</v>
      </c>
      <c r="H86" t="s">
        <v>4081</v>
      </c>
    </row>
    <row r="87" spans="1:8">
      <c r="A87" t="s">
        <v>3076</v>
      </c>
      <c r="B87" t="s">
        <v>3077</v>
      </c>
      <c r="C87" t="s">
        <v>3976</v>
      </c>
      <c r="D87" t="s">
        <v>3977</v>
      </c>
      <c r="E87">
        <v>9</v>
      </c>
      <c r="F87" t="s">
        <v>4082</v>
      </c>
      <c r="G87" t="s">
        <v>3897</v>
      </c>
      <c r="H87" t="s">
        <v>4083</v>
      </c>
    </row>
    <row r="88" spans="1:8">
      <c r="A88" t="s">
        <v>3079</v>
      </c>
      <c r="B88" t="s">
        <v>3080</v>
      </c>
      <c r="C88" t="s">
        <v>3976</v>
      </c>
      <c r="D88" t="s">
        <v>3977</v>
      </c>
      <c r="E88">
        <v>7</v>
      </c>
      <c r="F88" t="s">
        <v>4084</v>
      </c>
      <c r="G88" t="s">
        <v>4085</v>
      </c>
      <c r="H88" t="s">
        <v>4086</v>
      </c>
    </row>
    <row r="89" spans="1:8">
      <c r="A89" t="s">
        <v>3082</v>
      </c>
      <c r="B89" t="s">
        <v>3083</v>
      </c>
      <c r="C89" t="s">
        <v>3976</v>
      </c>
      <c r="D89" t="s">
        <v>3977</v>
      </c>
      <c r="E89">
        <v>9</v>
      </c>
      <c r="F89" t="s">
        <v>4087</v>
      </c>
      <c r="G89" t="s">
        <v>3905</v>
      </c>
      <c r="H89" t="s">
        <v>4088</v>
      </c>
    </row>
    <row r="90" spans="1:8">
      <c r="A90" t="s">
        <v>3085</v>
      </c>
      <c r="B90" t="s">
        <v>3086</v>
      </c>
      <c r="C90" t="s">
        <v>3976</v>
      </c>
      <c r="D90" t="s">
        <v>3939</v>
      </c>
      <c r="E90">
        <v>7</v>
      </c>
      <c r="F90" t="s">
        <v>4008</v>
      </c>
      <c r="G90" t="s">
        <v>4089</v>
      </c>
      <c r="H90" t="s">
        <v>4090</v>
      </c>
    </row>
    <row r="92" spans="1:8">
      <c r="A92" s="174" t="s">
        <v>4091</v>
      </c>
      <c r="B92" s="175"/>
      <c r="C92" s="175"/>
      <c r="D92" s="175"/>
      <c r="E92" s="175"/>
      <c r="F92" s="175"/>
      <c r="G92" s="175"/>
      <c r="H92" s="175"/>
    </row>
    <row r="93" spans="1:8">
      <c r="A93" s="177" t="s">
        <v>2910</v>
      </c>
      <c r="B93" s="177" t="s">
        <v>3885</v>
      </c>
      <c r="C93" s="177" t="s">
        <v>187</v>
      </c>
      <c r="D93" s="177" t="s">
        <v>3975</v>
      </c>
      <c r="E93" s="177" t="s">
        <v>2911</v>
      </c>
      <c r="F93" s="177" t="s">
        <v>112</v>
      </c>
      <c r="G93" s="177" t="s">
        <v>4092</v>
      </c>
      <c r="H93" s="177" t="s">
        <v>3734</v>
      </c>
    </row>
    <row r="94" spans="1:8">
      <c r="A94" t="s">
        <v>3037</v>
      </c>
      <c r="B94" t="s">
        <v>3038</v>
      </c>
      <c r="C94" t="s">
        <v>3976</v>
      </c>
      <c r="D94" t="s">
        <v>4093</v>
      </c>
      <c r="E94">
        <v>2</v>
      </c>
      <c r="F94" t="s">
        <v>4094</v>
      </c>
      <c r="G94" t="s">
        <v>4095</v>
      </c>
      <c r="H94" t="s">
        <v>4096</v>
      </c>
    </row>
    <row r="95" spans="1:8">
      <c r="A95" t="s">
        <v>3041</v>
      </c>
      <c r="B95" t="s">
        <v>3042</v>
      </c>
      <c r="C95" t="s">
        <v>3976</v>
      </c>
      <c r="D95" t="s">
        <v>4093</v>
      </c>
      <c r="E95">
        <v>3</v>
      </c>
      <c r="F95" t="s">
        <v>4097</v>
      </c>
      <c r="G95" t="s">
        <v>4095</v>
      </c>
      <c r="H95" t="s">
        <v>4098</v>
      </c>
    </row>
    <row r="96" spans="1:8">
      <c r="A96" t="s">
        <v>3044</v>
      </c>
      <c r="B96" t="s">
        <v>3045</v>
      </c>
      <c r="C96" t="s">
        <v>3976</v>
      </c>
      <c r="D96" t="s">
        <v>4093</v>
      </c>
      <c r="E96">
        <v>2</v>
      </c>
      <c r="F96" t="s">
        <v>4099</v>
      </c>
      <c r="G96" t="s">
        <v>4095</v>
      </c>
      <c r="H96" t="s">
        <v>4100</v>
      </c>
    </row>
    <row r="98" spans="1:8">
      <c r="A98" s="181" t="s">
        <v>4101</v>
      </c>
      <c r="B98" s="182"/>
      <c r="C98" s="182"/>
      <c r="D98" s="182"/>
      <c r="E98" s="182"/>
      <c r="F98" s="182"/>
      <c r="G98" s="182"/>
      <c r="H98" s="182"/>
    </row>
    <row r="99" spans="1:8">
      <c r="A99" s="177" t="s">
        <v>2910</v>
      </c>
      <c r="B99" s="177" t="s">
        <v>3885</v>
      </c>
      <c r="C99" s="177" t="s">
        <v>187</v>
      </c>
      <c r="D99" s="177" t="s">
        <v>43</v>
      </c>
      <c r="E99" s="177" t="s">
        <v>2911</v>
      </c>
      <c r="F99" s="177" t="s">
        <v>4102</v>
      </c>
      <c r="G99" s="177" t="s">
        <v>4103</v>
      </c>
      <c r="H99" s="177" t="s">
        <v>4104</v>
      </c>
    </row>
    <row r="100" spans="1:8">
      <c r="A100" s="183" t="s">
        <v>3091</v>
      </c>
      <c r="B100" s="183" t="s">
        <v>3092</v>
      </c>
      <c r="C100" s="184" t="s">
        <v>4105</v>
      </c>
      <c r="D100" t="s">
        <v>2920</v>
      </c>
      <c r="E100">
        <v>3</v>
      </c>
      <c r="F100" t="s">
        <v>2416</v>
      </c>
      <c r="G100" t="s">
        <v>2918</v>
      </c>
      <c r="H100" t="s">
        <v>4106</v>
      </c>
    </row>
    <row r="101" spans="1:8">
      <c r="A101" s="183" t="s">
        <v>3095</v>
      </c>
      <c r="B101" s="183" t="s">
        <v>3096</v>
      </c>
      <c r="C101" s="184" t="s">
        <v>4107</v>
      </c>
      <c r="D101" t="s">
        <v>3035</v>
      </c>
      <c r="E101">
        <v>15</v>
      </c>
      <c r="F101" t="s">
        <v>1116</v>
      </c>
      <c r="G101" t="s">
        <v>4108</v>
      </c>
      <c r="H101" t="s">
        <v>4109</v>
      </c>
    </row>
    <row r="102" spans="1:8">
      <c r="A102" s="183" t="s">
        <v>3099</v>
      </c>
      <c r="B102" s="183" t="s">
        <v>3100</v>
      </c>
      <c r="C102" s="184" t="s">
        <v>4107</v>
      </c>
      <c r="D102" t="s">
        <v>3101</v>
      </c>
      <c r="E102">
        <v>2</v>
      </c>
      <c r="F102" t="s">
        <v>1116</v>
      </c>
      <c r="G102" t="s">
        <v>2416</v>
      </c>
      <c r="H102" t="s">
        <v>4110</v>
      </c>
    </row>
    <row r="103" spans="1:8">
      <c r="A103" s="183" t="s">
        <v>3103</v>
      </c>
      <c r="B103" s="183" t="s">
        <v>3104</v>
      </c>
      <c r="C103" s="184" t="s">
        <v>4107</v>
      </c>
      <c r="D103" t="s">
        <v>3035</v>
      </c>
      <c r="E103">
        <v>12</v>
      </c>
      <c r="F103" t="s">
        <v>1116</v>
      </c>
      <c r="G103" t="s">
        <v>4108</v>
      </c>
      <c r="H103" t="s">
        <v>4111</v>
      </c>
    </row>
    <row r="104" spans="1:8">
      <c r="A104" s="183" t="s">
        <v>3106</v>
      </c>
      <c r="B104" s="183" t="s">
        <v>3107</v>
      </c>
      <c r="C104" s="184" t="s">
        <v>4107</v>
      </c>
      <c r="D104" t="s">
        <v>2920</v>
      </c>
      <c r="E104">
        <v>2</v>
      </c>
      <c r="F104" t="s">
        <v>1116</v>
      </c>
      <c r="G104" t="s">
        <v>4112</v>
      </c>
      <c r="H104" t="s">
        <v>4113</v>
      </c>
    </row>
    <row r="105" spans="1:8">
      <c r="A105" s="183" t="s">
        <v>3109</v>
      </c>
      <c r="B105" s="183" t="s">
        <v>3110</v>
      </c>
      <c r="C105" s="184" t="s">
        <v>4107</v>
      </c>
      <c r="D105" t="s">
        <v>2920</v>
      </c>
      <c r="E105">
        <v>3</v>
      </c>
      <c r="F105" t="s">
        <v>1116</v>
      </c>
      <c r="G105" t="s">
        <v>4114</v>
      </c>
      <c r="H105" t="s">
        <v>4115</v>
      </c>
    </row>
    <row r="106" spans="1:8">
      <c r="A106" s="183" t="s">
        <v>3112</v>
      </c>
      <c r="B106" s="183" t="s">
        <v>3113</v>
      </c>
      <c r="C106" s="184" t="s">
        <v>4107</v>
      </c>
      <c r="D106" t="s">
        <v>3114</v>
      </c>
      <c r="E106">
        <v>3</v>
      </c>
      <c r="F106" t="s">
        <v>1116</v>
      </c>
      <c r="G106" t="s">
        <v>4116</v>
      </c>
      <c r="H106" t="s">
        <v>4117</v>
      </c>
    </row>
    <row r="107" spans="1:8">
      <c r="A107" s="183" t="s">
        <v>3116</v>
      </c>
      <c r="B107" s="183" t="s">
        <v>3117</v>
      </c>
      <c r="C107" s="184" t="s">
        <v>4107</v>
      </c>
      <c r="D107" t="s">
        <v>2920</v>
      </c>
      <c r="E107">
        <v>3</v>
      </c>
      <c r="F107" t="s">
        <v>1116</v>
      </c>
      <c r="G107" t="s">
        <v>2918</v>
      </c>
      <c r="H107" t="s">
        <v>4118</v>
      </c>
    </row>
    <row r="108" spans="1:8">
      <c r="A108" s="183" t="s">
        <v>3119</v>
      </c>
      <c r="B108" s="183" t="s">
        <v>3120</v>
      </c>
      <c r="C108" s="184" t="s">
        <v>4107</v>
      </c>
      <c r="D108" t="s">
        <v>2920</v>
      </c>
      <c r="E108">
        <v>3</v>
      </c>
      <c r="F108" t="s">
        <v>1116</v>
      </c>
      <c r="G108" t="s">
        <v>2918</v>
      </c>
      <c r="H108" t="s">
        <v>4119</v>
      </c>
    </row>
    <row r="109" spans="1:8">
      <c r="A109" s="183" t="s">
        <v>3122</v>
      </c>
      <c r="B109" s="183" t="s">
        <v>3123</v>
      </c>
      <c r="C109" s="184" t="s">
        <v>4107</v>
      </c>
      <c r="D109" t="s">
        <v>3021</v>
      </c>
      <c r="E109">
        <v>7</v>
      </c>
      <c r="F109" t="s">
        <v>1116</v>
      </c>
      <c r="G109" t="s">
        <v>4120</v>
      </c>
      <c r="H109" t="s">
        <v>4121</v>
      </c>
    </row>
    <row r="110" spans="1:8">
      <c r="A110" s="183" t="s">
        <v>3125</v>
      </c>
      <c r="B110" s="183" t="s">
        <v>3126</v>
      </c>
      <c r="C110" s="184" t="s">
        <v>4107</v>
      </c>
      <c r="D110" t="s">
        <v>3114</v>
      </c>
      <c r="E110">
        <v>5</v>
      </c>
      <c r="F110" t="s">
        <v>1116</v>
      </c>
      <c r="G110" t="s">
        <v>4122</v>
      </c>
      <c r="H110" t="s">
        <v>4123</v>
      </c>
    </row>
    <row r="111" spans="1:8">
      <c r="A111" s="183" t="s">
        <v>3128</v>
      </c>
      <c r="B111" s="183" t="s">
        <v>3129</v>
      </c>
      <c r="C111" s="184" t="s">
        <v>4107</v>
      </c>
      <c r="D111" t="s">
        <v>2920</v>
      </c>
      <c r="E111">
        <v>3</v>
      </c>
      <c r="F111" t="s">
        <v>1116</v>
      </c>
      <c r="G111" t="s">
        <v>2918</v>
      </c>
      <c r="H111" t="s">
        <v>4124</v>
      </c>
    </row>
    <row r="112" spans="1:8">
      <c r="A112" s="183" t="s">
        <v>3131</v>
      </c>
      <c r="B112" s="183" t="s">
        <v>3132</v>
      </c>
      <c r="C112" s="184" t="s">
        <v>4107</v>
      </c>
      <c r="D112" t="s">
        <v>2920</v>
      </c>
      <c r="E112">
        <v>6</v>
      </c>
      <c r="F112" t="s">
        <v>1116</v>
      </c>
      <c r="G112" t="s">
        <v>2918</v>
      </c>
      <c r="H112" t="s">
        <v>4125</v>
      </c>
    </row>
    <row r="114" spans="1:8">
      <c r="A114" s="178" t="s">
        <v>4126</v>
      </c>
      <c r="B114" s="172"/>
      <c r="C114" s="172"/>
      <c r="D114" s="172"/>
      <c r="E114" s="172"/>
      <c r="F114" s="172"/>
      <c r="G114" s="172"/>
      <c r="H114" s="172"/>
    </row>
    <row r="115" spans="1:8">
      <c r="A115" s="185" t="s">
        <v>43</v>
      </c>
      <c r="B115" s="185" t="s">
        <v>4127</v>
      </c>
      <c r="C115" s="186" t="s">
        <v>4128</v>
      </c>
      <c r="D115" s="177" t="s">
        <v>4129</v>
      </c>
    </row>
    <row r="116" spans="1:8">
      <c r="A116" t="s">
        <v>2913</v>
      </c>
      <c r="B116">
        <v>2</v>
      </c>
      <c r="C116">
        <v>32</v>
      </c>
      <c r="D116" t="s">
        <v>4130</v>
      </c>
    </row>
    <row r="117" spans="1:8">
      <c r="A117" t="s">
        <v>370</v>
      </c>
      <c r="B117">
        <v>9</v>
      </c>
      <c r="C117" t="s">
        <v>4131</v>
      </c>
      <c r="D117" t="s">
        <v>4132</v>
      </c>
    </row>
    <row r="118" spans="1:8">
      <c r="A118" t="s">
        <v>4133</v>
      </c>
      <c r="B118">
        <v>8</v>
      </c>
      <c r="C118" t="s">
        <v>4134</v>
      </c>
      <c r="D118" t="s">
        <v>4135</v>
      </c>
    </row>
    <row r="119" spans="1:8">
      <c r="A119" t="s">
        <v>4136</v>
      </c>
      <c r="B119">
        <v>7</v>
      </c>
      <c r="C119" t="s">
        <v>4137</v>
      </c>
      <c r="D119" t="s">
        <v>4138</v>
      </c>
    </row>
    <row r="120" spans="1:8">
      <c r="A120" t="s">
        <v>4139</v>
      </c>
      <c r="B120">
        <v>4</v>
      </c>
      <c r="C120" t="s">
        <v>4140</v>
      </c>
      <c r="D120" t="s">
        <v>4141</v>
      </c>
    </row>
    <row r="121" spans="1:8">
      <c r="A121" t="s">
        <v>4142</v>
      </c>
      <c r="B121">
        <v>5</v>
      </c>
      <c r="C121" t="s">
        <v>4143</v>
      </c>
      <c r="D121" t="s">
        <v>4144</v>
      </c>
    </row>
    <row r="122" spans="1:8">
      <c r="A122" t="s">
        <v>4145</v>
      </c>
      <c r="B122">
        <v>5</v>
      </c>
      <c r="C122" t="s">
        <v>4146</v>
      </c>
      <c r="D122" t="s">
        <v>4147</v>
      </c>
    </row>
    <row r="123" spans="1:8">
      <c r="A123" t="s">
        <v>4148</v>
      </c>
      <c r="B123">
        <v>4</v>
      </c>
      <c r="C123" t="s">
        <v>4149</v>
      </c>
      <c r="D123" t="s">
        <v>4150</v>
      </c>
    </row>
    <row r="124" spans="1:8">
      <c r="A124" t="s">
        <v>4151</v>
      </c>
      <c r="B124">
        <v>6</v>
      </c>
      <c r="C124" t="s">
        <v>4152</v>
      </c>
      <c r="D124" t="s">
        <v>4153</v>
      </c>
    </row>
    <row r="125" spans="1:8">
      <c r="A125" t="s">
        <v>4154</v>
      </c>
      <c r="B125">
        <v>3</v>
      </c>
      <c r="C125" t="s">
        <v>4155</v>
      </c>
      <c r="D125" t="s">
        <v>4094</v>
      </c>
    </row>
    <row r="126" spans="1:8">
      <c r="A126" s="187" t="s">
        <v>4156</v>
      </c>
      <c r="B126" s="187">
        <v>54</v>
      </c>
      <c r="C126" s="187" t="s">
        <v>4157</v>
      </c>
      <c r="D126" s="187" t="s">
        <v>4158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dcterms:created xsi:type="dcterms:W3CDTF">2026-03-07T21:20:20Z</dcterms:created>
  <dcterms:modified xsi:type="dcterms:W3CDTF">2026-03-13T18:48:15Z</dcterms:modified>
</cp:coreProperties>
</file>