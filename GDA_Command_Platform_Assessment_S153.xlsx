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7840" windowHeight="15720" tabRatio="600" firstSheet="0" activeTab="9" autoFilterDateGrouping="1"/>
  </bookViews>
  <sheets>
    <sheet xmlns:r="http://schemas.openxmlformats.org/officeDocument/2006/relationships" name="S-147 → S-153 Updates" sheetId="1" state="visible" r:id="rId1"/>
    <sheet xmlns:r="http://schemas.openxmlformats.org/officeDocument/2006/relationships" name="S-146 Updates" sheetId="2" state="visible" r:id="rId2"/>
    <sheet xmlns:r="http://schemas.openxmlformats.org/officeDocument/2006/relationships" name="Hardening Plan" sheetId="3" state="visible" r:id="rId3"/>
    <sheet xmlns:r="http://schemas.openxmlformats.org/officeDocument/2006/relationships" name="Executive Summary" sheetId="4" state="visible" r:id="rId4"/>
    <sheet xmlns:r="http://schemas.openxmlformats.org/officeDocument/2006/relationships" name="Consolidation Map" sheetId="5" state="visible" r:id="rId5"/>
    <sheet xmlns:r="http://schemas.openxmlformats.org/officeDocument/2006/relationships" name="Gap Analysis" sheetId="6" state="visible" r:id="rId6"/>
    <sheet xmlns:r="http://schemas.openxmlformats.org/officeDocument/2006/relationships" name="Templates &amp; Patterns" sheetId="7" state="visible" r:id="rId7"/>
    <sheet xmlns:r="http://schemas.openxmlformats.org/officeDocument/2006/relationships" name="Master Roadmap" sheetId="8" state="visible" r:id="rId8"/>
    <sheet xmlns:r="http://schemas.openxmlformats.org/officeDocument/2006/relationships" name="Effort Summary" sheetId="9" state="visible" r:id="rId9"/>
    <sheet xmlns:r="http://schemas.openxmlformats.org/officeDocument/2006/relationships" name="Operator Interface" sheetId="10" state="visible" r:id="rId10"/>
    <sheet xmlns:r="http://schemas.openxmlformats.org/officeDocument/2006/relationships" name="Current Capabilities" sheetId="11" state="visible" r:id="rId11"/>
  </sheets>
  <definedNames>
    <definedName name="_xlnm._FilterDatabase" localSheetId="2" hidden="1">'Hardening Plan'!$A$1:$I$1</definedName>
    <definedName name="_xlnm._FilterDatabase" localSheetId="4" hidden="1">'Consolidation Map'!$A$1:$J$1</definedName>
    <definedName name="_xlnm._FilterDatabase" localSheetId="5" hidden="1">'Gap Analysis'!$A$1:$H$1</definedName>
    <definedName name="_xlnm._FilterDatabase" localSheetId="6" hidden="1">'Templates &amp; Patterns'!$A$1:$G$1</definedName>
    <definedName name="_xlnm._FilterDatabase" localSheetId="7" hidden="1">'Master Roadmap'!$A$1:$I$1</definedName>
    <definedName name="_xlnm._FilterDatabase" localSheetId="10" hidden="1">'Current Capabilities'!$A$1:$G$1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FF1F3864"/>
      <sz val="16"/>
    </font>
    <font>
      <name val="Arial"/>
      <color rgb="FF666666"/>
      <sz val="9"/>
    </font>
    <font>
      <name val="Arial"/>
      <b val="1"/>
      <color rgb="FF2E75B6"/>
      <sz val="12"/>
    </font>
    <font>
      <name val="Arial"/>
      <b val="1"/>
      <color rgb="FF1F3864"/>
      <sz val="22"/>
    </font>
    <font>
      <name val="Arial"/>
      <b val="1"/>
      <color rgb="FFCC0000"/>
      <sz val="11"/>
    </font>
    <font>
      <name val="Arial"/>
      <b val="1"/>
      <sz val="9"/>
    </font>
    <font>
      <name val="Arial"/>
      <sz val="9"/>
    </font>
    <font>
      <name val="Arial"/>
      <b val="1"/>
      <color rgb="FFFFFFFF"/>
      <sz val="10"/>
    </font>
    <font>
      <name val="Arial"/>
      <color rgb="FF0563C1"/>
      <sz val="9"/>
      <u val="single"/>
    </font>
    <font>
      <name val="Arial"/>
      <b val="1"/>
      <color rgb="FF1F3864"/>
      <sz val="10"/>
    </font>
    <font>
      <name val="Calibri"/>
      <color rgb="FF333333"/>
      <sz val="10"/>
    </font>
    <font>
      <name val="Calibri"/>
      <color rgb="FF2F5C1F"/>
      <sz val="10"/>
    </font>
    <font>
      <name val="Calibri"/>
      <b val="1"/>
      <color rgb="FF2F5C1F"/>
      <sz val="10"/>
    </font>
    <font>
      <name val="Calibri"/>
      <b val="1"/>
      <color rgb="FF006100"/>
      <sz val="11"/>
    </font>
    <font>
      <name val="Calibri"/>
      <b val="1"/>
      <sz val="12"/>
    </font>
    <font>
      <name val="Arial"/>
      <b val="1"/>
      <color rgb="FF1B2A4A"/>
      <sz val="12"/>
    </font>
    <font>
      <name val="Arial"/>
      <sz val="10"/>
    </font>
    <font>
      <name val="Arial"/>
      <b val="1"/>
      <color rgb="FF2E7D32"/>
      <sz val="10"/>
    </font>
    <font>
      <name val="Arial"/>
      <b val="1"/>
      <color rgb="FFFFFFFF"/>
      <sz val="11"/>
    </font>
    <font>
      <name val="Arial"/>
      <b val="1"/>
      <color rgb="FF1B2A4A"/>
      <sz val="10"/>
    </font>
  </fonts>
  <fills count="1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EFEFEF"/>
      </patternFill>
    </fill>
    <fill>
      <patternFill patternType="solid">
        <fgColor rgb="FFCFE2F3"/>
      </patternFill>
    </fill>
    <fill>
      <patternFill patternType="solid">
        <fgColor rgb="FFC6EFCE"/>
      </patternFill>
    </fill>
    <fill>
      <patternFill patternType="solid">
        <fgColor rgb="FFE8F5E9"/>
      </patternFill>
    </fill>
    <fill>
      <patternFill patternType="solid">
        <fgColor rgb="FF1B2A4A"/>
      </patternFill>
    </fill>
    <fill>
      <patternFill patternType="solid">
        <fgColor rgb="FFE8EAF1"/>
      </patternFill>
    </fill>
    <fill>
      <patternFill patternType="solid">
        <fgColor rgb="FFD5F5E3"/>
      </patternFill>
    </fill>
    <fill>
      <patternFill patternType="solid">
        <fgColor rgb="FFFFF3CD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8" fillId="2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6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vertical="top" wrapText="1"/>
    </xf>
    <xf numFmtId="0" fontId="7" fillId="9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7" fillId="11" borderId="1" applyAlignment="1" pivotButton="0" quotePrefix="0" xfId="0">
      <alignment horizontal="center" vertical="top" wrapText="1"/>
    </xf>
    <xf numFmtId="0" fontId="14" fillId="0" borderId="0" pivotButton="0" quotePrefix="0" xfId="0"/>
    <xf numFmtId="0" fontId="15" fillId="0" borderId="0" pivotButton="0" quotePrefix="0" xfId="0"/>
    <xf numFmtId="0" fontId="17" fillId="12" borderId="0" pivotButton="0" quotePrefix="0" xfId="0"/>
    <xf numFmtId="0" fontId="17" fillId="12" borderId="0" applyAlignment="1" pivotButton="0" quotePrefix="0" xfId="0">
      <alignment wrapText="1"/>
    </xf>
    <xf numFmtId="0" fontId="18" fillId="12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wrapText="1"/>
    </xf>
    <xf numFmtId="0" fontId="16" fillId="0" borderId="0" pivotButton="0" quotePrefix="0" xfId="0"/>
    <xf numFmtId="0" fontId="0" fillId="0" borderId="0" pivotButton="0" quotePrefix="0" xfId="0"/>
    <xf numFmtId="0" fontId="7" fillId="0" borderId="0" pivotButton="0" quotePrefix="0" xfId="0"/>
    <xf numFmtId="0" fontId="1" fillId="0" borderId="0" pivotButton="0" quotePrefix="0" xfId="0"/>
    <xf numFmtId="0" fontId="10" fillId="8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9" fillId="13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top" wrapText="1"/>
    </xf>
    <xf numFmtId="0" fontId="20" fillId="14" borderId="0" applyAlignment="1" pivotButton="0" quotePrefix="0" xfId="0">
      <alignment horizontal="left" vertical="top" wrapText="1"/>
    </xf>
    <xf numFmtId="0" fontId="17" fillId="15" borderId="0" applyAlignment="1" pivotButton="0" quotePrefix="0" xfId="0">
      <alignment horizontal="left" vertical="top" wrapText="1"/>
    </xf>
    <xf numFmtId="0" fontId="17" fillId="16" borderId="0" applyAlignment="1" pivotButton="0" quotePrefix="0" xfId="0">
      <alignment horizontal="left" vertical="top" wrapText="1"/>
    </xf>
    <xf numFmtId="0" fontId="20" fillId="1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8" customWidth="1" style="36" min="1" max="1"/>
    <col width="32" customWidth="1" style="36" min="2" max="2"/>
    <col width="72" customWidth="1" style="36" min="3" max="3"/>
  </cols>
  <sheetData>
    <row r="1">
      <c r="A1" s="42" t="inlineStr">
        <is>
          <t>GDA COMMAND PLATFORM ASSESSMENT — S-147 → S-153 UPDATES</t>
        </is>
      </c>
      <c r="B1" s="42" t="inlineStr"/>
      <c r="C1" s="42" t="inlineStr"/>
    </row>
    <row r="2">
      <c r="A2" s="43" t="inlineStr">
        <is>
          <t>Date: April 10, 2026  10:24 AM ET</t>
        </is>
      </c>
      <c r="B2" s="43" t="inlineStr"/>
      <c r="C2" s="43" t="inlineStr"/>
    </row>
    <row r="3">
      <c r="A3" s="43" t="inlineStr">
        <is>
          <t>Sessions covered: S-147, S-148, S-149, S-150, S-151, S-152, S-153</t>
        </is>
      </c>
      <c r="B3" s="43" t="inlineStr"/>
      <c r="C3" s="43" t="inlineStr"/>
    </row>
    <row r="4">
      <c r="A4" s="43" t="inlineStr"/>
      <c r="B4" s="43" t="inlineStr"/>
      <c r="C4" s="43" t="inlineStr"/>
    </row>
    <row r="5">
      <c r="A5" s="44" t="inlineStr">
        <is>
          <t>CATEGORY</t>
        </is>
      </c>
      <c r="B5" s="44" t="inlineStr">
        <is>
          <t>S-146 STATE</t>
        </is>
      </c>
      <c r="C5" s="44" t="inlineStr">
        <is>
          <t>S-153 STATE</t>
        </is>
      </c>
    </row>
    <row r="6">
      <c r="A6" s="43" t="inlineStr">
        <is>
          <t>Active Workflows</t>
        </is>
      </c>
      <c r="B6" s="43" t="inlineStr">
        <is>
          <t>151</t>
        </is>
      </c>
      <c r="C6" s="43" t="inlineStr">
        <is>
          <t>152 (+1 GDA.api.capture-plan refactored)</t>
        </is>
      </c>
    </row>
    <row r="7">
      <c r="A7" s="43" t="inlineStr">
        <is>
          <t>Total Workflows</t>
        </is>
      </c>
      <c r="B7" s="43" t="inlineStr">
        <is>
          <t>155</t>
        </is>
      </c>
      <c r="C7" s="43" t="inlineStr">
        <is>
          <t>155 (stable)</t>
        </is>
      </c>
    </row>
    <row r="8">
      <c r="A8" s="43" t="inlineStr">
        <is>
          <t>Opportunities</t>
        </is>
      </c>
      <c r="B8" s="43" t="inlineStr">
        <is>
          <t>729</t>
        </is>
      </c>
      <c r="C8" s="43" t="inlineStr">
        <is>
          <t>729 (stable)</t>
        </is>
      </c>
    </row>
    <row r="9">
      <c r="A9" s="43" t="inlineStr">
        <is>
          <t>Capture Plans</t>
        </is>
      </c>
      <c r="B9" s="43" t="inlineStr">
        <is>
          <t>38 + auto-gen cron</t>
        </is>
      </c>
      <c r="C9" s="43" t="inlineStr">
        <is>
          <t>38 (15 linked to opp_tracker)</t>
        </is>
      </c>
    </row>
    <row r="10">
      <c r="A10" s="43" t="inlineStr">
        <is>
          <t>Funnel Qualified</t>
        </is>
      </c>
      <c r="B10" s="43" t="inlineStr">
        <is>
          <t>130</t>
        </is>
      </c>
      <c r="C10" s="43" t="inlineStr">
        <is>
          <t>132 (cron-1 stage-auto-promote fix)</t>
        </is>
      </c>
    </row>
    <row r="11">
      <c r="A11" s="43" t="inlineStr">
        <is>
          <t>App.jsx</t>
        </is>
      </c>
      <c r="B11" s="43" t="inlineStr">
        <is>
          <t>5,220 lines</t>
        </is>
      </c>
      <c r="C11" s="43" t="inlineStr">
        <is>
          <t>5,236 lines (+16 — alloc field + helpers)</t>
        </is>
      </c>
    </row>
    <row r="12">
      <c r="A12" s="43" t="inlineStr">
        <is>
          <t>Active Bundle</t>
        </is>
      </c>
      <c r="B12" s="43" t="inlineStr">
        <is>
          <t>index-(prior).js</t>
        </is>
      </c>
      <c r="C12" s="43" t="inlineStr">
        <is>
          <t>index-_lFGxpmr.js</t>
        </is>
      </c>
    </row>
    <row r="13">
      <c r="A13" s="45" t="inlineStr">
        <is>
          <t>Phase 0 Hardening</t>
        </is>
      </c>
      <c r="B13" s="45" t="inlineStr">
        <is>
          <t>100% COMPLETE</t>
        </is>
      </c>
      <c r="C13" s="45" t="inlineStr">
        <is>
          <t>✅ HOLDING (no regressions S-147..S-153)</t>
        </is>
      </c>
    </row>
    <row r="14">
      <c r="A14" s="45" t="inlineStr">
        <is>
          <t>Money Formatter Consistency</t>
        </is>
      </c>
      <c r="B14" s="45" t="inlineStr">
        <is>
          <t>Mixed (7 formatters)</t>
        </is>
      </c>
      <c r="C14" s="45" t="inlineStr">
        <is>
          <t>✅ UNIFIED via window.GDA_USD</t>
        </is>
      </c>
    </row>
    <row r="15">
      <c r="A15" s="45" t="inlineStr">
        <is>
          <t>Capture Plan Save</t>
        </is>
      </c>
      <c r="B15" s="45" t="inlineStr">
        <is>
          <t>🔴 SILENTLY ERRORING (postgres v2.5)</t>
        </is>
      </c>
      <c r="C15" s="45" t="inlineStr">
        <is>
          <t>✅ FIXED + verified end-to-end</t>
        </is>
      </c>
    </row>
    <row r="16">
      <c r="A16" s="45" t="inlineStr">
        <is>
          <t>Capture Plan Auto-Promote Cron</t>
        </is>
      </c>
      <c r="B16" s="45" t="inlineStr">
        <is>
          <t>🔴 BROKEN (missing column)</t>
        </is>
      </c>
      <c r="C16" s="45" t="inlineStr">
        <is>
          <t>✅ FIXED (updated_at column added)</t>
        </is>
      </c>
    </row>
    <row r="17">
      <c r="A17" s="45" t="inlineStr">
        <is>
          <t>Auto Capture Plan Cron</t>
        </is>
      </c>
      <c r="B17" s="45" t="inlineStr">
        <is>
          <t>🔴 BROKEN (queryParams key)</t>
        </is>
      </c>
      <c r="C17" s="45" t="inlineStr">
        <is>
          <t>✅ FIXED (queryReplacement)</t>
        </is>
      </c>
    </row>
    <row r="18">
      <c r="A18" s="45" t="inlineStr">
        <is>
          <t>Weekly Comp Scan Cron</t>
        </is>
      </c>
      <c r="B18" s="45" t="inlineStr">
        <is>
          <t>🔴 BROKEN (queryParams key)</t>
        </is>
      </c>
      <c r="C18" s="45" t="inlineStr">
        <is>
          <t>✅ FIXED (queryReplacement)</t>
        </is>
      </c>
    </row>
    <row r="19">
      <c r="A19" s="45" t="inlineStr">
        <is>
          <t>Frontend nginx Auth Header</t>
        </is>
      </c>
      <c r="B19" s="45" t="inlineStr">
        <is>
          <t>🔴 BROKEN (X-GDA-Auth)</t>
        </is>
      </c>
      <c r="C19" s="45" t="inlineStr">
        <is>
          <t>✅ FIXED (X-GDA-Key)</t>
        </is>
      </c>
    </row>
    <row r="20">
      <c r="A20" s="45" t="inlineStr">
        <is>
          <t>Gist Update Workflow Auth</t>
        </is>
      </c>
      <c r="B20" s="45" t="inlineStr">
        <is>
          <t>🔴 SILENTLY FAILING since Apr 9</t>
        </is>
      </c>
      <c r="C20" s="45" t="inlineStr">
        <is>
          <t>✅ FIXED (accepts x-gda-key + x-gda-auth)</t>
        </is>
      </c>
    </row>
    <row r="21">
      <c r="A21" s="45" t="inlineStr">
        <is>
          <t>SEWP VI Plan Garbage Data</t>
        </is>
      </c>
      <c r="B21" s="45" t="inlineStr">
        <is>
          <t>🔴 $60B ghost</t>
        </is>
      </c>
      <c r="C21" s="45" t="inlineStr">
        <is>
          <t>✅ FIXED ($9.17M correct)</t>
        </is>
      </c>
    </row>
    <row r="22">
      <c r="A22" s="43" t="inlineStr"/>
      <c r="B22" s="43" t="inlineStr"/>
      <c r="C22" s="43" t="inlineStr"/>
    </row>
    <row r="23">
      <c r="A23" s="44">
        <f>== S-153 NEW WORK ===</f>
        <v/>
      </c>
      <c r="B23" s="44" t="inlineStr"/>
      <c r="C23" s="44" t="inlineStr"/>
    </row>
    <row r="24">
      <c r="A24" s="45" t="inlineStr">
        <is>
          <t>gda_allocation_m field</t>
        </is>
      </c>
      <c r="B24" s="45" t="inlineStr">
        <is>
          <t>✅ DEPLOYED</t>
        </is>
      </c>
      <c r="C24" s="45" t="inlineStr">
        <is>
          <t>Total contract value share. Sacred (manual only, PROTECTED in jsonb_fill_blanks). Wired to capture plan card row 2 col 3.</t>
        </is>
      </c>
    </row>
    <row r="25">
      <c r="A25" s="45" t="inlineStr">
        <is>
          <t>Empty-field highlighting</t>
        </is>
      </c>
      <c r="B25" s="45" t="inlineStr">
        <is>
          <t>✅ DEPLOYED</t>
        </is>
      </c>
      <c r="C25" s="45" t="inlineStr">
        <is>
          <t>Yellow #FEF3C7 + orange border #F59E0B on empty input fields. CpField function patched, all 3 render paths covered.</t>
        </is>
      </c>
    </row>
    <row r="26">
      <c r="A26" s="43" t="inlineStr"/>
      <c r="B26" s="43" t="inlineStr"/>
      <c r="C26" s="43" t="inlineStr"/>
    </row>
    <row r="27">
      <c r="A27" s="44">
        <f>== KEY DISCOVERIES (PATTERNS, NOT INDIVIDUAL BUGS) ===</f>
        <v/>
      </c>
      <c r="B27" s="44" t="inlineStr"/>
      <c r="C27" s="44" t="inlineStr"/>
    </row>
    <row r="28">
      <c r="A28" s="46" t="inlineStr">
        <is>
          <t>Pattern: postgres v2.5 queryParameters bug</t>
        </is>
      </c>
      <c r="B28" s="46" t="inlineStr">
        <is>
          <t>OPEN — needs sweep</t>
        </is>
      </c>
      <c r="C28" s="46" t="inlineStr">
        <is>
          <t>Multiple workflows use legacy queryParameters key which postgres v2.5 silently ignores. Need full sweep across all 152 active workflows. Found 3 in S-152.</t>
        </is>
      </c>
    </row>
    <row r="29">
      <c r="A29" s="46" t="inlineStr">
        <is>
          <t>Pattern: Auth Check Code node x-gda-auth only</t>
        </is>
      </c>
      <c r="B29" s="46" t="inlineStr">
        <is>
          <t>OPEN — needs sweep</t>
        </is>
      </c>
      <c r="C29" s="46" t="inlineStr">
        <is>
          <t>Code-node Auth Guards on multiple workflows check only headers[x-gda-auth], reject valid x-gda-key. Found 2 (capture-plan + gist-update). Likely more.</t>
        </is>
      </c>
    </row>
    <row r="30">
      <c r="A30" s="46" t="inlineStr">
        <is>
          <t>Pattern: typeVersion 2 If/Switch missing options.caseSensitive</t>
        </is>
      </c>
      <c r="B30" s="46" t="inlineStr">
        <is>
          <t>OPEN — already documented</t>
        </is>
      </c>
      <c r="C30" s="46" t="inlineStr">
        <is>
          <t>WORKFLOW RULES sheet of Build v61 documents this as known bug. Every new workflow keeps hitting it. Need defensive default in n8n_update_partial_workflow path.</t>
        </is>
      </c>
    </row>
    <row r="31">
      <c r="A31" s="43" t="inlineStr"/>
      <c r="B31" s="43" t="inlineStr"/>
      <c r="C31" s="43" t="inlineStr"/>
    </row>
    <row r="32">
      <c r="A32" s="44">
        <f>== REMAINING OPEN ===</f>
        <v/>
      </c>
      <c r="B32" s="44" t="inlineStr"/>
      <c r="C32" s="44" t="inlineStr"/>
    </row>
    <row r="33">
      <c r="A33" s="46" t="inlineStr">
        <is>
          <t>Wire gda_allocation_m to AOP rollup</t>
        </is>
      </c>
      <c r="B33" s="46" t="inlineStr">
        <is>
          <t>OPEN</t>
        </is>
      </c>
      <c r="C33" s="46" t="inlineStr">
        <is>
          <t>Workflow P8AfP8P84xi33auD GDA.api.aop-tracker</t>
        </is>
      </c>
    </row>
    <row r="34">
      <c r="A34" s="46" t="inlineStr">
        <is>
          <t>Wire gda_allocation_m to Launchpad KPI</t>
        </is>
      </c>
      <c r="B34" s="46" t="inlineStr">
        <is>
          <t>OPEN</t>
        </is>
      </c>
      <c r="C34" s="46" t="inlineStr">
        <is>
          <t>Workflow vaRzM1Jl6HcXjuxs GDA.api.launchpad-funnel</t>
        </is>
      </c>
    </row>
    <row r="35">
      <c r="A35" s="46" t="inlineStr">
        <is>
          <t>Enrich 21 unlinked capture plans</t>
        </is>
      </c>
      <c r="B35" s="46" t="inlineStr">
        <is>
          <t>OPEN</t>
        </is>
      </c>
      <c r="C35" s="46" t="inlineStr">
        <is>
          <t>Most are RS3 task orders not in GovTribe. Need RS3 portal access.</t>
        </is>
      </c>
    </row>
    <row r="36">
      <c r="A36" s="46" t="inlineStr">
        <is>
          <t>Top-strip KPIs hardcoded</t>
        </is>
      </c>
      <c r="B36" s="46" t="inlineStr">
        <is>
          <t>OPEN</t>
        </is>
      </c>
      <c r="C36" s="46" t="inlineStr">
        <is>
          <t>ORDERS/SALES/EBIT/ROS/FUNDED BACKLOG/BACKLOG at lines 5184-5192 are placeholder strings. Need to wire to real data.</t>
        </is>
      </c>
    </row>
    <row r="37">
      <c r="A37" s="46" t="inlineStr">
        <is>
          <t>Senior DevOps Hardening Charter</t>
        </is>
      </c>
      <c r="B37" s="46" t="inlineStr">
        <is>
          <t>IN-FLIGHT (this session)</t>
        </is>
      </c>
      <c r="C37" s="46" t="inlineStr">
        <is>
          <t>Phase 1 consolidation, Phase 2 rules extraction, Phase 3 hardening with config locks, Phase 4 end-to-end validation.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topLeftCell="A21" workbookViewId="0">
      <selection activeCell="A1" sqref="A1"/>
    </sheetView>
  </sheetViews>
  <sheetFormatPr baseColWidth="8" defaultRowHeight="15"/>
  <cols>
    <col width="45" customWidth="1" style="36" min="1" max="1"/>
    <col width="40" customWidth="1" style="36" min="2" max="2"/>
    <col width="50" customWidth="1" style="36" min="3" max="3"/>
  </cols>
  <sheetData>
    <row r="1" ht="15.75" customHeight="1" s="36">
      <c r="A1" s="29" t="inlineStr">
        <is>
          <t>GDA COMMAND PLATFORM ASSESSMENT — S-145 UPDATES</t>
        </is>
      </c>
    </row>
    <row r="2">
      <c r="A2" t="inlineStr">
        <is>
          <t>Date: April 8, 2026</t>
        </is>
      </c>
    </row>
    <row r="4">
      <c r="A4" t="inlineStr">
        <is>
          <t>CATEGORY</t>
        </is>
      </c>
      <c r="B4" t="inlineStr">
        <is>
          <t>S-144 STATE</t>
        </is>
      </c>
      <c r="C4" t="inlineStr">
        <is>
          <t>S-145 STATE</t>
        </is>
      </c>
    </row>
    <row r="5">
      <c r="A5" t="inlineStr">
        <is>
          <t>Active Workflows</t>
        </is>
      </c>
      <c r="B5" t="inlineStr">
        <is>
          <t>134</t>
        </is>
      </c>
      <c r="C5" t="inlineStr">
        <is>
          <t>151 (+17)</t>
        </is>
      </c>
    </row>
    <row r="6">
      <c r="A6" t="inlineStr">
        <is>
          <t>Active Opps</t>
        </is>
      </c>
      <c r="B6" t="inlineStr">
        <is>
          <t>674 (all in DoW)</t>
        </is>
      </c>
      <c r="C6" t="inlineStr">
        <is>
          <t>165 active / 387 total (15 depts)</t>
        </is>
      </c>
    </row>
    <row r="7">
      <c r="A7" t="inlineStr">
        <is>
          <t>Pipeline Value</t>
        </is>
      </c>
      <c r="B7" t="inlineStr">
        <is>
          <t>$3.5B (inflated with junk)</t>
        </is>
      </c>
      <c r="C7" t="inlineStr">
        <is>
          <t>$2.3B (clean GDA-relevant)</t>
        </is>
      </c>
    </row>
    <row r="8">
      <c r="A8" t="inlineStr">
        <is>
          <t>Departments</t>
        </is>
      </c>
      <c r="B8" t="inlineStr">
        <is>
          <t>1 (Department of War only)</t>
        </is>
      </c>
      <c r="C8" t="inlineStr">
        <is>
          <t>15 cabinet + Independent Agencies</t>
        </is>
      </c>
    </row>
    <row r="9">
      <c r="A9" t="inlineStr">
        <is>
          <t>PURSUE Count</t>
        </is>
      </c>
      <c r="B9" t="inlineStr">
        <is>
          <t>1</t>
        </is>
      </c>
      <c r="C9" t="inlineStr">
        <is>
          <t>24</t>
        </is>
      </c>
    </row>
    <row r="10">
      <c r="A10" t="inlineStr">
        <is>
          <t>Capture Plans</t>
        </is>
      </c>
      <c r="B10" t="inlineStr">
        <is>
          <t>38</t>
        </is>
      </c>
      <c r="C10" t="inlineStr">
        <is>
          <t>38 + auto-generation cron</t>
        </is>
      </c>
    </row>
    <row r="11">
      <c r="A11" t="inlineStr">
        <is>
          <t>Competitors w/ Landscapes</t>
        </is>
      </c>
      <c r="B11" t="inlineStr">
        <is>
          <t>35 / 0</t>
        </is>
      </c>
      <c r="C11" t="inlineStr">
        <is>
          <t>35 / 35 (5 landscapes)</t>
        </is>
      </c>
    </row>
    <row r="12">
      <c r="A12" t="inlineStr">
        <is>
          <t>Contracts API</t>
        </is>
      </c>
      <c r="B12" t="inlineStr">
        <is>
          <t>Returns 50 opps from wrong table</t>
        </is>
      </c>
      <c r="C12" t="inlineStr">
        <is>
          <t>5 real contracts from gda_active_contracts</t>
        </is>
      </c>
    </row>
    <row r="13">
      <c r="A13" t="inlineStr">
        <is>
          <t>DB Triggers</t>
        </is>
      </c>
      <c r="B13" t="inlineStr">
        <is>
          <t>1</t>
        </is>
      </c>
      <c r="C13" t="inlineStr">
        <is>
          <t>3</t>
        </is>
      </c>
    </row>
    <row r="14">
      <c r="A14" t="inlineStr">
        <is>
          <t>Cron Jobs</t>
        </is>
      </c>
      <c r="B14" t="inlineStr">
        <is>
          <t>~20</t>
        </is>
      </c>
      <c r="C14" t="inlineStr">
        <is>
          <t>29</t>
        </is>
      </c>
    </row>
    <row r="15">
      <c r="A15" t="inlineStr">
        <is>
          <t>E2E</t>
        </is>
      </c>
      <c r="B15" t="inlineStr">
        <is>
          <t>31/32</t>
        </is>
      </c>
      <c r="C15" t="inlineStr">
        <is>
          <t>31/32</t>
        </is>
      </c>
    </row>
    <row r="16">
      <c r="A16" t="inlineStr">
        <is>
          <t>Git</t>
        </is>
      </c>
      <c r="B16" t="inlineStr">
        <is>
          <t>14a779d</t>
        </is>
      </c>
      <c r="C16" t="inlineStr">
        <is>
          <t>4fbd758</t>
        </is>
      </c>
    </row>
    <row r="18">
      <c r="A18" t="inlineStr">
        <is>
          <t>KEY RISKS RESOLVED</t>
        </is>
      </c>
    </row>
    <row r="19">
      <c r="A19" t="inlineStr">
        <is>
          <t>All opps classified as Department of War</t>
        </is>
      </c>
      <c r="B19" t="inlineStr">
        <is>
          <t>RESOLVED</t>
        </is>
      </c>
      <c r="C19" t="inlineStr">
        <is>
          <t>normalize_opp_hierarchy() trigger updated</t>
        </is>
      </c>
    </row>
    <row r="20">
      <c r="A20" t="inlineStr">
        <is>
          <t>315 non-GDA opps polluting pipeline</t>
        </is>
      </c>
      <c r="B20" t="inlineStr">
        <is>
          <t>RESOLVED</t>
        </is>
      </c>
      <c r="C20" t="inlineStr">
        <is>
          <t>No-Bid + NAICS gate trigger</t>
        </is>
      </c>
    </row>
    <row r="21">
      <c r="A21" t="inlineStr">
        <is>
          <t>Auth blocking all frontend calls</t>
        </is>
      </c>
      <c r="B21" t="inlineStr">
        <is>
          <t>RESOLVED</t>
        </is>
      </c>
      <c r="C21" t="inlineStr">
        <is>
          <t>88 WFs + 59 Auth Guards patched</t>
        </is>
      </c>
    </row>
    <row r="22">
      <c r="A22" t="inlineStr">
        <is>
          <t>PURSUE opps stuck in No-Go</t>
        </is>
      </c>
      <c r="B22" t="inlineStr">
        <is>
          <t>RESOLVED</t>
        </is>
      </c>
      <c r="C22" t="inlineStr">
        <is>
          <t>Stage alignment — 39 rescued</t>
        </is>
      </c>
    </row>
    <row r="23">
      <c r="A23" t="inlineStr">
        <is>
          <t>Opp title click opens external link</t>
        </is>
      </c>
      <c r="B23" t="inlineStr">
        <is>
          <t>RESOLVED</t>
        </is>
      </c>
      <c r="C23" t="inlineStr">
        <is>
          <t>Title now expands detail panel</t>
        </is>
      </c>
    </row>
    <row r="24">
      <c r="A24" t="inlineStr">
        <is>
          <t>CC deploy white-screened site</t>
        </is>
      </c>
      <c r="B24" t="inlineStr">
        <is>
          <t>RESOLVED</t>
        </is>
      </c>
      <c r="C24" t="inlineStr">
        <is>
          <t>Rebuilt from git commit</t>
        </is>
      </c>
    </row>
    <row r="26">
      <c r="A26" t="inlineStr">
        <is>
          <t>REMAINING RISKS</t>
        </is>
      </c>
    </row>
    <row r="27">
      <c r="A27" t="inlineStr">
        <is>
          <t>P2 Financials shows opps as contracts</t>
        </is>
      </c>
      <c r="B27" t="inlineStr">
        <is>
          <t>OPEN</t>
        </is>
      </c>
      <c r="C27" t="inlineStr">
        <is>
          <t>CC needs to wire to contracts API</t>
        </is>
      </c>
    </row>
    <row r="28">
      <c r="A28" t="inlineStr">
        <is>
          <t>Comp Intel no landscape tabs</t>
        </is>
      </c>
      <c r="B28" t="inlineStr">
        <is>
          <t>OPEN</t>
        </is>
      </c>
      <c r="C28" t="inlineStr">
        <is>
          <t>Backend ready, CC frontend needed</t>
        </is>
      </c>
    </row>
    <row r="29">
      <c r="A29" t="inlineStr">
        <is>
          <t>Email Drafter E2E 404</t>
        </is>
      </c>
      <c r="B29" t="inlineStr">
        <is>
          <t>LOW</t>
        </is>
      </c>
      <c r="C29" t="inlineStr">
        <is>
          <t>Path mismatch in health check, API works</t>
        </is>
      </c>
    </row>
    <row r="30">
      <c r="A30" t="inlineStr">
        <is>
          <t>Auto-analysis over-scoring</t>
        </is>
      </c>
      <c r="B30" t="inlineStr">
        <is>
          <t>MITIGATED</t>
        </is>
      </c>
      <c r="C30" t="inlineStr">
        <is>
          <t>Prompt overhauled, 14 re-scored</t>
        </is>
      </c>
    </row>
    <row r="32" ht="15.75" customHeight="1" s="36">
      <c r="A32" s="35" t="inlineStr">
        <is>
          <t>S-146 UPDATES (April 9, 2026)</t>
        </is>
      </c>
    </row>
    <row r="33" ht="39" customHeight="1" s="36">
      <c r="A33" s="30" t="inlineStr">
        <is>
          <t>Webhook Auth</t>
        </is>
      </c>
      <c r="B33" s="31" t="inlineStr">
        <is>
          <t>143/143 (100%) — was 129/129 at S-145. All 3 skipped WFs fixed. auto.e2e-test conflict resolved.</t>
        </is>
      </c>
      <c r="C33" s="32" t="inlineStr">
        <is>
          <t>✅ COMPLETE</t>
        </is>
      </c>
    </row>
    <row r="34" ht="39" customHeight="1" s="36">
      <c r="A34" s="30" t="inlineStr">
        <is>
          <t>Error Handler</t>
        </is>
      </c>
      <c r="B34" s="31" t="inlineStr">
        <is>
          <t>74/74 workflows attached — was 74/74. New handler ID: 2Swf6LP9AzFjHFYU (replaces BVOAC22J7MM2tsBg).</t>
        </is>
      </c>
      <c r="C34" s="32" t="inlineStr">
        <is>
          <t>✅ COMPLETE</t>
        </is>
      </c>
    </row>
    <row r="35" ht="26.25" customHeight="1" s="36">
      <c r="A35" s="30" t="inlineStr">
        <is>
          <t>Credential Cleanup</t>
        </is>
      </c>
      <c r="B35" s="31" t="inlineStr">
        <is>
          <t>13 credentials (was 12 at S-145 end, +1 Perplexity added). Schwab deleted.</t>
        </is>
      </c>
      <c r="C35" s="32" t="inlineStr">
        <is>
          <t>✅ CLEAN</t>
        </is>
      </c>
    </row>
    <row r="36" ht="26.25" customHeight="1" s="36">
      <c r="A36" s="30" t="inlineStr">
        <is>
          <t>SQL Injection Audit</t>
        </is>
      </c>
      <c r="B36" s="31" t="inlineStr">
        <is>
          <t>Top workflow (capture-plan, 7 PG nodes) fully audited — parameterized. 58 WFs assessed.</t>
        </is>
      </c>
      <c r="C36" s="32" t="inlineStr">
        <is>
          <t>✅ AUDITED</t>
        </is>
      </c>
    </row>
    <row r="37" ht="26.25" customHeight="1" s="36">
      <c r="A37" s="30" t="inlineStr">
        <is>
          <t>Error Log Table</t>
        </is>
      </c>
      <c r="B37" s="31" t="inlineStr">
        <is>
          <t>gda_error_log: 23 entries captured. Handler active and routing to Telegram.</t>
        </is>
      </c>
      <c r="C37" s="32" t="inlineStr">
        <is>
          <t>✅ OPERATIONAL</t>
        </is>
      </c>
    </row>
    <row r="38">
      <c r="A38" s="33" t="inlineStr">
        <is>
          <t>Active Workflows</t>
        </is>
      </c>
      <c r="B38" s="34" t="inlineStr">
        <is>
          <t>151 (was 151 at S-145)</t>
        </is>
      </c>
      <c r="C38" s="33" t="inlineStr">
        <is>
          <t>STABLE</t>
        </is>
      </c>
    </row>
    <row r="39">
      <c r="A39" s="33" t="inlineStr">
        <is>
          <t>Total Workflows</t>
        </is>
      </c>
      <c r="B39" s="34" t="inlineStr">
        <is>
          <t>155 (was 155 at S-145)</t>
        </is>
      </c>
      <c r="C39" s="33" t="inlineStr">
        <is>
          <t>STABLE</t>
        </is>
      </c>
    </row>
    <row r="40">
      <c r="A40" s="33" t="inlineStr">
        <is>
          <t>Opportunities</t>
        </is>
      </c>
      <c r="B40" s="34" t="inlineStr">
        <is>
          <t>729 (was 387 post-cleanup at S-145)</t>
        </is>
      </c>
      <c r="C40" s="33" t="inlineStr">
        <is>
          <t>GROWTH</t>
        </is>
      </c>
    </row>
    <row r="41">
      <c r="A41" s="33" t="inlineStr">
        <is>
          <t>App.jsx</t>
        </is>
      </c>
      <c r="B41" s="34" t="inlineStr">
        <is>
          <t>5,220 lines (was 5,222 at S-145)</t>
        </is>
      </c>
      <c r="C41" s="33" t="inlineStr">
        <is>
          <t>STABLE</t>
        </is>
      </c>
    </row>
    <row r="42" ht="26.25" customHeight="1" s="36">
      <c r="A42" s="30" t="inlineStr">
        <is>
          <t>Phase 0 Status</t>
        </is>
      </c>
      <c r="B42" s="31" t="inlineStr">
        <is>
          <t>HARDENING 100% COMPLETE. All 5 carry items from S-133 resolved.</t>
        </is>
      </c>
      <c r="C42" s="32" t="inlineStr">
        <is>
          <t>✅ DONE</t>
        </is>
      </c>
    </row>
  </sheetData>
  <mergeCells count="1">
    <mergeCell ref="A32:C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style="36" min="1" max="1"/>
    <col width="14" customWidth="1" style="36" min="2" max="2"/>
    <col width="30" customWidth="1" style="36" min="3" max="3"/>
    <col width="7" customWidth="1" style="36" min="4" max="4"/>
    <col width="12" customWidth="1" style="36" min="5" max="5"/>
    <col width="32" customWidth="1" style="36" min="6" max="6"/>
    <col width="42" customWidth="1" style="36" min="7" max="7"/>
    <col width="9" customWidth="1" style="36" min="8" max="8"/>
    <col width="24.28515625" customWidth="1" style="36" min="9" max="9"/>
  </cols>
  <sheetData>
    <row r="1" ht="25.5" customHeight="1" s="36">
      <c r="A1" s="1" t="inlineStr">
        <is>
          <t>#</t>
        </is>
      </c>
      <c r="B1" s="1" t="inlineStr">
        <is>
          <t>Category</t>
        </is>
      </c>
      <c r="C1" s="1" t="inlineStr">
        <is>
          <t>Finding</t>
        </is>
      </c>
      <c r="D1" s="1" t="inlineStr">
        <is>
          <t>Count</t>
        </is>
      </c>
      <c r="E1" s="1" t="inlineStr">
        <is>
          <t>Severity</t>
        </is>
      </c>
      <c r="F1" s="1" t="inlineStr">
        <is>
          <t>Action</t>
        </is>
      </c>
      <c r="G1" s="1" t="inlineStr">
        <is>
          <t>Technical How-To</t>
        </is>
      </c>
      <c r="H1" s="1" t="inlineStr">
        <is>
          <t>Auto-Fix?</t>
        </is>
      </c>
      <c r="I1" s="1" t="inlineStr">
        <is>
          <t>Days</t>
        </is>
      </c>
    </row>
    <row r="2" ht="36" customHeight="1" s="36">
      <c r="A2" s="2" t="n">
        <v>1</v>
      </c>
      <c r="B2" s="3" t="inlineStr">
        <is>
          <t>Webhooks</t>
        </is>
      </c>
      <c r="C2" s="2" t="inlineStr">
        <is>
          <t>Unauthenticated webhooks on ACTIVE workflows</t>
        </is>
      </c>
      <c r="D2" s="2" t="n">
        <v>129</v>
      </c>
      <c r="E2" s="4" t="inlineStr">
        <is>
          <t>HIGH (SECURITY)</t>
        </is>
      </c>
      <c r="F2" s="3" t="inlineStr">
        <is>
          <t>Add X-GDA-Key header auth to every webhook. One shared secret across all.</t>
        </is>
      </c>
      <c r="G2" s="2" t="inlineStr">
        <is>
          <t>n8n_manage_credentials(create httpHeaderAuth) → n8n_update_partial_workflow batch. Script runs in ~2hrs.</t>
        </is>
      </c>
      <c r="H2" s="5" t="inlineStr">
        <is>
          <t>YES</t>
        </is>
      </c>
      <c r="I2" s="3" t="inlineStr">
        <is>
          <t>✅ S-133→S-146 (143/143)</t>
        </is>
      </c>
    </row>
    <row r="3" ht="36" customHeight="1" s="36">
      <c r="A3" s="2" t="n">
        <v>2</v>
      </c>
      <c r="B3" s="3" t="inlineStr">
        <is>
          <t>Error Handling</t>
        </is>
      </c>
      <c r="C3" s="2" t="inlineStr">
        <is>
          <t>Workflows with zero error handling</t>
        </is>
      </c>
      <c r="D3" s="2" t="n">
        <v>74</v>
      </c>
      <c r="E3" s="6" t="inlineStr">
        <is>
          <t>HIGH</t>
        </is>
      </c>
      <c r="F3" s="3" t="inlineStr">
        <is>
          <t>Create GDA.error.handler: Error Trigger → log to Postgres → Telegram alert. Attach to all 74.</t>
        </is>
      </c>
      <c r="G3" s="2" t="inlineStr">
        <is>
          <t>One handler workflow. Then set errorWorkflow on each via n8n_update_partial_workflow. Telegram notifies you of any failure.</t>
        </is>
      </c>
      <c r="H3" s="7" t="inlineStr">
        <is>
          <t>PARTIAL</t>
        </is>
      </c>
      <c r="I3" s="3" t="inlineStr">
        <is>
          <t>✅ S-133→S-146 (74/74)</t>
        </is>
      </c>
    </row>
    <row r="4" ht="36" customHeight="1" s="36">
      <c r="A4" s="2" t="n">
        <v>3</v>
      </c>
      <c r="B4" s="3" t="inlineStr">
        <is>
          <t>SQL Injection</t>
        </is>
      </c>
      <c r="C4" s="2" t="inlineStr">
        <is>
          <t>Postgres queries with expressions in Query field</t>
        </is>
      </c>
      <c r="D4" s="2" t="n">
        <v>35</v>
      </c>
      <c r="E4" s="4" t="inlineStr">
        <is>
          <t>HIGH (SECURITY)</t>
        </is>
      </c>
      <c r="F4" s="3" t="inlineStr">
        <is>
          <t>Rewrite to use $1 parameterized queries. Move expression values to Query Parameters array.</t>
        </is>
      </c>
      <c r="G4" s="2" t="inlineStr">
        <is>
          <t>Change "WHERE id = {{$json.id}}" to "WHERE id = $1" with params [$json.id]. Requires manual review per query.</t>
        </is>
      </c>
      <c r="H4" s="2" t="inlineStr">
        <is>
          <t>YES</t>
        </is>
      </c>
      <c r="I4" s="3" t="inlineStr">
        <is>
          <t>✅ S-136→S-142</t>
        </is>
      </c>
    </row>
    <row r="5" ht="36" customHeight="1" s="36">
      <c r="A5" s="2" t="n">
        <v>4</v>
      </c>
      <c r="B5" s="3" t="inlineStr">
        <is>
          <t>Task Runners</t>
        </is>
      </c>
      <c r="C5" s="2" t="inlineStr">
        <is>
          <t>Heavy workflows (51-node export, 36-node SITREP, RAG) can timeout the main process</t>
        </is>
      </c>
      <c r="D5" s="2" t="inlineStr">
        <is>
          <t>—</t>
        </is>
      </c>
      <c r="E5" s="6" t="inlineStr">
        <is>
          <t>HIGH</t>
        </is>
      </c>
      <c r="F5" s="3" t="inlineStr">
        <is>
          <t>Configure n8n Task Runners to isolate heavy execution in separate Docker containers.</t>
        </is>
      </c>
      <c r="G5" s="2" t="inlineStr">
        <is>
          <t>Add N8N_RUNNERS_ENABLED=true to .env. Configure runner container in docker-compose.yml. Prevents main n8n from blocking.</t>
        </is>
      </c>
      <c r="H5" s="2" t="inlineStr">
        <is>
          <t>YES</t>
        </is>
      </c>
      <c r="I5" s="3" t="inlineStr">
        <is>
          <t>✅ S-136</t>
        </is>
      </c>
    </row>
    <row r="6" ht="36" customHeight="1" s="36">
      <c r="A6" s="2" t="n">
        <v>5</v>
      </c>
      <c r="B6" s="3" t="inlineStr">
        <is>
          <t>SQL Queries</t>
        </is>
      </c>
      <c r="C6" s="2" t="inlineStr">
        <is>
          <t>Postgres queries without Query Parameters field at all</t>
        </is>
      </c>
      <c r="D6" s="2" t="n">
        <v>229</v>
      </c>
      <c r="E6" s="8" t="inlineStr">
        <is>
          <t>MEDIUM</t>
        </is>
      </c>
      <c r="F6" s="3" t="inlineStr">
        <is>
          <t>Audit each. If static SQL — mark safe. If interpolates user input — parameterize.</t>
        </is>
      </c>
      <c r="G6" s="2" t="inlineStr">
        <is>
          <t>Priority: the 35 with expressions first (item 3). Remaining 229 are lower risk but should be reviewed over time.</t>
        </is>
      </c>
      <c r="H6" s="2" t="inlineStr">
        <is>
          <t>NO</t>
        </is>
      </c>
      <c r="I6" s="3" t="n">
        <v>5</v>
      </c>
    </row>
    <row r="7" ht="36" customHeight="1" s="36">
      <c r="A7" s="2" t="n">
        <v>6</v>
      </c>
      <c r="B7" s="3" t="inlineStr">
        <is>
          <t>Credentials</t>
        </is>
      </c>
      <c r="C7" s="2" t="inlineStr">
        <is>
          <t>Hardcoded emails/phone numbers in workflow JSON</t>
        </is>
      </c>
      <c r="D7" s="2" t="n">
        <v>9</v>
      </c>
      <c r="E7" s="8" t="inlineStr">
        <is>
          <t>MEDIUM</t>
        </is>
      </c>
      <c r="F7" s="3" t="inlineStr">
        <is>
          <t>Move to $env variables or n8n credential store.</t>
        </is>
      </c>
      <c r="G7" s="2" t="inlineStr">
        <is>
          <t>Replace with $env.ALERT_EMAIL, $env.ALERT_PHONE. Add to ~/n8n-envision/.env. Restart Docker.</t>
        </is>
      </c>
      <c r="H7" s="2" t="inlineStr">
        <is>
          <t>NO</t>
        </is>
      </c>
      <c r="I7" s="3" t="n">
        <v>1</v>
      </c>
    </row>
    <row r="8" ht="24" customHeight="1" s="36">
      <c r="A8" s="2" t="n">
        <v>7</v>
      </c>
      <c r="B8" s="3" t="inlineStr">
        <is>
          <t>Credentials</t>
        </is>
      </c>
      <c r="C8" s="2" t="inlineStr">
        <is>
          <t>Unused credentials stored in n8n</t>
        </is>
      </c>
      <c r="D8" s="2" t="n">
        <v>22</v>
      </c>
      <c r="E8" s="8" t="inlineStr">
        <is>
          <t>MEDIUM</t>
        </is>
      </c>
      <c r="F8" s="3" t="inlineStr">
        <is>
          <t>Delete all unused credentials.</t>
        </is>
      </c>
      <c r="G8" s="2" t="inlineStr">
        <is>
          <t>n8n_manage_credentials(list) → identify unused → delete each.</t>
        </is>
      </c>
      <c r="H8" s="5" t="inlineStr">
        <is>
          <t>YES</t>
        </is>
      </c>
      <c r="I8" s="3" t="inlineStr">
        <is>
          <t>✅ S-137</t>
        </is>
      </c>
    </row>
    <row r="9" ht="36" customHeight="1" s="36">
      <c r="A9" s="2" t="n">
        <v>8</v>
      </c>
      <c r="B9" s="3" t="inlineStr">
        <is>
          <t>Instance</t>
        </is>
      </c>
      <c r="C9" s="2" t="inlineStr">
        <is>
          <t>n8n 6 versions behind (v2.9.2 → v2.14.2)</t>
        </is>
      </c>
      <c r="D9" s="2" t="n">
        <v>1</v>
      </c>
      <c r="E9" s="8" t="inlineStr">
        <is>
          <t>MEDIUM</t>
        </is>
      </c>
      <c r="F9" s="3" t="inlineStr">
        <is>
          <t>Update n8n Docker image.</t>
        </is>
      </c>
      <c r="G9" s="2" t="inlineStr">
        <is>
          <t>Update image tag in docker-compose.yml → docker compose down → up -d. Run full E2E test after.</t>
        </is>
      </c>
      <c r="H9" s="2" t="inlineStr">
        <is>
          <t>NO</t>
        </is>
      </c>
      <c r="I9" s="3" t="n">
        <v>1</v>
      </c>
    </row>
    <row r="10" ht="24" customHeight="1" s="36">
      <c r="A10" s="2" t="n">
        <v>9</v>
      </c>
      <c r="B10" s="3" t="inlineStr">
        <is>
          <t>Data Retention</t>
        </is>
      </c>
      <c r="C10" s="2" t="inlineStr">
        <is>
          <t>Excessive execution data stored indefinitely</t>
        </is>
      </c>
      <c r="D10" s="2" t="n">
        <v>89</v>
      </c>
      <c r="E10" s="9" t="inlineStr">
        <is>
          <t>LOW</t>
        </is>
      </c>
      <c r="F10" s="3" t="inlineStr">
        <is>
          <t>Configure global 30-day pruning.</t>
        </is>
      </c>
      <c r="G10" s="2" t="inlineStr">
        <is>
          <t>n8n Settings → Executions → pruneDataMaxAge=720 hours.</t>
        </is>
      </c>
      <c r="H10" s="2" t="inlineStr">
        <is>
          <t>NO</t>
        </is>
      </c>
      <c r="I10" s="3" t="n">
        <v>0.5</v>
      </c>
    </row>
    <row r="11" ht="24" customHeight="1" s="36">
      <c r="A11" s="2" t="n">
        <v>10</v>
      </c>
      <c r="B11" s="3" t="inlineStr">
        <is>
          <t>Dead Code</t>
        </is>
      </c>
      <c r="C11" s="2" t="inlineStr">
        <is>
          <t>Duplicate Stage Audit Logger + 10 superseded/inactive workflows</t>
        </is>
      </c>
      <c r="D11" s="2" t="n">
        <v>12</v>
      </c>
      <c r="E11" s="9" t="inlineStr">
        <is>
          <t>LOW</t>
        </is>
      </c>
      <c r="F11" s="3" t="inlineStr">
        <is>
          <t>Delete duplicates and superseded workflows.</t>
        </is>
      </c>
      <c r="G11" s="2" t="inlineStr">
        <is>
          <t>n8n_delete_workflow for each. Removes ~30 audit findings.</t>
        </is>
      </c>
      <c r="H11" s="5" t="inlineStr">
        <is>
          <t>YES</t>
        </is>
      </c>
      <c r="I11" s="3" t="inlineStr">
        <is>
          <t>✅ S-136</t>
        </is>
      </c>
    </row>
    <row r="12" ht="36" customHeight="1" s="36">
      <c r="A12" s="2" t="n">
        <v>11</v>
      </c>
      <c r="B12" s="3" t="inlineStr">
        <is>
          <t>HITL Governance</t>
        </is>
      </c>
      <c r="C12" s="2" t="inlineStr">
        <is>
          <t>Red Team, SITREP, and bid decisions distribute without human approval</t>
        </is>
      </c>
      <c r="D12" s="2" t="inlineStr">
        <is>
          <t>—</t>
        </is>
      </c>
      <c r="E12" s="8" t="inlineStr">
        <is>
          <t>MEDIUM</t>
        </is>
      </c>
      <c r="F12" s="3" t="inlineStr">
        <is>
          <t>Add Send-and-Wait approval step before distributing Red Team/SITREP outputs.</t>
        </is>
      </c>
      <c r="G12" s="2" t="inlineStr">
        <is>
          <t>On SITREP workflow: after Claude generates report → Telegram Send-and-Wait → you approve/edit → then email/distribute.</t>
        </is>
      </c>
      <c r="H12" s="2" t="inlineStr">
        <is>
          <t>YES</t>
        </is>
      </c>
      <c r="I12" s="3" t="inlineStr">
        <is>
          <t>✅ S-137–S-138</t>
        </is>
      </c>
    </row>
    <row r="13">
      <c r="A13" s="24" t="n">
        <v>12</v>
      </c>
      <c r="B13" s="24" t="inlineStr">
        <is>
          <t>Notifications</t>
        </is>
      </c>
      <c r="C13" s="24" t="inlineStr">
        <is>
          <t>Telegram bot deployed — E2E, errors, deploy alerts + two-way chat</t>
        </is>
      </c>
      <c r="D13" s="24" t="n">
        <v>3</v>
      </c>
      <c r="E13" s="25" t="inlineStr">
        <is>
          <t>LOW</t>
        </is>
      </c>
      <c r="F13" s="26" t="inlineStr">
        <is>
          <t>RESOLVED S-135</t>
        </is>
      </c>
    </row>
    <row r="15">
      <c r="B15" s="47" t="inlineStr">
        <is>
          <t>S-153 ADDITIONS</t>
        </is>
      </c>
    </row>
    <row r="16">
      <c r="A16" s="43" t="inlineStr">
        <is>
          <t>13</t>
        </is>
      </c>
      <c r="B16" s="43" t="inlineStr">
        <is>
          <t>Workflow Bugs</t>
        </is>
      </c>
      <c r="C16" s="43" t="inlineStr">
        <is>
          <t>postgres v2.5 queryParameters key (legacy, silently ignored)</t>
        </is>
      </c>
      <c r="D16" s="43" t="inlineStr">
        <is>
          <t>3+ found, full sweep needed</t>
        </is>
      </c>
      <c r="E16" s="43" t="inlineStr">
        <is>
          <t>HIGH (DATA LOSS)</t>
        </is>
      </c>
      <c r="F16" s="43" t="inlineStr">
        <is>
          <t>Sweep all postgres nodes; replace queryParameters with queryReplacement</t>
        </is>
      </c>
      <c r="G16" s="43" t="inlineStr">
        <is>
          <t>n8n_update_partial_workflow patchNodeField for each affected node</t>
        </is>
      </c>
      <c r="H16" s="43" t="inlineStr">
        <is>
          <t>YES</t>
        </is>
      </c>
      <c r="I16" s="46" t="inlineStr">
        <is>
          <t>IN-FLIGHT S-153</t>
        </is>
      </c>
    </row>
    <row r="17">
      <c r="A17" s="43" t="inlineStr">
        <is>
          <t>14</t>
        </is>
      </c>
      <c r="B17" s="43" t="inlineStr">
        <is>
          <t>Workflow Bugs</t>
        </is>
      </c>
      <c r="C17" s="43" t="inlineStr">
        <is>
          <t>Auth Check Code node only checks legacy x-gda-auth header</t>
        </is>
      </c>
      <c r="D17" s="43" t="inlineStr">
        <is>
          <t>2+ found, full sweep needed</t>
        </is>
      </c>
      <c r="E17" s="43" t="inlineStr">
        <is>
          <t>HIGH (LOCKOUT)</t>
        </is>
      </c>
      <c r="F17" s="43" t="inlineStr">
        <is>
          <t>Patch all Auth Check jsCode to accept x-gda-key, x-gda-auth, body fallback</t>
        </is>
      </c>
      <c r="G17" s="43" t="inlineStr">
        <is>
          <t>n8n_update_partial_workflow patchNodeField with unified Auth Check pattern</t>
        </is>
      </c>
      <c r="H17" s="43" t="inlineStr">
        <is>
          <t>YES</t>
        </is>
      </c>
      <c r="I17" s="46" t="inlineStr">
        <is>
          <t>IN-FLIGHT S-153</t>
        </is>
      </c>
    </row>
    <row r="18">
      <c r="A18" s="43" t="inlineStr">
        <is>
          <t>15</t>
        </is>
      </c>
      <c r="B18" s="43" t="inlineStr">
        <is>
          <t>UI Consistency</t>
        </is>
      </c>
      <c r="C18" s="43" t="inlineStr">
        <is>
          <t>7 different money formatters across App.jsx producing inconsistent display</t>
        </is>
      </c>
      <c r="D18" s="43" t="inlineStr">
        <is>
          <t>7 formatters found</t>
        </is>
      </c>
      <c r="E18" s="43" t="inlineStr">
        <is>
          <t>MEDIUM (UX)</t>
        </is>
      </c>
      <c r="F18" s="43" t="inlineStr">
        <is>
          <t>Unify all formatters to delegate to canonical formatDollar = window.GDA_USD</t>
        </is>
      </c>
      <c r="G18" s="43" t="inlineStr">
        <is>
          <t>sed-based App.jsx patching via gda-deploy webhook</t>
        </is>
      </c>
      <c r="H18" s="43" t="inlineStr">
        <is>
          <t>YES</t>
        </is>
      </c>
      <c r="I18" s="45" t="inlineStr">
        <is>
          <t>✅ S-153 (DEPLOYED bundle index-_lFGxpmr.js)</t>
        </is>
      </c>
    </row>
    <row r="19">
      <c r="A19" s="43" t="inlineStr">
        <is>
          <t>16</t>
        </is>
      </c>
      <c r="B19" s="43" t="inlineStr">
        <is>
          <t>Data Integrity</t>
        </is>
      </c>
      <c r="C19" s="43" t="inlineStr">
        <is>
          <t>Capture plan save silently failing since postgres v2.5 upgrade</t>
        </is>
      </c>
      <c r="D19" s="43" t="inlineStr">
        <is>
          <t>1 critical workflow</t>
        </is>
      </c>
      <c r="E19" s="43" t="inlineStr">
        <is>
          <t>CRITICAL (DATA LOSS)</t>
        </is>
      </c>
      <c r="F19" s="43" t="inlineStr">
        <is>
          <t>Fix If node options.caseSensitive + Postgres queryReplacement keys</t>
        </is>
      </c>
      <c r="G19" s="43" t="inlineStr">
        <is>
          <t>n8n_update_partial_workflow on QgperN6cuOpfnb09</t>
        </is>
      </c>
      <c r="H19" s="43" t="inlineStr">
        <is>
          <t>YES</t>
        </is>
      </c>
      <c r="I19" s="45" t="inlineStr">
        <is>
          <t>✅ S-153 (FIXED + verified end-to-end)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:I1"/>
    </sheetView>
  </sheetViews>
  <sheetFormatPr baseColWidth="8" defaultRowHeight="15"/>
  <cols>
    <col width="16" customWidth="1" style="36" min="1" max="9"/>
  </cols>
  <sheetData>
    <row r="1" ht="20.25" customHeight="1" s="36">
      <c r="A1" s="38" t="inlineStr">
        <is>
          <t>GDA COMMAND — Platform Maturity Assessment (Final)</t>
        </is>
      </c>
    </row>
    <row r="2">
      <c r="A2" s="10" t="inlineStr">
        <is>
          <t>Georgetown Defense Analytics | Envision (OU3) | April 6, 2026</t>
        </is>
      </c>
    </row>
    <row r="3">
      <c r="A3" s="10" t="inlineStr">
        <is>
          <t>Includes: Audit data, Gemini cross-validation, consolidation map, hardening plan, single-operator UX</t>
        </is>
      </c>
    </row>
    <row r="5" ht="15.75" customHeight="1" s="36">
      <c r="A5" s="11" t="inlineStr">
        <is>
          <t>PLATFORM STATE</t>
        </is>
      </c>
    </row>
    <row r="6" ht="27.75" customHeight="1" s="36">
      <c r="A6" s="12" t="inlineStr">
        <is>
          <t>148</t>
        </is>
      </c>
      <c r="B6" s="12" t="inlineStr">
        <is>
          <t>110</t>
        </is>
      </c>
      <c r="C6" s="12" t="inlineStr">
        <is>
          <t>420+</t>
        </is>
      </c>
      <c r="D6" s="12" t="inlineStr">
        <is>
          <t>$800M+</t>
        </is>
      </c>
      <c r="E6" s="12" t="inlineStr">
        <is>
          <t>32/32</t>
        </is>
      </c>
      <c r="F6" s="12" t="inlineStr">
        <is>
          <t>1,230</t>
        </is>
      </c>
      <c r="G6" s="12" t="inlineStr">
        <is>
          <t>129</t>
        </is>
      </c>
      <c r="H6" s="12" t="inlineStr">
        <is>
          <t>35</t>
        </is>
      </c>
    </row>
    <row r="7">
      <c r="A7" s="13" t="inlineStr">
        <is>
          <t>Workflows</t>
        </is>
      </c>
      <c r="B7" s="13" t="inlineStr">
        <is>
          <t>Capabilities</t>
        </is>
      </c>
      <c r="C7" s="13" t="inlineStr">
        <is>
          <t>Opps Tracked</t>
        </is>
      </c>
      <c r="D7" s="13" t="inlineStr">
        <is>
          <t>Pipeline</t>
        </is>
      </c>
      <c r="E7" s="13" t="inlineStr">
        <is>
          <t>E2E Pass Rate</t>
        </is>
      </c>
      <c r="F7" s="13" t="inlineStr">
        <is>
          <t>Audit Findings</t>
        </is>
      </c>
      <c r="G7" s="13" t="inlineStr">
        <is>
          <t>Unauth Webhooks</t>
        </is>
      </c>
      <c r="H7" s="13" t="inlineStr">
        <is>
          <t>SQL Injection Risk</t>
        </is>
      </c>
    </row>
    <row r="9">
      <c r="A9" s="14" t="inlineStr">
        <is>
          <t>SECURITY AUDIT (Real scan — April 6, 2026)</t>
        </is>
      </c>
    </row>
    <row r="10">
      <c r="A10" s="15" t="inlineStr">
        <is>
          <t>129 unauthenticated webhooks</t>
        </is>
      </c>
      <c r="B10" s="37" t="inlineStr">
        <is>
          <t>HIGH</t>
        </is>
      </c>
      <c r="C10" s="37" t="inlineStr">
        <is>
          <t>Batch-add X-GDA-Key header auth via MCP</t>
        </is>
      </c>
    </row>
    <row r="11">
      <c r="A11" s="15" t="inlineStr">
        <is>
          <t>74 workflows with zero error handling</t>
        </is>
      </c>
      <c r="B11" s="37" t="inlineStr">
        <is>
          <t>HIGH</t>
        </is>
      </c>
      <c r="C11" s="37" t="inlineStr">
        <is>
          <t>Create GDA.error.handler + attach to all</t>
        </is>
      </c>
    </row>
    <row r="12">
      <c r="A12" s="15" t="inlineStr">
        <is>
          <t>35 SQL queries with unsanitized expressions</t>
        </is>
      </c>
      <c r="B12" s="37" t="inlineStr">
        <is>
          <t>HIGH</t>
        </is>
      </c>
      <c r="C12" s="37" t="inlineStr">
        <is>
          <t>Parameterize with $1/$2 query parameters</t>
        </is>
      </c>
    </row>
    <row r="13">
      <c r="A13" s="15" t="inlineStr">
        <is>
          <t>229 SQL queries without query params field</t>
        </is>
      </c>
      <c r="B13" s="37" t="inlineStr">
        <is>
          <t>MEDIUM</t>
        </is>
      </c>
      <c r="C13" s="37" t="inlineStr">
        <is>
          <t>Audit + parameterize critical ones</t>
        </is>
      </c>
    </row>
    <row r="14">
      <c r="A14" s="15" t="inlineStr">
        <is>
          <t>n8n v2.9.2 — 6 versions behind</t>
        </is>
      </c>
      <c r="B14" s="37" t="inlineStr">
        <is>
          <t>MEDIUM</t>
        </is>
      </c>
      <c r="C14" s="37" t="inlineStr">
        <is>
          <t>Update Docker image to v2.14.2</t>
        </is>
      </c>
    </row>
    <row r="15">
      <c r="A15" s="15" t="inlineStr">
        <is>
          <t>22 unused credentials stored</t>
        </is>
      </c>
      <c r="B15" s="37" t="inlineStr">
        <is>
          <t>MEDIUM</t>
        </is>
      </c>
      <c r="C15" s="37" t="inlineStr">
        <is>
          <t>Delete to reduce attack surface</t>
        </is>
      </c>
    </row>
    <row r="16">
      <c r="A16" s="15" t="inlineStr">
        <is>
          <t>89 workflows with excessive data retention</t>
        </is>
      </c>
      <c r="B16" s="37" t="inlineStr">
        <is>
          <t>LOW</t>
        </is>
      </c>
      <c r="C16" s="37" t="inlineStr">
        <is>
          <t>Configure 30-day execution pruning</t>
        </is>
      </c>
    </row>
    <row r="18" ht="15.75" customHeight="1" s="36">
      <c r="A18" s="11" t="inlineStr">
        <is>
          <t>GEMINI CROSS-VALIDATION NOTES</t>
        </is>
      </c>
    </row>
    <row r="19">
      <c r="A19" s="15" t="inlineStr">
        <is>
          <t>Gemini: "43% pass rate" on GDA tests</t>
        </is>
      </c>
      <c r="B19" s="37" t="inlineStr">
        <is>
          <t>WRONG. Our E2E tests are 32/32 (100%). Gemini fabricated this metric.</t>
        </is>
      </c>
    </row>
    <row r="20">
      <c r="A20" s="15" t="inlineStr">
        <is>
          <t>Gemini: "Task Runner node"</t>
        </is>
      </c>
      <c r="B20" s="37" t="inlineStr">
        <is>
          <t>PARTIALLY RIGHT. Task Runners are an n8n 2.0 infra config, not a node. But the concept is valid — isolate heavy RAG/doc workflows.</t>
        </is>
      </c>
    </row>
    <row r="21">
      <c r="A21" s="15" t="inlineStr">
        <is>
          <t>Gemini: "SQL Visualizer" as separate template</t>
        </is>
      </c>
      <c r="B21" s="37" t="inlineStr">
        <is>
          <t>REDUNDANT. The Agentic RAG chatbot already does this — AI Agent + Postgres Tool generates charts.</t>
        </is>
      </c>
    </row>
    <row r="22">
      <c r="A22" s="15" t="inlineStr">
        <is>
          <t>Gemini: "MCP Server Integration" as new add</t>
        </is>
      </c>
      <c r="B22" s="37" t="inlineStr">
        <is>
          <t>ALREADY HAVE IT. Our n8n MCP is at mcp.csr-llc.tech. Claude connects every session.</t>
        </is>
      </c>
    </row>
    <row r="23">
      <c r="A23" s="15" t="inlineStr">
        <is>
          <t>Gemini: "Deep Research Agent" (Template #2883)</t>
        </is>
      </c>
      <c r="B23" s="37" t="inlineStr">
        <is>
          <t>VALID ADD. 21,345 views. Autonomous multi-step research via Perplexity. Better than single-shot queries.</t>
        </is>
      </c>
    </row>
    <row r="24">
      <c r="A24" s="15" t="inlineStr">
        <is>
          <t>Gemini: "Human-in-the-Loop" pattern</t>
        </is>
      </c>
      <c r="B24" s="37" t="inlineStr">
        <is>
          <t>VALID ADD. Not a node — its a design pattern. Use Send-and-Wait on Telegram for SITREP/Red Team approvals.</t>
        </is>
      </c>
    </row>
    <row r="25">
      <c r="A25" s="15" t="inlineStr">
        <is>
          <t>Gemini: "AI Vision scraping" for govt portals</t>
        </is>
      </c>
      <c r="B25" s="37" t="inlineStr">
        <is>
          <t>VALID ALTERNATIVE. More resilient than Firecrawl for sites that change layouts. Use Gemini Vision to "read" the page.</t>
        </is>
      </c>
    </row>
    <row r="27" ht="15.75" customHeight="1" s="36">
      <c r="A27" s="11" t="inlineStr">
        <is>
          <t>FOUR WORK STREAMS</t>
        </is>
      </c>
    </row>
    <row r="28">
      <c r="A28" s="15" t="inlineStr">
        <is>
          <t>1. HARDEN</t>
        </is>
      </c>
      <c r="B28" s="37" t="inlineStr">
        <is>
          <t>Fix 129 unauth webhooks, 35 SQL injections, add error handling, update n8n, configure Task Runners.</t>
        </is>
      </c>
    </row>
    <row r="29">
      <c r="A29" s="15" t="inlineStr">
        <is>
          <t>2. CONSOLIDATE</t>
        </is>
      </c>
      <c r="B29" s="37" t="inlineStr">
        <is>
          <t>Merge fragmented workflows: 6→1 capture, 5→1 comp intel, 10→1 scanners, delete 10 dead workflows.</t>
        </is>
      </c>
    </row>
    <row r="30">
      <c r="A30" s="15" t="inlineStr">
        <is>
          <t>3. ENHANCE</t>
        </is>
      </c>
      <c r="B30" s="37" t="inlineStr">
        <is>
          <t>RSS feeds, PGVector, Telegram bot, email digests, doc auto-indexing, Deep Research agent.</t>
        </is>
      </c>
    </row>
    <row r="31">
      <c r="A31" s="15" t="inlineStr">
        <is>
          <t>4. GOVERN</t>
        </is>
      </c>
      <c r="B31" s="37" t="inlineStr">
        <is>
          <t>Add HITL approval gates on SITREP/Red Team distribution. Formal bid/no-bid approval flow via Telegram.</t>
        </is>
      </c>
    </row>
  </sheetData>
  <mergeCells count="19">
    <mergeCell ref="B25:I25"/>
    <mergeCell ref="B22:I22"/>
    <mergeCell ref="B31:I31"/>
    <mergeCell ref="C13:I13"/>
    <mergeCell ref="B21:I21"/>
    <mergeCell ref="C15:I15"/>
    <mergeCell ref="B23:I23"/>
    <mergeCell ref="C14:I14"/>
    <mergeCell ref="B29:I29"/>
    <mergeCell ref="B28:I28"/>
    <mergeCell ref="B19:I19"/>
    <mergeCell ref="C10:I10"/>
    <mergeCell ref="C16:I16"/>
    <mergeCell ref="B30:I30"/>
    <mergeCell ref="B24:I24"/>
    <mergeCell ref="B20:I20"/>
    <mergeCell ref="A1:I1"/>
    <mergeCell ref="C12:I12"/>
    <mergeCell ref="C11:I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style="36" min="1" max="1"/>
    <col width="14" customWidth="1" style="36" min="2" max="2"/>
    <col width="38" customWidth="1" style="36" min="3" max="3"/>
    <col width="5" customWidth="1" style="36" min="4" max="4"/>
    <col width="18" customWidth="1" style="36" min="5" max="5"/>
    <col width="34" customWidth="1" style="36" min="6" max="6"/>
    <col width="26" customWidth="1" style="36" min="7" max="7"/>
    <col width="16" customWidth="1" style="36" min="8" max="8"/>
    <col width="30" customWidth="1" style="36" min="9" max="9"/>
    <col width="9" customWidth="1" style="36" min="10" max="10"/>
  </cols>
  <sheetData>
    <row r="1" ht="25.5" customHeight="1" s="36">
      <c r="A1" s="1" t="inlineStr">
        <is>
          <t>#</t>
        </is>
      </c>
      <c r="B1" s="1" t="inlineStr">
        <is>
          <t>Cluster</t>
        </is>
      </c>
      <c r="C1" s="1" t="inlineStr">
        <is>
          <t>Current Workflows</t>
        </is>
      </c>
      <c r="D1" s="1" t="inlineStr">
        <is>
          <t>Count</t>
        </is>
      </c>
      <c r="E1" s="1" t="inlineStr">
        <is>
          <t>Tab Affected</t>
        </is>
      </c>
      <c r="F1" s="1" t="inlineStr">
        <is>
          <t>Problem</t>
        </is>
      </c>
      <c r="G1" s="1" t="inlineStr">
        <is>
          <t>Target</t>
        </is>
      </c>
      <c r="H1" s="1" t="inlineStr">
        <is>
          <t>Calls Before→After</t>
        </is>
      </c>
      <c r="I1" s="1" t="inlineStr">
        <is>
          <t>UX Impact</t>
        </is>
      </c>
      <c r="J1" s="1" t="inlineStr">
        <is>
          <t>Priority</t>
        </is>
      </c>
    </row>
    <row r="2" ht="36" customHeight="1" s="36">
      <c r="A2" s="2" t="n">
        <v>1</v>
      </c>
      <c r="B2" s="3" t="inlineStr">
        <is>
          <t>Capture Intel</t>
        </is>
      </c>
      <c r="C2" s="2" t="inlineStr">
        <is>
          <t>capture-intel, capture-intel-modules, capture-hub, capture-plan, ooda-loop, pwin-calculator</t>
        </is>
      </c>
      <c r="D2" s="3" t="n">
        <v>6</v>
      </c>
      <c r="E2" s="3" t="inlineStr">
        <is>
          <t>Capture Plan</t>
        </is>
      </c>
      <c r="F2" s="3" t="inlineStr">
        <is>
          <t>3-4 separate webhooks. Each hits Postgres + Claude independently. 3-4x latency and API cost.</t>
        </is>
      </c>
      <c r="G2" s="3" t="inlineStr">
        <is>
          <t>GDA.api.capture-mega</t>
        </is>
      </c>
      <c r="H2" s="3" t="inlineStr">
        <is>
          <t>4→1</t>
        </is>
      </c>
      <c r="I2" s="2" t="inlineStr">
        <is>
          <t>Page loads 60% faster. One spinner instead of four.</t>
        </is>
      </c>
      <c r="J2" s="17" t="inlineStr">
        <is>
          <t>HIGH</t>
        </is>
      </c>
    </row>
    <row r="3" ht="36" customHeight="1" s="36">
      <c r="A3" s="2" t="n">
        <v>2</v>
      </c>
      <c r="B3" s="3" t="inlineStr">
        <is>
          <t>Comp Intel</t>
        </is>
      </c>
      <c r="C3" s="2" t="inlineStr">
        <is>
          <t>competitor-watchlist, comp-intel 2, competitor-threat-score, competitor-field, incumbent-analysis</t>
        </is>
      </c>
      <c r="D3" s="3" t="n">
        <v>5</v>
      </c>
      <c r="E3" s="3" t="inlineStr">
        <is>
          <t>Comp Intel</t>
        </is>
      </c>
      <c r="F3" s="3" t="inlineStr">
        <is>
          <t>5 workflows query same competitor data. Each calls Claude separately.</t>
        </is>
      </c>
      <c r="G3" s="3" t="inlineStr">
        <is>
          <t>GDA.api.compintel-mega</t>
        </is>
      </c>
      <c r="H3" s="3" t="inlineStr">
        <is>
          <t>3-5→1</t>
        </is>
      </c>
      <c r="I3" s="2" t="inlineStr">
        <is>
          <t>Cards render together. No partial load states.</t>
        </is>
      </c>
      <c r="J3" s="17" t="inlineStr">
        <is>
          <t>HIGH</t>
        </is>
      </c>
    </row>
    <row r="4" ht="60" customHeight="1" s="36">
      <c r="A4" s="2" t="n">
        <v>3</v>
      </c>
      <c r="B4" s="3" t="inlineStr">
        <is>
          <t>Scanners</t>
        </is>
      </c>
      <c r="C4" s="2" t="inlineStr">
        <is>
          <t>broad-opp-search, dept-opp-sweep, on-ramp-scanner, forecast-ingest, dpc-forecast-scraper, dhs-industry-day, golden-dome, amendment-monitor, change-detector, pre-sam-monitor</t>
        </is>
      </c>
      <c r="D4" s="3" t="n">
        <v>10</v>
      </c>
      <c r="E4" s="3" t="inlineStr">
        <is>
          <t>Background</t>
        </is>
      </c>
      <c r="F4" s="3" t="inlineStr">
        <is>
          <t>10 independent crons. No coordination. Silent failures. Most have no error handling.</t>
        </is>
      </c>
      <c r="G4" s="3" t="inlineStr">
        <is>
          <t>GDA.cron.master-scanner</t>
        </is>
      </c>
      <c r="H4" s="3" t="inlineStr">
        <is>
          <t>10→1</t>
        </is>
      </c>
      <c r="I4" s="2" t="inlineStr">
        <is>
          <t>Reliability: one place to check "did overnight sweep complete?"</t>
        </is>
      </c>
      <c r="J4" s="17" t="inlineStr">
        <is>
          <t>HIGH</t>
        </is>
      </c>
    </row>
    <row r="5" ht="24" customHeight="1" s="36">
      <c r="A5" s="2" t="n">
        <v>4</v>
      </c>
      <c r="B5" s="3" t="inlineStr">
        <is>
          <t>Opp Data</t>
        </is>
      </c>
      <c r="C5" s="2" t="inlineStr">
        <is>
          <t>opp-tracker 2, opp-search, saved-opps, pipeline, launchpad-funnel, opp-classifier</t>
        </is>
      </c>
      <c r="D5" s="3" t="n">
        <v>6</v>
      </c>
      <c r="E5" s="3" t="inlineStr">
        <is>
          <t>Pipeline + Launchpad</t>
        </is>
      </c>
      <c r="F5" s="3" t="inlineStr">
        <is>
          <t>Frontend calls different endpoints for same data filtered differently.</t>
        </is>
      </c>
      <c r="G5" s="3" t="inlineStr">
        <is>
          <t>GDA.api.pipeline-mega</t>
        </is>
      </c>
      <c r="H5" s="3" t="inlineStr">
        <is>
          <t>2-3→1</t>
        </is>
      </c>
      <c r="I5" s="2" t="inlineStr">
        <is>
          <t>Consistent data. No stale cache mismatches between views.</t>
        </is>
      </c>
      <c r="J5" s="17" t="inlineStr">
        <is>
          <t>HIGH</t>
        </is>
      </c>
    </row>
    <row r="6" ht="36" customHeight="1" s="36">
      <c r="A6" s="2" t="n">
        <v>5</v>
      </c>
      <c r="B6" s="3" t="inlineStr">
        <is>
          <t>Dashboard</t>
        </is>
      </c>
      <c r="C6" s="2" t="inlineStr">
        <is>
          <t>dashboard-intel 2, dashboard-intel-deep, ops-dashboard-data, intel-feed, trends, chart-generator</t>
        </is>
      </c>
      <c r="D6" s="3" t="n">
        <v>6</v>
      </c>
      <c r="E6" s="3" t="inlineStr">
        <is>
          <t>Dashboard</t>
        </is>
      </c>
      <c r="F6" s="3" t="inlineStr">
        <is>
          <t>6 workflows power one dashboard. Panels load at different speeds.</t>
        </is>
      </c>
      <c r="G6" s="3" t="inlineStr">
        <is>
          <t>GDA.api.dashboard-mega (keep SITREP separate)</t>
        </is>
      </c>
      <c r="H6" s="3" t="inlineStr">
        <is>
          <t>5-6→2</t>
        </is>
      </c>
      <c r="I6" s="2" t="inlineStr">
        <is>
          <t>KPIs load as one unit. Faster dashboard render.</t>
        </is>
      </c>
      <c r="J6" s="7" t="inlineStr">
        <is>
          <t>MEDIUM</t>
        </is>
      </c>
    </row>
    <row r="7" ht="60" customHeight="1" s="36">
      <c r="A7" s="2" t="n">
        <v>6</v>
      </c>
      <c r="B7" s="3" t="inlineStr">
        <is>
          <t>Dead/Superseded</t>
        </is>
      </c>
      <c r="C7" s="2" t="inlineStr">
        <is>
          <t>AI Decision Engine [SUPERSEDED], Market Learning [SUPERSEDED], ai-agent 2, general-chat, capture-execution-suite, challenge-ledger, exit-manager, opp-daily, broad-opp-pull, clear-stale-trade</t>
        </is>
      </c>
      <c r="D7" s="3" t="n">
        <v>10</v>
      </c>
      <c r="E7" s="3" t="inlineStr">
        <is>
          <t>None</t>
        </is>
      </c>
      <c r="F7" s="3" t="inlineStr">
        <is>
          <t>Dead workflows with reachable unauthenticated webhooks. Audit noise.</t>
        </is>
      </c>
      <c r="G7" s="3" t="inlineStr">
        <is>
          <t>DELETE all</t>
        </is>
      </c>
      <c r="H7" s="3" t="inlineStr">
        <is>
          <t>—</t>
        </is>
      </c>
      <c r="I7" s="2" t="inlineStr">
        <is>
          <t>30+ fewer audit findings. Cleaner instance.</t>
        </is>
      </c>
      <c r="J7" s="7" t="inlineStr">
        <is>
          <t>MEDIUM</t>
        </is>
      </c>
    </row>
    <row r="8" ht="24" customHeight="1" s="36">
      <c r="A8" s="2" t="n">
        <v>7</v>
      </c>
      <c r="B8" s="3" t="inlineStr">
        <is>
          <t>Documents</t>
        </is>
      </c>
      <c r="C8" s="2" t="inlineStr">
        <is>
          <t>doc-ingest, batch.doc-ingest, doc-compare, rag-query</t>
        </is>
      </c>
      <c r="D8" s="3" t="n">
        <v>4</v>
      </c>
      <c r="E8" s="3" t="inlineStr">
        <is>
          <t>Doc Ingest</t>
        </is>
      </c>
      <c r="F8" s="3" t="inlineStr">
        <is>
          <t>Two ingest versions (single + batch). RAG query separate.</t>
        </is>
      </c>
      <c r="G8" s="3" t="inlineStr">
        <is>
          <t>Merge batch into doc-ingest with mode param</t>
        </is>
      </c>
      <c r="H8" s="3" t="inlineStr">
        <is>
          <t>Minimal</t>
        </is>
      </c>
      <c r="I8" s="2" t="inlineStr">
        <is>
          <t>Cleaner codebase.</t>
        </is>
      </c>
      <c r="J8" s="5" t="inlineStr">
        <is>
          <t>LOW</t>
        </is>
      </c>
    </row>
    <row r="9" ht="24" customHeight="1" s="36">
      <c r="A9" s="2" t="n">
        <v>8</v>
      </c>
      <c r="B9" s="3" t="inlineStr">
        <is>
          <t>Relationships</t>
        </is>
      </c>
      <c r="C9" s="2" t="inlineStr">
        <is>
          <t>relationship-tracker, relationships, contacts, teaming-finder, win-loss-db</t>
        </is>
      </c>
      <c r="D9" s="3" t="n">
        <v>5</v>
      </c>
      <c r="E9" s="3" t="inlineStr">
        <is>
          <t>Relationships</t>
        </is>
      </c>
      <c r="F9" s="3" t="inlineStr">
        <is>
          <t>5 CRUD workflows for related data.</t>
        </is>
      </c>
      <c r="G9" s="3" t="inlineStr">
        <is>
          <t>GDA.api.relationships-mega</t>
        </is>
      </c>
      <c r="H9" s="3" t="inlineStr">
        <is>
          <t>3→1</t>
        </is>
      </c>
      <c r="I9" s="2" t="inlineStr">
        <is>
          <t>Tab loads faster.</t>
        </is>
      </c>
      <c r="J9" s="5" t="inlineStr">
        <is>
          <t>LOW</t>
        </is>
      </c>
    </row>
    <row r="10" ht="24" customHeight="1" s="36">
      <c r="A10" s="2" t="n">
        <v>9</v>
      </c>
      <c r="B10" s="3" t="inlineStr">
        <is>
          <t>Financial</t>
        </is>
      </c>
      <c r="C10" s="2" t="inlineStr">
        <is>
          <t>aop-tracker, aop-definitions, FY Revenue Calc, nightly-fy-revenue-calc</t>
        </is>
      </c>
      <c r="D10" s="3" t="n">
        <v>4</v>
      </c>
      <c r="E10" s="3" t="inlineStr">
        <is>
          <t>Financial Bible</t>
        </is>
      </c>
      <c r="F10" s="3" t="inlineStr">
        <is>
          <t>Two revenue calcs (manual + nightly).</t>
        </is>
      </c>
      <c r="G10" s="3" t="inlineStr">
        <is>
          <t>Merge aop-tracker + definitions. Keep nightly cron.</t>
        </is>
      </c>
      <c r="H10" s="3" t="inlineStr">
        <is>
          <t>2→1</t>
        </is>
      </c>
      <c r="I10" s="2" t="inlineStr">
        <is>
          <t>Financial tab loads as one unit.</t>
        </is>
      </c>
      <c r="J10" s="5" t="inlineStr">
        <is>
          <t>LOW</t>
        </is>
      </c>
    </row>
    <row r="11" ht="24" customHeight="1" s="36">
      <c r="A11" s="2" t="n">
        <v>10</v>
      </c>
      <c r="B11" s="3" t="inlineStr">
        <is>
          <t>Dev Utils</t>
        </is>
      </c>
      <c r="C11" s="2" t="inlineStr">
        <is>
          <t>grep-appjsx, read-appjsx, ssh-read-file, e2e-test, workflow-mega-test, frontend-e2e</t>
        </is>
      </c>
      <c r="D11" s="3" t="n">
        <v>6</v>
      </c>
      <c r="E11" s="3" t="inlineStr">
        <is>
          <t>None</t>
        </is>
      </c>
      <c r="F11" s="3" t="inlineStr">
        <is>
          <t>Session-specific test workflows. Overlap.</t>
        </is>
      </c>
      <c r="G11" s="3" t="inlineStr">
        <is>
          <t>Keep ssh-read-file. Delete session-specific tests.</t>
        </is>
      </c>
      <c r="H11" s="3" t="inlineStr">
        <is>
          <t>—</t>
        </is>
      </c>
      <c r="I11" s="2" t="inlineStr">
        <is>
          <t>Less clutter.</t>
        </is>
      </c>
      <c r="J11" s="5" t="inlineStr">
        <is>
          <t>LOW</t>
        </is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style="36" min="1" max="1"/>
    <col width="14" customWidth="1" style="36" min="2" max="2"/>
    <col width="30" customWidth="1" style="36" min="3" max="5"/>
    <col width="34" customWidth="1" style="36" min="6" max="6"/>
    <col width="26" customWidth="1" style="36" min="7" max="7"/>
    <col width="10" customWidth="1" style="36" min="8" max="8"/>
  </cols>
  <sheetData>
    <row r="1">
      <c r="A1" s="1" t="inlineStr">
        <is>
          <t>#</t>
        </is>
      </c>
      <c r="B1" s="1" t="inlineStr">
        <is>
          <t>Domain</t>
        </is>
      </c>
      <c r="C1" s="1" t="inlineStr">
        <is>
          <t>What You Have</t>
        </is>
      </c>
      <c r="D1" s="1" t="inlineStr">
        <is>
          <t>WHAT IS MISSING</t>
        </is>
      </c>
      <c r="E1" s="1" t="inlineStr">
        <is>
          <t>Impact on You</t>
        </is>
      </c>
      <c r="F1" s="1" t="inlineStr">
        <is>
          <t>Solution</t>
        </is>
      </c>
      <c r="G1" s="1" t="inlineStr">
        <is>
          <t>Template / Pattern</t>
        </is>
      </c>
      <c r="H1" s="1" t="inlineStr">
        <is>
          <t>Priority</t>
        </is>
      </c>
    </row>
    <row r="2" ht="24" customHeight="1" s="36">
      <c r="A2" s="2" t="n">
        <v>1</v>
      </c>
      <c r="B2" s="3" t="inlineStr">
        <is>
          <t>Intel Feeds</t>
        </is>
      </c>
      <c r="C2" s="3" t="inlineStr">
        <is>
          <t>GovTribe, DPC, DHS/Golden Dome monitors</t>
        </is>
      </c>
      <c r="D2" s="3" t="inlineStr">
        <is>
          <t>NO defense news RSS. No real-time SAM.gov. No automated news.</t>
        </is>
      </c>
      <c r="E2" s="3" t="inlineStr">
        <is>
          <t>Find out about agency changes days late. Intel is reactive.</t>
        </is>
      </c>
      <c r="F2" s="3" t="inlineStr">
        <is>
          <t>RSS Feed Trigger → Claude → email. Apify SAM.gov → webhook.</t>
        </is>
      </c>
      <c r="G2" s="3" t="inlineStr">
        <is>
          <t>#5103, Apify SAM.gov</t>
        </is>
      </c>
      <c r="H2" s="18" t="inlineStr">
        <is>
          <t>CRITICAL</t>
        </is>
      </c>
    </row>
    <row r="3" ht="24" customHeight="1" s="36">
      <c r="A3" s="2" t="n">
        <v>2</v>
      </c>
      <c r="B3" s="3" t="inlineStr">
        <is>
          <t>Semantic Search</t>
        </is>
      </c>
      <c r="C3" s="3" t="inlineStr">
        <is>
          <t>RAG query but keyword-only. No vector embeddings.</t>
        </is>
      </c>
      <c r="D3" s="3" t="inlineStr">
        <is>
          <t>Cannot search by concept. "Find C5ISR opps" doesnt work.</t>
        </is>
      </c>
      <c r="E3" s="3" t="inlineStr">
        <is>
          <t>420+ opps unsearchable by concept. Connections invisible.</t>
        </is>
      </c>
      <c r="F3" s="3" t="inlineStr">
        <is>
          <t>PGVector on existing Postgres. Zero new infrastructure.</t>
        </is>
      </c>
      <c r="G3" s="3" t="inlineStr">
        <is>
          <t>#10157 (Agentic RAG)</t>
        </is>
      </c>
      <c r="H3" s="18" t="inlineStr">
        <is>
          <t>CRITICAL</t>
        </is>
      </c>
    </row>
    <row r="4" ht="24" customHeight="1" s="36">
      <c r="A4" s="2" t="n">
        <v>3</v>
      </c>
      <c r="B4" s="3" t="inlineStr">
        <is>
          <t>SAM.gov Streaming</t>
        </is>
      </c>
      <c r="C4" s="3" t="inlineStr">
        <is>
          <t>Pre-SAM monitor INACTIVE. Batch/daily only.</t>
        </is>
      </c>
      <c r="D4" s="3" t="inlineStr">
        <is>
          <t>No real-time new opportunity detection.</t>
        </is>
      </c>
      <c r="E4" s="3" t="inlineStr">
        <is>
          <t>Competitors with real-time alerts get first-mover advantage.</t>
        </is>
      </c>
      <c r="F4" s="3" t="inlineStr">
        <is>
          <t>Apify SAM.gov → webhook. Or SAM.gov API on 15-min cron.</t>
        </is>
      </c>
      <c r="G4" s="3" t="inlineStr">
        <is>
          <t>Apify SAM.gov</t>
        </is>
      </c>
      <c r="H4" s="18" t="inlineStr">
        <is>
          <t>CRITICAL</t>
        </is>
      </c>
    </row>
    <row r="5" ht="24" customHeight="1" s="36">
      <c r="A5" s="2" t="n">
        <v>4</v>
      </c>
      <c r="B5" s="3" t="inlineStr">
        <is>
          <t>Mobile Access</t>
        </is>
      </c>
      <c r="C5" s="3" t="inlineStr">
        <is>
          <t>Desktop web only.</t>
        </is>
      </c>
      <c r="D5" s="3" t="inlineStr">
        <is>
          <t>NO Telegram bot. No mobile alerts or approvals.</t>
        </is>
      </c>
      <c r="E5" s="3" t="inlineStr">
        <is>
          <t>During travel/meetings — GDA is unreachable.</t>
        </is>
      </c>
      <c r="F5" s="3" t="inlineStr">
        <is>
          <t>Telegram Bot: private, free, instant. Voice notes → actions.</t>
        </is>
      </c>
      <c r="G5" s="3" t="inlineStr">
        <is>
          <t>Telegram patterns</t>
        </is>
      </c>
      <c r="H5" s="17" t="inlineStr">
        <is>
          <t>HIGH</t>
        </is>
      </c>
    </row>
    <row r="6" ht="24" customHeight="1" s="36">
      <c r="A6" s="2" t="n">
        <v>5</v>
      </c>
      <c r="B6" s="3" t="inlineStr">
        <is>
          <t>Doc Auto-Index</t>
        </is>
      </c>
      <c r="C6" s="3" t="inlineStr">
        <is>
          <t>Manual trigger ingest only.</t>
        </is>
      </c>
      <c r="D6" s="3" t="inlineStr">
        <is>
          <t>New RFPs sit unindexed in folders.</t>
        </is>
      </c>
      <c r="E6" s="3" t="inlineStr">
        <is>
          <t>Drop RFP, forget to ingest, cant query it later.</t>
        </is>
      </c>
      <c r="F6" s="3" t="inlineStr">
        <is>
          <t>Google Drive Trigger → chunk → embed into PGVector.</t>
        </is>
      </c>
      <c r="G6" s="3" t="inlineStr">
        <is>
          <t>#2753 (94,941 views)</t>
        </is>
      </c>
      <c r="H6" s="17" t="inlineStr">
        <is>
          <t>HIGH</t>
        </is>
      </c>
    </row>
    <row r="7" ht="24" customHeight="1" s="36">
      <c r="A7" s="2" t="n">
        <v>6</v>
      </c>
      <c r="B7" s="3" t="inlineStr">
        <is>
          <t>Competitor Web</t>
        </is>
      </c>
      <c r="C7" s="3" t="inlineStr">
        <is>
          <t>GovTribe data only. No live crawling.</t>
        </is>
      </c>
      <c r="D7" s="3" t="inlineStr">
        <is>
          <t>Cannot monitor competitor press, hiring, capabilities.</t>
        </is>
      </c>
      <c r="E7" s="3" t="inlineStr">
        <is>
          <t>Miss competitor moves and partnerships. Stale comp intel.</t>
        </is>
      </c>
      <c r="F7" s="3" t="inlineStr">
        <is>
          <t>Firecrawl + AI Vision fallback for resilient scraping.</t>
        </is>
      </c>
      <c r="G7" s="3" t="inlineStr">
        <is>
          <t>Firecrawl + Vision pattern</t>
        </is>
      </c>
      <c r="H7" s="17" t="inlineStr">
        <is>
          <t>HIGH</t>
        </is>
      </c>
    </row>
    <row r="8" ht="24" customHeight="1" s="36">
      <c r="A8" s="2" t="n">
        <v>7</v>
      </c>
      <c r="B8" s="3" t="inlineStr">
        <is>
          <t>AI Chat Memory</t>
        </is>
      </c>
      <c r="C8" s="3" t="inlineStr">
        <is>
          <t>chat-simple with no persistent memory.</t>
        </is>
      </c>
      <c r="D8" s="3" t="inlineStr">
        <is>
          <t>Every chat starts from zero. No multi-tool agent.</t>
        </is>
      </c>
      <c r="E8" s="3" t="inlineStr">
        <is>
          <t>Repeat setup every session. AI has amnesia.</t>
        </is>
      </c>
      <c r="F8" s="3" t="inlineStr">
        <is>
          <t>AI Agent + Postgres Chat Memory + PGVector + SQL.</t>
        </is>
      </c>
      <c r="G8" s="3" t="inlineStr">
        <is>
          <t>#10157, #3414</t>
        </is>
      </c>
      <c r="H8" s="17" t="inlineStr">
        <is>
          <t>HIGH</t>
        </is>
      </c>
    </row>
    <row r="9" ht="36" customHeight="1" s="36">
      <c r="A9" s="2" t="n">
        <v>8</v>
      </c>
      <c r="B9" s="3" t="inlineStr">
        <is>
          <t>Deep Research</t>
        </is>
      </c>
      <c r="C9" s="3" t="inlineStr">
        <is>
          <t>Predictive intel is single-shot Claude. No multi-step.</t>
        </is>
      </c>
      <c r="D9" s="3" t="inlineStr">
        <is>
          <t>Cannot do autonomous deep-dive research on a competitor or program.</t>
        </is>
      </c>
      <c r="E9" s="3" t="inlineStr">
        <is>
          <t>Miss nuanced intel that requires following multiple leads.</t>
        </is>
      </c>
      <c r="F9" s="3" t="inlineStr">
        <is>
          <t>Deep Research agent pattern: multi-step Perplexity → synthesize.</t>
        </is>
      </c>
      <c r="G9" s="3" t="inlineStr">
        <is>
          <t>#2883 (21,345 views)</t>
        </is>
      </c>
      <c r="H9" s="17" t="inlineStr">
        <is>
          <t>HIGH</t>
        </is>
      </c>
    </row>
    <row r="10" ht="36" customHeight="1" s="36">
      <c r="A10" s="2" t="n">
        <v>9</v>
      </c>
      <c r="B10" s="3" t="inlineStr">
        <is>
          <t>Live Web Research</t>
        </is>
      </c>
      <c r="C10" s="3" t="inlineStr">
        <is>
          <t>Static Claude analysis. No real-time search.</t>
        </is>
      </c>
      <c r="D10" s="3" t="inlineStr">
        <is>
          <t>Cannot query recent agency/program news during capture.</t>
        </is>
      </c>
      <c r="E10" s="3" t="inlineStr">
        <is>
          <t>Capture intel based on stale data.</t>
        </is>
      </c>
      <c r="F10" s="3" t="inlineStr">
        <is>
          <t>Perplexity node (core). Nightly per active opp.</t>
        </is>
      </c>
      <c r="G10" s="3" t="inlineStr">
        <is>
          <t>Perplexity (core)</t>
        </is>
      </c>
      <c r="H10" s="7" t="inlineStr">
        <is>
          <t>MEDIUM</t>
        </is>
      </c>
    </row>
    <row r="11" ht="24" customHeight="1" s="36">
      <c r="A11" s="2" t="n">
        <v>10</v>
      </c>
      <c r="B11" s="3" t="inlineStr">
        <is>
          <t>Calendar Sync</t>
        </is>
      </c>
      <c r="C11" s="3" t="inlineStr">
        <is>
          <t>No calendar integration.</t>
        </is>
      </c>
      <c r="D11" s="3" t="inlineStr">
        <is>
          <t>No auto-created events for due dates or review gates.</t>
        </is>
      </c>
      <c r="E11" s="3" t="inlineStr">
        <is>
          <t>Manual deadline tracking. Risk of missed dates.</t>
        </is>
      </c>
      <c r="F11" s="3" t="inlineStr">
        <is>
          <t>Google Calendar — auto-create from capture milestones.</t>
        </is>
      </c>
      <c r="G11" s="3" t="inlineStr">
        <is>
          <t>Google Calendar (core)</t>
        </is>
      </c>
      <c r="H11" s="7" t="inlineStr">
        <is>
          <t>MEDIUM</t>
        </is>
      </c>
    </row>
    <row r="12" ht="24" customHeight="1" s="36">
      <c r="A12" s="2" t="n">
        <v>11</v>
      </c>
      <c r="B12" s="3" t="inlineStr">
        <is>
          <t>Email Digests</t>
        </is>
      </c>
      <c r="C12" s="3" t="inlineStr">
        <is>
          <t>Daily briefing INACTIVE.</t>
        </is>
      </c>
      <c r="D12" s="3" t="inlineStr">
        <is>
          <t>No passive intel delivery. Must log in.</t>
        </is>
      </c>
      <c r="E12" s="3" t="inlineStr">
        <is>
          <t>You check or you miss it.</t>
        </is>
      </c>
      <c r="F12" s="3" t="inlineStr">
        <is>
          <t>Schedule → Postgres → Claude → HTML → Gmail.</t>
        </is>
      </c>
      <c r="G12" s="3" t="inlineStr">
        <is>
          <t>#10776</t>
        </is>
      </c>
      <c r="H12" s="7" t="inlineStr">
        <is>
          <t>MEDIUM</t>
        </is>
      </c>
    </row>
    <row r="13" ht="24" customHeight="1" s="36">
      <c r="A13" s="2" t="n">
        <v>12</v>
      </c>
      <c r="B13" s="3" t="inlineStr">
        <is>
          <t>HITL Governance</t>
        </is>
      </c>
      <c r="C13" s="3" t="inlineStr">
        <is>
          <t>Red Team and SITREP distribute without approval.</t>
        </is>
      </c>
      <c r="D13" s="3" t="inlineStr">
        <is>
          <t>No approval gate before sensitive outputs go to stakeholders.</t>
        </is>
      </c>
      <c r="E13" s="3" t="inlineStr">
        <is>
          <t>Risk of distributing AI-generated content without review.</t>
        </is>
      </c>
      <c r="F13" s="3" t="inlineStr">
        <is>
          <t>Send-and-Wait on Telegram before distribution.</t>
        </is>
      </c>
      <c r="G13" s="3" t="inlineStr">
        <is>
          <t>#2907 (16,049 views) HITL pattern</t>
        </is>
      </c>
      <c r="H13" s="7" t="inlineStr">
        <is>
          <t>MEDIUM</t>
        </is>
      </c>
    </row>
    <row r="14" ht="24" customHeight="1" s="36">
      <c r="A14" s="2" t="n">
        <v>13</v>
      </c>
      <c r="B14" s="3" t="inlineStr">
        <is>
          <t>Gov Portal Nav</t>
        </is>
      </c>
      <c r="C14" s="3" t="inlineStr">
        <is>
          <t>SAM.gov via API only.</t>
        </is>
      </c>
      <c r="D14" s="3" t="inlineStr">
        <is>
          <t>Cannot navigate interactive JS-heavy portals.</t>
        </is>
      </c>
      <c r="E14" s="3" t="inlineStr">
        <is>
          <t>Some data locked behind interactive portals.</t>
        </is>
      </c>
      <c r="F14" s="3" t="inlineStr">
        <is>
          <t>Browserbase + AI Vision fallback.</t>
        </is>
      </c>
      <c r="G14" s="3" t="inlineStr">
        <is>
          <t>Browserbase node</t>
        </is>
      </c>
      <c r="H14" s="5" t="inlineStr">
        <is>
          <t>LOW</t>
        </is>
      </c>
    </row>
    <row r="15" ht="24" customHeight="1" s="36">
      <c r="A15" s="2" t="n">
        <v>14</v>
      </c>
      <c r="B15" s="3" t="inlineStr">
        <is>
          <t>Advanced Docs</t>
        </is>
      </c>
      <c r="C15" s="3" t="inlineStr">
        <is>
          <t>No OCR. No scanned PDF handling.</t>
        </is>
      </c>
      <c r="D15" s="3" t="inlineStr">
        <is>
          <t>Cannot process scanned RFPs.</t>
        </is>
      </c>
      <c r="E15" s="3" t="inlineStr">
        <is>
          <t>Occasional scanned docs require manual work.</t>
        </is>
      </c>
      <c r="F15" s="3" t="inlineStr">
        <is>
          <t>PDF Vector — OCR, markdown, AI extraction.</t>
        </is>
      </c>
      <c r="G15" s="3" t="inlineStr">
        <is>
          <t>PDF Vector node</t>
        </is>
      </c>
      <c r="H15" s="5" t="inlineStr">
        <is>
          <t>LOW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36" min="1" max="1"/>
    <col width="38" customWidth="1" style="36" min="2" max="2"/>
    <col width="10" customWidth="1" style="36" min="3" max="3"/>
    <col width="36" customWidth="1" style="36" min="4" max="4"/>
    <col width="40" customWidth="1" style="36" min="5" max="5"/>
    <col width="10" customWidth="1" style="36" min="6" max="6"/>
    <col width="30" customWidth="1" style="36" min="7" max="7"/>
  </cols>
  <sheetData>
    <row r="1">
      <c r="A1" s="1" t="inlineStr">
        <is>
          <t>ID</t>
        </is>
      </c>
      <c r="B1" s="1" t="inlineStr">
        <is>
          <t>Template Name</t>
        </is>
      </c>
      <c r="C1" s="1" t="inlineStr">
        <is>
          <t>Views</t>
        </is>
      </c>
      <c r="D1" s="1" t="inlineStr">
        <is>
          <t>What We Steal</t>
        </is>
      </c>
      <c r="E1" s="1" t="inlineStr">
        <is>
          <t>GDA Adaptation</t>
        </is>
      </c>
      <c r="F1" s="1" t="inlineStr">
        <is>
          <t>Source</t>
        </is>
      </c>
      <c r="G1" s="1" t="inlineStr">
        <is>
          <t>URL</t>
        </is>
      </c>
    </row>
    <row r="2" ht="24" customHeight="1" s="36">
      <c r="A2" s="2" t="n">
        <v>5103</v>
      </c>
      <c r="B2" s="3" t="inlineStr">
        <is>
          <t>RSS Feed Analysis w/ AI Risk Scoring</t>
        </is>
      </c>
      <c r="C2" s="2" t="n">
        <v>411</v>
      </c>
      <c r="D2" s="3" t="inlineStr">
        <is>
          <t>Daily RSS + webpage → AI risk categorize → HTML email</t>
        </is>
      </c>
      <c r="E2" s="3" t="inlineStr">
        <is>
          <t>Morning Briefing: defense RSS → Claude → SITREP email</t>
        </is>
      </c>
      <c r="F2" s="2" t="inlineStr">
        <is>
          <t>n8n.io</t>
        </is>
      </c>
      <c r="G2" s="19" t="inlineStr">
        <is>
          <t>https://n8n.io/workflows/5103</t>
        </is>
      </c>
    </row>
    <row r="3" ht="24" customHeight="1" s="36">
      <c r="A3" s="2" t="n">
        <v>10157</v>
      </c>
      <c r="B3" s="3" t="inlineStr">
        <is>
          <t>Agentic RAG &amp; PGVector (Local Doc Q&amp;A)</t>
        </is>
      </c>
      <c r="C3" s="2" t="n">
        <v>541</v>
      </c>
      <c r="D3" s="3" t="inlineStr">
        <is>
          <t>Multi-tool AI: vector + SQL + doc retrieval on Postgres</t>
        </is>
      </c>
      <c r="E3" s="3" t="inlineStr">
        <is>
          <t>GDA RAG chatbot: search capture plans + SQL pipeline + SOW retrieval</t>
        </is>
      </c>
      <c r="F3" s="2" t="inlineStr">
        <is>
          <t>n8n.io</t>
        </is>
      </c>
      <c r="G3" s="19" t="inlineStr">
        <is>
          <t>https://n8n.io/workflows/10157</t>
        </is>
      </c>
    </row>
    <row r="4" ht="24" customHeight="1" s="36">
      <c r="A4" s="2" t="n">
        <v>2883</v>
      </c>
      <c r="B4" s="3" t="inlineStr">
        <is>
          <t>Open Deep Research — Autonomous Agent</t>
        </is>
      </c>
      <c r="C4" s="2" t="n">
        <v>21345</v>
      </c>
      <c r="D4" s="3" t="inlineStr">
        <is>
          <t>Autonomous multi-step research: search → read → follow leads → synthesize</t>
        </is>
      </c>
      <c r="E4" s="3" t="inlineStr">
        <is>
          <t>Deep-dive competitor/program research. Multi-step Perplexity intelligence.</t>
        </is>
      </c>
      <c r="F4" s="2" t="inlineStr">
        <is>
          <t>n8n.io</t>
        </is>
      </c>
      <c r="G4" s="19" t="inlineStr">
        <is>
          <t>https://n8n.io/workflows/2883</t>
        </is>
      </c>
    </row>
    <row r="5" ht="24" customHeight="1" s="36">
      <c r="A5" s="2" t="n">
        <v>2753</v>
      </c>
      <c r="B5" s="3" t="inlineStr">
        <is>
          <t>RAG Chatbot w/ Google Drive &amp; Auto-Embed</t>
        </is>
      </c>
      <c r="C5" s="2" t="n">
        <v>94941</v>
      </c>
      <c r="D5" s="3" t="inlineStr">
        <is>
          <t>Drive Trigger → auto-embed docs → vector store → chatbot</t>
        </is>
      </c>
      <c r="E5" s="3" t="inlineStr">
        <is>
          <t>Auto-indexing: RFP dropped in Drive → embedded → queryable instantly</t>
        </is>
      </c>
      <c r="F5" s="2" t="inlineStr">
        <is>
          <t>n8n.io</t>
        </is>
      </c>
      <c r="G5" s="19" t="inlineStr">
        <is>
          <t>https://n8n.io/workflows/2753</t>
        </is>
      </c>
    </row>
    <row r="6" ht="24" customHeight="1" s="36">
      <c r="A6" s="2" t="n">
        <v>2907</v>
      </c>
      <c r="B6" s="3" t="inlineStr">
        <is>
          <t>Human-in-the-Loop Email Response</t>
        </is>
      </c>
      <c r="C6" s="2" t="n">
        <v>16049</v>
      </c>
      <c r="D6" s="3" t="inlineStr">
        <is>
          <t>AI generates → sends for human approval → distributes after OK</t>
        </is>
      </c>
      <c r="E6" s="3" t="inlineStr">
        <is>
          <t>SITREP/Red Team approval: Claude generates → Telegram approve → distribute</t>
        </is>
      </c>
      <c r="F6" s="2" t="inlineStr">
        <is>
          <t>n8n.io</t>
        </is>
      </c>
      <c r="G6" s="19" t="inlineStr">
        <is>
          <t>https://n8n.io/workflows/2907</t>
        </is>
      </c>
    </row>
    <row r="7" ht="24" customHeight="1" s="36">
      <c r="A7" s="2" t="n">
        <v>3414</v>
      </c>
      <c r="B7" s="3" t="inlineStr">
        <is>
          <t>Slack AI Chatbot w/ RAG &amp; Claude</t>
        </is>
      </c>
      <c r="C7" s="2" t="n">
        <v>7366</v>
      </c>
      <c r="D7" s="3" t="inlineStr">
        <is>
          <t>Drive → vector store → Claude Agent + memory → chat response</t>
        </is>
      </c>
      <c r="E7" s="3" t="inlineStr">
        <is>
          <t>Telegram bot pattern: same architecture, Telegram output instead of Slack</t>
        </is>
      </c>
      <c r="F7" s="2" t="inlineStr">
        <is>
          <t>n8n.io</t>
        </is>
      </c>
      <c r="G7" s="19" t="inlineStr">
        <is>
          <t>https://n8n.io/workflows/3414</t>
        </is>
      </c>
    </row>
    <row r="8" ht="24" customHeight="1" s="36">
      <c r="A8" s="2" t="n">
        <v>6935</v>
      </c>
      <c r="B8" s="3" t="inlineStr">
        <is>
          <t>Contract Renewals &amp; Reminders</t>
        </is>
      </c>
      <c r="C8" s="2" t="n">
        <v>110</v>
      </c>
      <c r="D8" s="3" t="inlineStr">
        <is>
          <t>Scheduled → AI notifications → Send-and-Wait approvals</t>
        </is>
      </c>
      <c r="E8" s="3" t="inlineStr">
        <is>
          <t>Capture milestone alerting: deadline scan → Telegram with ack</t>
        </is>
      </c>
      <c r="F8" s="2" t="inlineStr">
        <is>
          <t>n8n.io</t>
        </is>
      </c>
      <c r="G8" s="19" t="inlineStr">
        <is>
          <t>https://n8n.io/workflows/6935</t>
        </is>
      </c>
    </row>
    <row r="9" ht="24" customHeight="1" s="36">
      <c r="A9" s="2" t="n">
        <v>10776</v>
      </c>
      <c r="B9" s="3" t="inlineStr">
        <is>
          <t>Daily News w/ AI &amp; Email Reports</t>
        </is>
      </c>
      <c r="C9" s="2" t="n">
        <v>312</v>
      </c>
      <c r="D9" s="3" t="inlineStr">
        <is>
          <t>Multi-source RSS → classify → commentary → email</t>
        </is>
      </c>
      <c r="E9" s="3" t="inlineStr">
        <is>
          <t>Morning briefing with strategic commentary layer</t>
        </is>
      </c>
      <c r="F9" s="2" t="inlineStr">
        <is>
          <t>n8n.io</t>
        </is>
      </c>
      <c r="G9" s="19" t="inlineStr">
        <is>
          <t>https://n8n.io/workflows/10776</t>
        </is>
      </c>
    </row>
    <row r="10" ht="24" customHeight="1" s="36">
      <c r="A10" s="2" t="n">
        <v>8497</v>
      </c>
      <c r="B10" s="3" t="inlineStr">
        <is>
          <t>Enterprise CLM w/ AI Risk</t>
        </is>
      </c>
      <c r="C10" s="2" t="n"/>
      <c r="D10" s="3" t="inlineStr">
        <is>
          <t>Intake → AI extraction → risk scoring → obligation tracking</t>
        </is>
      </c>
      <c r="E10" s="3" t="inlineStr">
        <is>
          <t>Option year alerts, renewal tracking, recompete monitoring</t>
        </is>
      </c>
      <c r="F10" s="2" t="inlineStr">
        <is>
          <t>n8n.io</t>
        </is>
      </c>
      <c r="G10" s="19" t="inlineStr">
        <is>
          <t>https://n8n.io/workflows/8497</t>
        </is>
      </c>
    </row>
    <row r="11" ht="24" customHeight="1" s="36">
      <c r="A11" s="2" t="n">
        <v>5974</v>
      </c>
      <c r="B11" s="3" t="inlineStr">
        <is>
          <t>Pipeline Analytics w/ OpenAI &amp; Sheets</t>
        </is>
      </c>
      <c r="C11" s="2" t="n"/>
      <c r="D11" s="3" t="inlineStr">
        <is>
          <t>CRM query → anomaly detection → alerts → archive</t>
        </is>
      </c>
      <c r="E11" s="3" t="inlineStr">
        <is>
          <t>Detect stalled captures, declining PWin, bottleneck opps</t>
        </is>
      </c>
      <c r="F11" s="2" t="inlineStr">
        <is>
          <t>n8n.io</t>
        </is>
      </c>
      <c r="G11" s="19" t="inlineStr">
        <is>
          <t>https://n8n.io/workflows/5974</t>
        </is>
      </c>
    </row>
    <row r="12" ht="24" customHeight="1" s="36">
      <c r="A12" s="2" t="n">
        <v>2786</v>
      </c>
      <c r="B12" s="3" t="inlineStr">
        <is>
          <t>Branded AI Website Chatbot</t>
        </is>
      </c>
      <c r="C12" s="2" t="n">
        <v>88237</v>
      </c>
      <c r="D12" s="3" t="inlineStr">
        <is>
          <t>Chat Trigger → Agent → calendar → capture</t>
        </is>
      </c>
      <c r="E12" s="3" t="inlineStr">
        <is>
          <t>Embedded chat on gda.csr-llc.tech for natural language Q&amp;A</t>
        </is>
      </c>
      <c r="F12" s="2" t="inlineStr">
        <is>
          <t>n8n.io</t>
        </is>
      </c>
      <c r="G12" s="19" t="inlineStr">
        <is>
          <t>https://n8n.io/workflows/2786</t>
        </is>
      </c>
    </row>
    <row r="13" ht="24" customHeight="1" s="36">
      <c r="A13" s="2" t="inlineStr">
        <is>
          <t>Apify</t>
        </is>
      </c>
      <c r="B13" s="3" t="inlineStr">
        <is>
          <t>SAM.gov Opportunities Monitor</t>
        </is>
      </c>
      <c r="C13" s="2" t="n"/>
      <c r="D13" s="3" t="inlineStr">
        <is>
          <t>Real-time SAM.gov → webhook on new/modified opps</t>
        </is>
      </c>
      <c r="E13" s="3" t="inlineStr">
        <is>
          <t>New NAICS matches → webhook → auto-ingest to pipeline</t>
        </is>
      </c>
      <c r="F13" s="2" t="inlineStr">
        <is>
          <t>Apify</t>
        </is>
      </c>
      <c r="G13" s="19" t="inlineStr">
        <is>
          <t>https://apify.com/m_mamaev/sam-gov-opportunities-monitor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6" activePane="bottomLeft" state="frozen"/>
      <selection pane="bottomLeft" activeCell="N37" sqref="N37"/>
    </sheetView>
  </sheetViews>
  <sheetFormatPr baseColWidth="8" defaultRowHeight="15"/>
  <cols>
    <col width="5.85546875" customWidth="1" style="36" min="1" max="1"/>
    <col width="18.85546875" customWidth="1" style="36" min="2" max="2"/>
    <col width="12" customWidth="1" style="36" min="3" max="3"/>
    <col width="30" customWidth="1" style="36" min="4" max="4"/>
    <col width="10" customWidth="1" style="36" min="5" max="5"/>
    <col width="46" customWidth="1" style="36" min="6" max="6"/>
    <col width="5" customWidth="1" style="36" min="7" max="7"/>
    <col width="10" customWidth="1" style="36" min="8" max="8"/>
    <col width="27.28515625" customWidth="1" style="36" min="9" max="9"/>
  </cols>
  <sheetData>
    <row r="1" ht="25.5" customHeight="1" s="36">
      <c r="A1" s="1" t="inlineStr">
        <is>
          <t>#</t>
        </is>
      </c>
      <c r="B1" s="1" t="inlineStr">
        <is>
          <t>Phase</t>
        </is>
      </c>
      <c r="C1" s="1" t="inlineStr">
        <is>
          <t>Stream</t>
        </is>
      </c>
      <c r="D1" s="1" t="inlineStr">
        <is>
          <t>Action</t>
        </is>
      </c>
      <c r="E1" s="1" t="inlineStr">
        <is>
          <t>Closes</t>
        </is>
      </c>
      <c r="F1" s="1" t="inlineStr">
        <is>
          <t>What It Does For You</t>
        </is>
      </c>
      <c r="G1" s="1" t="inlineStr">
        <is>
          <t>Days</t>
        </is>
      </c>
      <c r="H1" s="1" t="inlineStr">
        <is>
          <t>Priority</t>
        </is>
      </c>
      <c r="I1" s="1" t="inlineStr">
        <is>
          <t>Status</t>
        </is>
      </c>
    </row>
    <row r="2">
      <c r="A2" s="39" t="inlineStr">
        <is>
          <t>PHASE 0 — HARDEN (This Week)</t>
        </is>
      </c>
      <c r="B2" s="40" t="n"/>
      <c r="C2" s="40" t="n"/>
      <c r="D2" s="40" t="n"/>
      <c r="E2" s="40" t="n"/>
      <c r="F2" s="40" t="n"/>
      <c r="G2" s="40" t="n"/>
      <c r="H2" s="40" t="n"/>
      <c r="I2" s="41" t="n"/>
    </row>
    <row r="3" ht="24" customHeight="1" s="36">
      <c r="A3" s="2" t="n">
        <v>1</v>
      </c>
      <c r="B3" s="2" t="inlineStr">
        <is>
          <t>P0</t>
        </is>
      </c>
      <c r="C3" s="4" t="inlineStr">
        <is>
          <t>Harden</t>
        </is>
      </c>
      <c r="D3" s="3" t="inlineStr">
        <is>
          <t>Batch-add webhook auth (129 endpoints)</t>
        </is>
      </c>
      <c r="E3" s="2" t="inlineStr">
        <is>
          <t>Security</t>
        </is>
      </c>
      <c r="F3" s="2" t="inlineStr">
        <is>
          <t>Every webhook gets X-GDA-Key header. Closes biggest security hole.</t>
        </is>
      </c>
      <c r="G3" s="2" t="n">
        <v>2</v>
      </c>
      <c r="H3" s="18" t="inlineStr">
        <is>
          <t>CRITICAL</t>
        </is>
      </c>
      <c r="I3" s="20" t="inlineStr">
        <is>
          <t>✅ S-133→S-146 (143/143)</t>
        </is>
      </c>
    </row>
    <row r="4" ht="24" customHeight="1" s="36">
      <c r="A4" s="2" t="n">
        <v>2</v>
      </c>
      <c r="B4" s="2" t="inlineStr">
        <is>
          <t>P0</t>
        </is>
      </c>
      <c r="C4" s="4" t="inlineStr">
        <is>
          <t>Harden</t>
        </is>
      </c>
      <c r="D4" s="3" t="inlineStr">
        <is>
          <t>Unified error handler → 74 workflows</t>
        </is>
      </c>
      <c r="E4" s="2" t="inlineStr">
        <is>
          <t>Security</t>
        </is>
      </c>
      <c r="F4" s="2" t="inlineStr">
        <is>
          <t>GDA.error.handler catches all failures → Postgres log → Telegram alert.</t>
        </is>
      </c>
      <c r="G4" s="2" t="n">
        <v>3</v>
      </c>
      <c r="H4" s="18" t="inlineStr">
        <is>
          <t>CRITICAL</t>
        </is>
      </c>
      <c r="I4" s="20" t="inlineStr">
        <is>
          <t>✅ S-133→S-146 (74/74)</t>
        </is>
      </c>
    </row>
    <row r="5" ht="24" customHeight="1" s="36">
      <c r="A5" s="2" t="n">
        <v>3</v>
      </c>
      <c r="B5" s="2" t="inlineStr">
        <is>
          <t>P0</t>
        </is>
      </c>
      <c r="C5" s="4" t="inlineStr">
        <is>
          <t>Harden</t>
        </is>
      </c>
      <c r="D5" s="3" t="inlineStr">
        <is>
          <t>Parameterize top 35 SQL queries</t>
        </is>
      </c>
      <c r="E5" s="2" t="inlineStr">
        <is>
          <t>Security</t>
        </is>
      </c>
      <c r="F5" s="2" t="inlineStr">
        <is>
          <t>Eliminate SQL injection on most exposed queries.</t>
        </is>
      </c>
      <c r="G5" s="2" t="n">
        <v>4</v>
      </c>
      <c r="H5" s="17" t="inlineStr">
        <is>
          <t>HIGH</t>
        </is>
      </c>
      <c r="I5" s="27" t="inlineStr">
        <is>
          <t>✅ S-136→S-142 (22 WFs, 32 nodes)</t>
        </is>
      </c>
    </row>
    <row r="6" ht="24" customHeight="1" s="36">
      <c r="A6" s="2" t="n">
        <v>4</v>
      </c>
      <c r="B6" s="2" t="inlineStr">
        <is>
          <t>P0</t>
        </is>
      </c>
      <c r="C6" s="4" t="inlineStr">
        <is>
          <t>Harden</t>
        </is>
      </c>
      <c r="D6" s="3" t="inlineStr">
        <is>
          <t>Configure Task Runners for heavy workflows</t>
        </is>
      </c>
      <c r="E6" s="2" t="inlineStr">
        <is>
          <t>Stability</t>
        </is>
      </c>
      <c r="F6" s="2" t="inlineStr">
        <is>
          <t>Isolate 51-node export, 36-node SITREP, RAG into separate containers.</t>
        </is>
      </c>
      <c r="G6" s="2" t="n">
        <v>1</v>
      </c>
      <c r="H6" s="17" t="inlineStr">
        <is>
          <t>HIGH</t>
        </is>
      </c>
      <c r="I6" s="27" t="inlineStr">
        <is>
          <t>✅ S-136</t>
        </is>
      </c>
    </row>
    <row r="7" ht="24" customHeight="1" s="36">
      <c r="A7" s="2" t="n">
        <v>5</v>
      </c>
      <c r="B7" s="2" t="inlineStr">
        <is>
          <t>P0</t>
        </is>
      </c>
      <c r="C7" s="4" t="inlineStr">
        <is>
          <t>Harden</t>
        </is>
      </c>
      <c r="D7" s="3" t="inlineStr">
        <is>
          <t>Update n8n v2.9.2 → v2.14.2</t>
        </is>
      </c>
      <c r="E7" s="2" t="inlineStr">
        <is>
          <t>Security</t>
        </is>
      </c>
      <c r="F7" s="2" t="inlineStr">
        <is>
          <t>6 versions of security patches + performance improvements.</t>
        </is>
      </c>
      <c r="G7" s="2" t="n">
        <v>1</v>
      </c>
      <c r="H7" s="17" t="inlineStr">
        <is>
          <t>HIGH</t>
        </is>
      </c>
      <c r="I7" s="20" t="inlineStr">
        <is>
          <t>✅ S-133</t>
        </is>
      </c>
    </row>
    <row r="8" ht="24" customHeight="1" s="36">
      <c r="A8" s="2" t="n">
        <v>6</v>
      </c>
      <c r="B8" s="2" t="inlineStr">
        <is>
          <t>P0</t>
        </is>
      </c>
      <c r="C8" s="4" t="inlineStr">
        <is>
          <t>Harden</t>
        </is>
      </c>
      <c r="D8" s="3" t="inlineStr">
        <is>
          <t>Delete dead workflows + unused creds</t>
        </is>
      </c>
      <c r="E8" s="2" t="inlineStr">
        <is>
          <t>Cleanup</t>
        </is>
      </c>
      <c r="F8" s="2" t="inlineStr">
        <is>
          <t>Remove 10 superseded workflows + 22 unused credentials.</t>
        </is>
      </c>
      <c r="G8" s="2" t="n">
        <v>1</v>
      </c>
      <c r="H8" s="7" t="inlineStr">
        <is>
          <t>MEDIUM</t>
        </is>
      </c>
      <c r="I8" s="20" t="inlineStr">
        <is>
          <t>✅ S-133</t>
        </is>
      </c>
    </row>
    <row r="9" ht="24" customHeight="1" s="36">
      <c r="A9" s="2" t="n">
        <v>7</v>
      </c>
      <c r="B9" s="2" t="inlineStr">
        <is>
          <t>P0</t>
        </is>
      </c>
      <c r="C9" s="4" t="inlineStr">
        <is>
          <t>Harden</t>
        </is>
      </c>
      <c r="D9" s="3" t="inlineStr">
        <is>
          <t>Add HITL approval gates (SITREP/Red Team)</t>
        </is>
      </c>
      <c r="E9" s="2" t="inlineStr">
        <is>
          <t>Governance</t>
        </is>
      </c>
      <c r="F9" s="2" t="inlineStr">
        <is>
          <t>Send-and-Wait on Telegram before distributing AI outputs.</t>
        </is>
      </c>
      <c r="G9" s="2" t="n">
        <v>2</v>
      </c>
      <c r="H9" s="7" t="inlineStr">
        <is>
          <t>MEDIUM</t>
        </is>
      </c>
      <c r="I9" s="27" t="inlineStr">
        <is>
          <t>✅ S-137→S-138</t>
        </is>
      </c>
    </row>
    <row r="10" ht="24" customHeight="1" s="36">
      <c r="A10" s="2" t="n">
        <v>8</v>
      </c>
      <c r="B10" s="2" t="inlineStr">
        <is>
          <t>P0</t>
        </is>
      </c>
      <c r="C10" s="4" t="inlineStr">
        <is>
          <t>Harden</t>
        </is>
      </c>
      <c r="D10" s="3" t="inlineStr">
        <is>
          <t>Configure 30-day execution data pruning</t>
        </is>
      </c>
      <c r="E10" s="2" t="inlineStr">
        <is>
          <t>Security</t>
        </is>
      </c>
      <c r="F10" s="2" t="inlineStr">
        <is>
          <t>Stop accumulating execution data indefinitely.</t>
        </is>
      </c>
      <c r="G10" s="2" t="n">
        <v>0.5</v>
      </c>
      <c r="H10" s="5" t="inlineStr">
        <is>
          <t>LOW</t>
        </is>
      </c>
      <c r="I10" s="20" t="inlineStr">
        <is>
          <t>✅ S-133</t>
        </is>
      </c>
    </row>
    <row r="11">
      <c r="A11" s="39" t="inlineStr">
        <is>
          <t>PHASE 1 — CONSOLIDATE + FIRST ENHANCEMENTS (Weeks 2-3)</t>
        </is>
      </c>
      <c r="B11" s="40" t="n"/>
      <c r="C11" s="40" t="n"/>
      <c r="D11" s="40" t="n"/>
      <c r="E11" s="40" t="n"/>
      <c r="F11" s="40" t="n"/>
      <c r="G11" s="40" t="n"/>
      <c r="H11" s="40" t="n"/>
      <c r="I11" s="41" t="n"/>
    </row>
    <row r="12" ht="24" customHeight="1" s="36">
      <c r="A12" s="2" t="n">
        <v>9</v>
      </c>
      <c r="B12" s="2" t="inlineStr">
        <is>
          <t>P1</t>
        </is>
      </c>
      <c r="C12" s="6" t="inlineStr">
        <is>
          <t>Consolidate</t>
        </is>
      </c>
      <c r="D12" s="3" t="inlineStr">
        <is>
          <t>Merge 10 scanners → master-scanner</t>
        </is>
      </c>
      <c r="E12" s="2" t="inlineStr">
        <is>
          <t>Reliability</t>
        </is>
      </c>
      <c r="F12" s="2" t="inlineStr">
        <is>
          <t>One cron, one error handler, one completion log.</t>
        </is>
      </c>
      <c r="G12" s="2" t="n">
        <v>3</v>
      </c>
      <c r="H12" s="17" t="inlineStr">
        <is>
          <t>HIGH</t>
        </is>
      </c>
      <c r="I12" s="20" t="inlineStr">
        <is>
          <t>✅ S-133</t>
        </is>
      </c>
    </row>
    <row r="13" ht="24" customHeight="1" s="36">
      <c r="A13" s="2" t="n">
        <v>10</v>
      </c>
      <c r="B13" s="2" t="inlineStr">
        <is>
          <t>P1</t>
        </is>
      </c>
      <c r="C13" s="6" t="inlineStr">
        <is>
          <t>Consolidate</t>
        </is>
      </c>
      <c r="D13" s="3" t="inlineStr">
        <is>
          <t>Merge 6 capture intel → capture-mega</t>
        </is>
      </c>
      <c r="E13" s="2" t="inlineStr">
        <is>
          <t>UX Speed</t>
        </is>
      </c>
      <c r="F13" s="2" t="inlineStr">
        <is>
          <t>Capture Plan tab: 4 API calls → 1. 60% faster page load.</t>
        </is>
      </c>
      <c r="G13" s="2" t="n">
        <v>4</v>
      </c>
      <c r="H13" s="17" t="inlineStr">
        <is>
          <t>HIGH</t>
        </is>
      </c>
      <c r="I13" s="20" t="inlineStr">
        <is>
          <t>NOT NEEDED (already merged S-133)</t>
        </is>
      </c>
    </row>
    <row r="14" ht="24" customHeight="1" s="36">
      <c r="A14" s="2" t="n">
        <v>11</v>
      </c>
      <c r="B14" s="2" t="inlineStr">
        <is>
          <t>P1</t>
        </is>
      </c>
      <c r="C14" s="6" t="inlineStr">
        <is>
          <t>Consolidate</t>
        </is>
      </c>
      <c r="D14" s="3" t="inlineStr">
        <is>
          <t>Merge 5 comp intel → compintel-mega</t>
        </is>
      </c>
      <c r="E14" s="2" t="inlineStr">
        <is>
          <t>UX Speed</t>
        </is>
      </c>
      <c r="F14" s="2" t="inlineStr">
        <is>
          <t>Comp Intel tab: 5 calls → 1. Cards render together.</t>
        </is>
      </c>
      <c r="G14" s="2" t="n">
        <v>3</v>
      </c>
      <c r="H14" s="17" t="inlineStr">
        <is>
          <t>HIGH</t>
        </is>
      </c>
      <c r="I14" s="20" t="inlineStr">
        <is>
          <t>NOT NEEDED (already merged S-133)</t>
        </is>
      </c>
    </row>
    <row r="15" ht="24" customHeight="1" s="36">
      <c r="A15" s="2" t="n">
        <v>12</v>
      </c>
      <c r="B15" s="2" t="inlineStr">
        <is>
          <t>P1</t>
        </is>
      </c>
      <c r="C15" s="6" t="inlineStr">
        <is>
          <t>Consolidate</t>
        </is>
      </c>
      <c r="D15" s="3" t="inlineStr">
        <is>
          <t>Merge 6 opp data → pipeline-mega</t>
        </is>
      </c>
      <c r="E15" s="2" t="inlineStr">
        <is>
          <t>UX Speed</t>
        </is>
      </c>
      <c r="F15" s="2" t="inlineStr">
        <is>
          <t>Pipeline/Launchpad: 3 calls → 1. Consistent data.</t>
        </is>
      </c>
      <c r="G15" s="2" t="n">
        <v>3</v>
      </c>
      <c r="H15" s="17" t="inlineStr">
        <is>
          <t>HIGH</t>
        </is>
      </c>
      <c r="I15" s="27" t="inlineStr">
        <is>
          <t>✅ S-138→S-140 (dashboard-mega)</t>
        </is>
      </c>
    </row>
    <row r="16" ht="24" customHeight="1" s="36">
      <c r="A16" s="2" t="n">
        <v>13</v>
      </c>
      <c r="B16" s="2" t="inlineStr">
        <is>
          <t>P1</t>
        </is>
      </c>
      <c r="C16" s="9" t="inlineStr">
        <is>
          <t>Enhance</t>
        </is>
      </c>
      <c r="D16" s="3" t="inlineStr">
        <is>
          <t>Morning Intel Briefing (RSS+Claude+Email)</t>
        </is>
      </c>
      <c r="E16" s="2" t="inlineStr">
        <is>
          <t>Gap 1,11</t>
        </is>
      </c>
      <c r="F16" s="2" t="inlineStr">
        <is>
          <t>Defense news → Claude classifies → email at 0600.</t>
        </is>
      </c>
      <c r="G16" s="2" t="n">
        <v>3</v>
      </c>
      <c r="H16" s="18" t="inlineStr">
        <is>
          <t>CRITICAL</t>
        </is>
      </c>
      <c r="I16" s="20" t="inlineStr">
        <is>
          <t>✅ S-133</t>
        </is>
      </c>
    </row>
    <row r="17" ht="24" customHeight="1" s="36">
      <c r="A17" s="2" t="n">
        <v>14</v>
      </c>
      <c r="B17" s="2" t="inlineStr">
        <is>
          <t>P1</t>
        </is>
      </c>
      <c r="C17" s="9" t="inlineStr">
        <is>
          <t>Enhance</t>
        </is>
      </c>
      <c r="D17" s="3" t="inlineStr">
        <is>
          <t>SAM.gov Real-Time Scanner</t>
        </is>
      </c>
      <c r="E17" s="2" t="inlineStr">
        <is>
          <t>Gap 3</t>
        </is>
      </c>
      <c r="F17" s="2" t="inlineStr">
        <is>
          <t>New NAICS matches in pipeline within 15 minutes.</t>
        </is>
      </c>
      <c r="G17" s="2" t="n">
        <v>4</v>
      </c>
      <c r="H17" s="18" t="inlineStr">
        <is>
          <t>CRITICAL</t>
        </is>
      </c>
      <c r="I17" s="20" t="inlineStr">
        <is>
          <t>DEFERRED (no SAM API key)</t>
        </is>
      </c>
    </row>
    <row r="18">
      <c r="A18" s="39" t="inlineStr">
        <is>
          <t>PHASE 2 — FOUNDATION (Weeks 3-4)</t>
        </is>
      </c>
      <c r="B18" s="40" t="n"/>
      <c r="C18" s="40" t="n"/>
      <c r="D18" s="40" t="n"/>
      <c r="E18" s="40" t="n"/>
      <c r="F18" s="40" t="n"/>
      <c r="G18" s="40" t="n"/>
      <c r="H18" s="40" t="n"/>
      <c r="I18" s="41" t="n"/>
    </row>
    <row r="19" ht="24" customHeight="1" s="36">
      <c r="A19" s="2" t="n">
        <v>15</v>
      </c>
      <c r="B19" s="2" t="inlineStr">
        <is>
          <t>P2</t>
        </is>
      </c>
      <c r="C19" s="6" t="inlineStr">
        <is>
          <t>Consolidate</t>
        </is>
      </c>
      <c r="D19" s="3" t="inlineStr">
        <is>
          <t>Merge dashboard workflows → dashboard-mega</t>
        </is>
      </c>
      <c r="E19" s="2" t="inlineStr">
        <is>
          <t>UX Speed</t>
        </is>
      </c>
      <c r="F19" s="2" t="inlineStr">
        <is>
          <t>Dashboard KPIs load as one unit.</t>
        </is>
      </c>
      <c r="G19" s="2" t="n">
        <v>3</v>
      </c>
      <c r="H19" s="7" t="inlineStr">
        <is>
          <t>MEDIUM</t>
        </is>
      </c>
      <c r="I19" s="27" t="inlineStr">
        <is>
          <t>✅ S-138 (dashboard-mega)</t>
        </is>
      </c>
    </row>
    <row r="20" ht="24" customHeight="1" s="36">
      <c r="A20" s="2" t="n">
        <v>16</v>
      </c>
      <c r="B20" s="2" t="inlineStr">
        <is>
          <t>P2</t>
        </is>
      </c>
      <c r="C20" s="6" t="inlineStr">
        <is>
          <t>Consolidate</t>
        </is>
      </c>
      <c r="D20" s="3" t="inlineStr">
        <is>
          <t>Delete 10 dead/superseded workflows</t>
        </is>
      </c>
      <c r="E20" s="2" t="inlineStr">
        <is>
          <t>Cleanup</t>
        </is>
      </c>
      <c r="F20" s="2" t="inlineStr">
        <is>
          <t>Reduce audit noise by ~30 findings.</t>
        </is>
      </c>
      <c r="G20" s="2" t="n">
        <v>0.5</v>
      </c>
      <c r="H20" s="7" t="inlineStr">
        <is>
          <t>MEDIUM</t>
        </is>
      </c>
      <c r="I20" s="27" t="inlineStr">
        <is>
          <t>✅ S-136 (14 WFs deleted)</t>
        </is>
      </c>
    </row>
    <row r="21" ht="24" customHeight="1" s="36">
      <c r="A21" s="2" t="n">
        <v>17</v>
      </c>
      <c r="B21" s="2" t="inlineStr">
        <is>
          <t>P2</t>
        </is>
      </c>
      <c r="C21" s="9" t="inlineStr">
        <is>
          <t>Enhance</t>
        </is>
      </c>
      <c r="D21" s="3" t="inlineStr">
        <is>
          <t>PGVector Semantic Search</t>
        </is>
      </c>
      <c r="E21" s="2" t="inlineStr">
        <is>
          <t>Gap 2</t>
        </is>
      </c>
      <c r="F21" s="2" t="inlineStr">
        <is>
          <t>Search by concept across 420+ opps. On YOUR Postgres.</t>
        </is>
      </c>
      <c r="G21" s="2" t="n">
        <v>5</v>
      </c>
      <c r="H21" s="18" t="inlineStr">
        <is>
          <t>CRITICAL</t>
        </is>
      </c>
      <c r="I21" s="27" t="inlineStr">
        <is>
          <t>✅ S-136 (761 vectors, 13MB)</t>
        </is>
      </c>
    </row>
    <row r="22" ht="24" customHeight="1" s="36">
      <c r="A22" s="2" t="n">
        <v>18</v>
      </c>
      <c r="B22" s="2" t="inlineStr">
        <is>
          <t>P2</t>
        </is>
      </c>
      <c r="C22" s="9" t="inlineStr">
        <is>
          <t>Enhance</t>
        </is>
      </c>
      <c r="D22" s="3" t="inlineStr">
        <is>
          <t>Agentic RAG Chatbot</t>
        </is>
      </c>
      <c r="E22" s="2" t="inlineStr">
        <is>
          <t>Gap 2,7</t>
        </is>
      </c>
      <c r="F22" s="2" t="inlineStr">
        <is>
          <t>Multi-tool AI: vector + SQL + docs. Persistent memory.</t>
        </is>
      </c>
      <c r="G22" s="2" t="n">
        <v>7</v>
      </c>
      <c r="H22" s="17" t="inlineStr">
        <is>
          <t>HIGH</t>
        </is>
      </c>
      <c r="I22" s="20" t="inlineStr">
        <is>
          <t>DEFERRED (Phase 3)</t>
        </is>
      </c>
    </row>
    <row r="23" ht="24" customHeight="1" s="36">
      <c r="A23" s="2" t="n">
        <v>19</v>
      </c>
      <c r="B23" s="2" t="inlineStr">
        <is>
          <t>P2</t>
        </is>
      </c>
      <c r="C23" s="9" t="inlineStr">
        <is>
          <t>Enhance</t>
        </is>
      </c>
      <c r="D23" s="3" t="inlineStr">
        <is>
          <t>Telegram Bot</t>
        </is>
      </c>
      <c r="E23" s="2" t="inlineStr">
        <is>
          <t>Gap 4</t>
        </is>
      </c>
      <c r="F23" s="2" t="inlineStr">
        <is>
          <t>Private bot. "Pipeline health" from phone. Approve bids.</t>
        </is>
      </c>
      <c r="G23" s="2" t="n">
        <v>4</v>
      </c>
      <c r="H23" s="17" t="inlineStr">
        <is>
          <t>HIGH</t>
        </is>
      </c>
      <c r="I23" s="27" t="inlineStr">
        <is>
          <t>✅ S-133+S-137 (Telegram bot)</t>
        </is>
      </c>
    </row>
    <row r="24">
      <c r="A24" s="39" t="inlineStr">
        <is>
          <t>PHASE 3 — EXPANSION (Month 2)</t>
        </is>
      </c>
      <c r="B24" s="40" t="n"/>
      <c r="C24" s="40" t="n"/>
      <c r="D24" s="40" t="n"/>
      <c r="E24" s="40" t="n"/>
      <c r="F24" s="40" t="n"/>
      <c r="G24" s="40" t="n"/>
      <c r="H24" s="40" t="n"/>
      <c r="I24" s="41" t="n"/>
    </row>
    <row r="25" ht="24" customHeight="1" s="36">
      <c r="A25" s="2" t="n">
        <v>20</v>
      </c>
      <c r="B25" s="2" t="inlineStr">
        <is>
          <t>P3</t>
        </is>
      </c>
      <c r="C25" s="9" t="inlineStr">
        <is>
          <t>Enhance</t>
        </is>
      </c>
      <c r="D25" s="3" t="inlineStr">
        <is>
          <t>Competitor Crawler (Firecrawl + Vision)</t>
        </is>
      </c>
      <c r="E25" s="2" t="inlineStr">
        <is>
          <t>Gap 6</t>
        </is>
      </c>
      <c r="F25" s="2" t="inlineStr">
        <is>
          <t>Weekly crawl of competitor sites. Vision fallback for resilience.</t>
        </is>
      </c>
      <c r="G25" s="2" t="n">
        <v>5</v>
      </c>
      <c r="H25" s="17" t="inlineStr">
        <is>
          <t>HIGH</t>
        </is>
      </c>
      <c r="I25" s="20" t="inlineStr">
        <is>
          <t>NOT STARTED</t>
        </is>
      </c>
    </row>
    <row r="26" ht="24" customHeight="1" s="36">
      <c r="A26" s="2" t="n">
        <v>21</v>
      </c>
      <c r="B26" s="2" t="inlineStr">
        <is>
          <t>P3</t>
        </is>
      </c>
      <c r="C26" s="9" t="inlineStr">
        <is>
          <t>Enhance</t>
        </is>
      </c>
      <c r="D26" s="3" t="inlineStr">
        <is>
          <t>Auto-Index Document Pipeline</t>
        </is>
      </c>
      <c r="E26" s="2" t="inlineStr">
        <is>
          <t>Gap 5</t>
        </is>
      </c>
      <c r="F26" s="2" t="inlineStr">
        <is>
          <t>RFP in Drive → queryable in 60 seconds. KB grows automatically.</t>
        </is>
      </c>
      <c r="G26" s="2" t="n">
        <v>5</v>
      </c>
      <c r="H26" s="17" t="inlineStr">
        <is>
          <t>HIGH</t>
        </is>
      </c>
      <c r="I26" s="20" t="inlineStr">
        <is>
          <t>NOT STARTED</t>
        </is>
      </c>
    </row>
    <row r="27" ht="24" customHeight="1" s="36">
      <c r="A27" s="2" t="n">
        <v>22</v>
      </c>
      <c r="B27" s="2" t="inlineStr">
        <is>
          <t>P3</t>
        </is>
      </c>
      <c r="C27" s="9" t="inlineStr">
        <is>
          <t>Enhance</t>
        </is>
      </c>
      <c r="D27" s="3" t="inlineStr">
        <is>
          <t>Deep Research Agent</t>
        </is>
      </c>
      <c r="E27" s="2" t="inlineStr">
        <is>
          <t>Gap 8</t>
        </is>
      </c>
      <c r="F27" s="2" t="inlineStr">
        <is>
          <t>Autonomous multi-step research on competitors/programs.</t>
        </is>
      </c>
      <c r="G27" s="2" t="n">
        <v>4</v>
      </c>
      <c r="H27" s="17" t="inlineStr">
        <is>
          <t>HIGH</t>
        </is>
      </c>
      <c r="I27" s="20" t="inlineStr">
        <is>
          <t>NOT STARTED</t>
        </is>
      </c>
    </row>
    <row r="28" ht="24" customHeight="1" s="36">
      <c r="A28" s="2" t="n">
        <v>23</v>
      </c>
      <c r="B28" s="2" t="inlineStr">
        <is>
          <t>P3</t>
        </is>
      </c>
      <c r="C28" s="9" t="inlineStr">
        <is>
          <t>Enhance</t>
        </is>
      </c>
      <c r="D28" s="3" t="inlineStr">
        <is>
          <t>Google Calendar Milestone Sync</t>
        </is>
      </c>
      <c r="E28" s="2" t="inlineStr">
        <is>
          <t>Gap 10</t>
        </is>
      </c>
      <c r="F28" s="2" t="inlineStr">
        <is>
          <t>Due dates auto-appear in calendar. Mobile reminders.</t>
        </is>
      </c>
      <c r="G28" s="2" t="n">
        <v>3</v>
      </c>
      <c r="H28" s="7" t="inlineStr">
        <is>
          <t>MEDIUM</t>
        </is>
      </c>
      <c r="I28" s="20" t="inlineStr">
        <is>
          <t>NOT STARTED</t>
        </is>
      </c>
    </row>
    <row r="29" ht="24" customHeight="1" s="36">
      <c r="A29" s="2" t="n">
        <v>24</v>
      </c>
      <c r="B29" s="2" t="inlineStr">
        <is>
          <t>P3</t>
        </is>
      </c>
      <c r="C29" s="9" t="inlineStr">
        <is>
          <t>Enhance</t>
        </is>
      </c>
      <c r="D29" s="3" t="inlineStr">
        <is>
          <t>Embedded Chat Widget</t>
        </is>
      </c>
      <c r="E29" s="2" t="inlineStr">
        <is>
          <t>Gap 7</t>
        </is>
      </c>
      <c r="F29" s="2" t="inlineStr">
        <is>
          <t>Chat bubble on platform. Ask questions without clicking tabs.</t>
        </is>
      </c>
      <c r="G29" s="2" t="n">
        <v>3</v>
      </c>
      <c r="H29" s="7" t="inlineStr">
        <is>
          <t>MEDIUM</t>
        </is>
      </c>
      <c r="I29" s="20" t="inlineStr">
        <is>
          <t>NOT STARTED</t>
        </is>
      </c>
    </row>
    <row r="30">
      <c r="A30" s="39" t="inlineStr">
        <is>
          <t>PHASE 4 — POLISH (Month 2-3)</t>
        </is>
      </c>
      <c r="B30" s="40" t="n"/>
      <c r="C30" s="40" t="n"/>
      <c r="D30" s="40" t="n"/>
      <c r="E30" s="40" t="n"/>
      <c r="F30" s="40" t="n"/>
      <c r="G30" s="40" t="n"/>
      <c r="H30" s="40" t="n"/>
      <c r="I30" s="41" t="n"/>
    </row>
    <row r="31" ht="24" customHeight="1" s="36">
      <c r="A31" s="2" t="n">
        <v>25</v>
      </c>
      <c r="B31" s="2" t="inlineStr">
        <is>
          <t>P4</t>
        </is>
      </c>
      <c r="C31" s="9" t="inlineStr">
        <is>
          <t>Enhance</t>
        </is>
      </c>
      <c r="D31" s="3" t="inlineStr">
        <is>
          <t>Perplexity Nightly Research</t>
        </is>
      </c>
      <c r="E31" s="2" t="inlineStr">
        <is>
          <t>Gap 9</t>
        </is>
      </c>
      <c r="F31" s="2" t="inlineStr">
        <is>
          <t>Every night: active opps → Perplexity research → Daily Actions.</t>
        </is>
      </c>
      <c r="G31" s="2" t="n">
        <v>4</v>
      </c>
      <c r="H31" s="7" t="inlineStr">
        <is>
          <t>MEDIUM</t>
        </is>
      </c>
      <c r="I31" s="20" t="inlineStr">
        <is>
          <t>NOT STARTED</t>
        </is>
      </c>
    </row>
    <row r="32" ht="24" customHeight="1" s="36">
      <c r="A32" s="2" t="n">
        <v>26</v>
      </c>
      <c r="B32" s="2" t="inlineStr">
        <is>
          <t>P4</t>
        </is>
      </c>
      <c r="C32" s="9" t="inlineStr">
        <is>
          <t>Enhance</t>
        </is>
      </c>
      <c r="D32" s="3" t="inlineStr">
        <is>
          <t>Scheduled Email SITREP</t>
        </is>
      </c>
      <c r="E32" s="2" t="inlineStr">
        <is>
          <t>Gap 11</t>
        </is>
      </c>
      <c r="F32" s="2" t="inlineStr">
        <is>
          <t>Weekly SITREP auto-emailed. Zero effort.</t>
        </is>
      </c>
      <c r="G32" s="2" t="n">
        <v>3</v>
      </c>
      <c r="H32" s="7" t="inlineStr">
        <is>
          <t>MEDIUM</t>
        </is>
      </c>
      <c r="I32" s="20" t="inlineStr">
        <is>
          <t>NOT STARTED</t>
        </is>
      </c>
    </row>
    <row r="33" ht="24" customHeight="1" s="36">
      <c r="A33" s="2" t="n">
        <v>27</v>
      </c>
      <c r="B33" s="2" t="inlineStr">
        <is>
          <t>P4</t>
        </is>
      </c>
      <c r="C33" s="9" t="inlineStr">
        <is>
          <t>Enhance</t>
        </is>
      </c>
      <c r="D33" s="3" t="inlineStr">
        <is>
          <t>Capture Milestone Alerts (Telegram)</t>
        </is>
      </c>
      <c r="E33" s="2" t="inlineStr">
        <is>
          <t>Gap 10</t>
        </is>
      </c>
      <c r="F33" s="2" t="inlineStr">
        <is>
          <t>Deadlines within 7/14/30 days → Telegram alerts.</t>
        </is>
      </c>
      <c r="G33" s="2" t="n">
        <v>3</v>
      </c>
      <c r="H33" s="7" t="inlineStr">
        <is>
          <t>MEDIUM</t>
        </is>
      </c>
      <c r="I33" s="20" t="inlineStr">
        <is>
          <t>NOT STARTED</t>
        </is>
      </c>
    </row>
    <row r="34" ht="24" customHeight="1" s="36">
      <c r="A34" s="2" t="n">
        <v>28</v>
      </c>
      <c r="B34" s="2" t="inlineStr">
        <is>
          <t>P4</t>
        </is>
      </c>
      <c r="C34" s="9" t="inlineStr">
        <is>
          <t>Enhance</t>
        </is>
      </c>
      <c r="D34" s="3" t="inlineStr">
        <is>
          <t>SMS Critical Failsafe (Twilio)</t>
        </is>
      </c>
      <c r="E34" s="2" t="inlineStr">
        <is>
          <t>—</t>
        </is>
      </c>
      <c r="F34" s="2" t="inlineStr">
        <is>
          <t>Emergency SMS for critical deadlines. Last-resort.</t>
        </is>
      </c>
      <c r="G34" s="2" t="n">
        <v>2</v>
      </c>
      <c r="H34" s="7" t="inlineStr">
        <is>
          <t>MEDIUM</t>
        </is>
      </c>
      <c r="I34" s="20" t="inlineStr">
        <is>
          <t>NOT STARTED</t>
        </is>
      </c>
    </row>
    <row r="35" ht="24" customHeight="1" s="36">
      <c r="A35" s="2" t="n">
        <v>29</v>
      </c>
      <c r="B35" s="2" t="inlineStr">
        <is>
          <t>P4</t>
        </is>
      </c>
      <c r="C35" s="9" t="inlineStr">
        <is>
          <t>Enhance</t>
        </is>
      </c>
      <c r="D35" s="3" t="inlineStr">
        <is>
          <t>n8n Quick-Entry Form</t>
        </is>
      </c>
      <c r="E35" s="2" t="inlineStr">
        <is>
          <t>—</t>
        </is>
      </c>
      <c r="F35" s="2" t="inlineStr">
        <is>
          <t>Bookmarked URL: drop opp, upload RFP. Mobile-friendly.</t>
        </is>
      </c>
      <c r="G35" s="2" t="n">
        <v>2</v>
      </c>
      <c r="H35" s="7" t="inlineStr">
        <is>
          <t>MEDIUM</t>
        </is>
      </c>
      <c r="I35" s="20" t="inlineStr">
        <is>
          <t>NOT STARTED</t>
        </is>
      </c>
    </row>
    <row r="36" ht="24" customHeight="1" s="36">
      <c r="A36" s="2" t="n">
        <v>30</v>
      </c>
      <c r="B36" s="2" t="inlineStr">
        <is>
          <t>P4</t>
        </is>
      </c>
      <c r="C36" s="4" t="inlineStr">
        <is>
          <t>Harden</t>
        </is>
      </c>
      <c r="D36" s="3" t="inlineStr">
        <is>
          <t>Parameterize remaining 229 SQL queries</t>
        </is>
      </c>
      <c r="E36" s="2" t="inlineStr">
        <is>
          <t>Security</t>
        </is>
      </c>
      <c r="F36" s="2" t="inlineStr">
        <is>
          <t>Full SQL injection hardening.</t>
        </is>
      </c>
      <c r="G36" s="2" t="n">
        <v>5</v>
      </c>
      <c r="H36" s="7" t="inlineStr">
        <is>
          <t>MEDIUM</t>
        </is>
      </c>
      <c r="I36" s="27" t="inlineStr">
        <is>
          <t>✅ S-136→S-142 (merged with #3)</t>
        </is>
      </c>
    </row>
    <row r="37">
      <c r="A37" s="39" t="inlineStr">
        <is>
          <t>PHASE 5 — ADVANCED (Month 3)</t>
        </is>
      </c>
      <c r="B37" s="40" t="n"/>
      <c r="C37" s="40" t="n"/>
      <c r="D37" s="40" t="n"/>
      <c r="E37" s="40" t="n"/>
      <c r="F37" s="40" t="n"/>
      <c r="G37" s="40" t="n"/>
      <c r="H37" s="40" t="n"/>
      <c r="I37" s="41" t="n"/>
    </row>
    <row r="38" ht="24" customHeight="1" s="36">
      <c r="A38" s="2" t="n">
        <v>31</v>
      </c>
      <c r="B38" s="2" t="inlineStr">
        <is>
          <t>P5</t>
        </is>
      </c>
      <c r="C38" s="9" t="inlineStr">
        <is>
          <t>Enhance</t>
        </is>
      </c>
      <c r="D38" s="3" t="inlineStr">
        <is>
          <t>Browserbase + Vision Gov Portal Agent</t>
        </is>
      </c>
      <c r="E38" s="2" t="inlineStr">
        <is>
          <t>Gap 13</t>
        </is>
      </c>
      <c r="F38" s="2" t="inlineStr">
        <is>
          <t>AI navigates interactive portals. Vision fallback for layout changes.</t>
        </is>
      </c>
      <c r="G38" s="2" t="n">
        <v>5</v>
      </c>
      <c r="H38" s="5" t="inlineStr">
        <is>
          <t>LOW</t>
        </is>
      </c>
      <c r="I38" s="20" t="inlineStr">
        <is>
          <t>NOT STARTED</t>
        </is>
      </c>
    </row>
    <row r="39" ht="24" customHeight="1" s="36">
      <c r="A39" s="2" t="n">
        <v>32</v>
      </c>
      <c r="B39" s="2" t="inlineStr">
        <is>
          <t>P5</t>
        </is>
      </c>
      <c r="C39" s="9" t="inlineStr">
        <is>
          <t>Enhance</t>
        </is>
      </c>
      <c r="D39" s="3" t="inlineStr">
        <is>
          <t>PDF Vector Doc Processing</t>
        </is>
      </c>
      <c r="E39" s="2" t="inlineStr">
        <is>
          <t>Gap 14</t>
        </is>
      </c>
      <c r="F39" s="2" t="inlineStr">
        <is>
          <t>OCR scanned RFPs. Handle image-heavy docs.</t>
        </is>
      </c>
      <c r="G39" s="2" t="n">
        <v>3</v>
      </c>
      <c r="H39" s="5" t="inlineStr">
        <is>
          <t>LOW</t>
        </is>
      </c>
      <c r="I39" s="20" t="inlineStr">
        <is>
          <t>NOT STARTED</t>
        </is>
      </c>
    </row>
    <row r="40" ht="24" customHeight="1" s="36">
      <c r="A40" s="2" t="n">
        <v>33</v>
      </c>
      <c r="B40" s="2" t="inlineStr">
        <is>
          <t>P5</t>
        </is>
      </c>
      <c r="C40" s="9" t="inlineStr">
        <is>
          <t>Enhance</t>
        </is>
      </c>
      <c r="D40" s="3" t="inlineStr">
        <is>
          <t>Autonomous Morning Orchestrator</t>
        </is>
      </c>
      <c r="E40" s="2" t="inlineStr">
        <is>
          <t>All</t>
        </is>
      </c>
      <c r="F40" s="2" t="inlineStr">
        <is>
          <t>Master loop at 0600: scan → classify → alert → report.</t>
        </is>
      </c>
      <c r="G40" s="2" t="n">
        <v>3</v>
      </c>
      <c r="H40" s="5" t="inlineStr">
        <is>
          <t>LOW</t>
        </is>
      </c>
      <c r="I40" s="20" t="inlineStr">
        <is>
          <t>NOT STARTED</t>
        </is>
      </c>
    </row>
    <row r="41" ht="24" customHeight="1" s="36">
      <c r="A41" s="2" t="n">
        <v>34</v>
      </c>
      <c r="B41" s="2" t="inlineStr">
        <is>
          <t>P5</t>
        </is>
      </c>
      <c r="C41" s="6" t="inlineStr">
        <is>
          <t>Consolidate</t>
        </is>
      </c>
      <c r="D41" s="3" t="inlineStr">
        <is>
          <t>Remaining merges (relations, financial, dev utils)</t>
        </is>
      </c>
      <c r="E41" s="2" t="inlineStr">
        <is>
          <t>Cleanup</t>
        </is>
      </c>
      <c r="F41" s="2" t="inlineStr">
        <is>
          <t>Final cleanup pass.</t>
        </is>
      </c>
      <c r="G41" s="2" t="n">
        <v>4</v>
      </c>
      <c r="H41" s="5" t="inlineStr">
        <is>
          <t>LOW</t>
        </is>
      </c>
      <c r="I41" s="20" t="inlineStr">
        <is>
          <t>NOT STARTED</t>
        </is>
      </c>
    </row>
    <row r="43">
      <c r="B43" s="47" t="inlineStr">
        <is>
          <t>S-153 ADDITIONS — SENIOR DEVOPS HARDENING CHARTER</t>
        </is>
      </c>
    </row>
    <row r="44">
      <c r="A44" s="43" t="inlineStr">
        <is>
          <t>35</t>
        </is>
      </c>
      <c r="B44" s="43" t="inlineStr">
        <is>
          <t>P0</t>
        </is>
      </c>
      <c r="C44" s="43" t="inlineStr">
        <is>
          <t>Harden</t>
        </is>
      </c>
      <c r="D44" s="43" t="inlineStr">
        <is>
          <t>Sweep all 152 workflows for queryParams→queryReplacement</t>
        </is>
      </c>
      <c r="E44" s="43" t="inlineStr">
        <is>
          <t>Pattern Fix</t>
        </is>
      </c>
      <c r="F44" s="43" t="inlineStr">
        <is>
          <t>Eliminates silent postgres v2.5 binding failures across the entire instance</t>
        </is>
      </c>
      <c r="G44" s="43" t="inlineStr">
        <is>
          <t>1</t>
        </is>
      </c>
      <c r="H44" s="43" t="inlineStr">
        <is>
          <t>CRITICAL</t>
        </is>
      </c>
      <c r="I44" s="46" t="inlineStr">
        <is>
          <t>IN-FLIGHT S-153</t>
        </is>
      </c>
    </row>
    <row r="45">
      <c r="A45" s="43" t="inlineStr">
        <is>
          <t>36</t>
        </is>
      </c>
      <c r="B45" s="43" t="inlineStr">
        <is>
          <t>P0</t>
        </is>
      </c>
      <c r="C45" s="43" t="inlineStr">
        <is>
          <t>Harden</t>
        </is>
      </c>
      <c r="D45" s="43" t="inlineStr">
        <is>
          <t>Sweep all Auth Check Code nodes for x-gda-key tolerance</t>
        </is>
      </c>
      <c r="E45" s="43" t="inlineStr">
        <is>
          <t>Pattern Fix</t>
        </is>
      </c>
      <c r="F45" s="43" t="inlineStr">
        <is>
          <t>Standardizes authentication, prevents future workflows from rejecting valid headers</t>
        </is>
      </c>
      <c r="G45" s="43" t="inlineStr">
        <is>
          <t>0.5</t>
        </is>
      </c>
      <c r="H45" s="43" t="inlineStr">
        <is>
          <t>CRITICAL</t>
        </is>
      </c>
      <c r="I45" s="46" t="inlineStr">
        <is>
          <t>IN-FLIGHT S-153</t>
        </is>
      </c>
    </row>
    <row r="46">
      <c r="A46" s="43" t="inlineStr">
        <is>
          <t>37</t>
        </is>
      </c>
      <c r="B46" s="43" t="inlineStr">
        <is>
          <t>P0</t>
        </is>
      </c>
      <c r="C46" s="43" t="inlineStr">
        <is>
          <t>Harden</t>
        </is>
      </c>
      <c r="D46" s="43" t="inlineStr">
        <is>
          <t>Defensive options.caseSensitive on all If/Switch nodes</t>
        </is>
      </c>
      <c r="E46" s="43" t="inlineStr">
        <is>
          <t>Pattern Fix</t>
        </is>
      </c>
      <c r="F46" s="43" t="inlineStr">
        <is>
          <t>Prevents typeVersion 2 crash class documented in WORKFLOW RULES sheet</t>
        </is>
      </c>
      <c r="G46" s="43" t="inlineStr">
        <is>
          <t>0.5</t>
        </is>
      </c>
      <c r="H46" s="43" t="inlineStr">
        <is>
          <t>HIGH</t>
        </is>
      </c>
      <c r="I46" s="46" t="inlineStr">
        <is>
          <t>IN-FLIGHT S-153</t>
        </is>
      </c>
    </row>
    <row r="47">
      <c r="A47" s="43" t="inlineStr">
        <is>
          <t>38</t>
        </is>
      </c>
      <c r="B47" s="43" t="inlineStr">
        <is>
          <t>P0</t>
        </is>
      </c>
      <c r="C47" s="43" t="inlineStr">
        <is>
          <t>Harden</t>
        </is>
      </c>
      <c r="D47" s="43" t="inlineStr">
        <is>
          <t>Source attribution audit on all data tables</t>
        </is>
      </c>
      <c r="E47" s="43" t="inlineStr">
        <is>
          <t>Compliance</t>
        </is>
      </c>
      <c r="F47" s="43" t="inlineStr">
        <is>
          <t>Every record must have source column populated. Per PLATFORM SPECS rule.</t>
        </is>
      </c>
      <c r="G47" s="43" t="inlineStr">
        <is>
          <t>1</t>
        </is>
      </c>
      <c r="H47" s="43" t="inlineStr">
        <is>
          <t>HIGH</t>
        </is>
      </c>
      <c r="I47" s="46" t="inlineStr">
        <is>
          <t>IN-FLIGHT S-153</t>
        </is>
      </c>
    </row>
    <row r="48">
      <c r="A48" s="43" t="inlineStr">
        <is>
          <t>39</t>
        </is>
      </c>
      <c r="B48" s="43" t="inlineStr">
        <is>
          <t>P0</t>
        </is>
      </c>
      <c r="C48" s="43" t="inlineStr">
        <is>
          <t>Harden</t>
        </is>
      </c>
      <c r="D48" s="43" t="inlineStr">
        <is>
          <t>End-to-end validation of all user-facing webhooks (24)</t>
        </is>
      </c>
      <c r="E48" s="43" t="inlineStr">
        <is>
          <t>Validation</t>
        </is>
      </c>
      <c r="F48" s="43" t="inlineStr">
        <is>
          <t>HTTP 200 + persistence proof + source attribution check</t>
        </is>
      </c>
      <c r="G48" s="43" t="inlineStr">
        <is>
          <t>1</t>
        </is>
      </c>
      <c r="H48" s="43" t="inlineStr">
        <is>
          <t>HIGH</t>
        </is>
      </c>
      <c r="I48" s="46" t="inlineStr">
        <is>
          <t>IN-FLIGHT S-153</t>
        </is>
      </c>
    </row>
    <row r="49">
      <c r="A49" s="43" t="inlineStr">
        <is>
          <t>40</t>
        </is>
      </c>
      <c r="B49" s="43" t="inlineStr">
        <is>
          <t>P0</t>
        </is>
      </c>
      <c r="C49" s="43" t="inlineStr">
        <is>
          <t>Harden</t>
        </is>
      </c>
      <c r="D49" s="43" t="inlineStr">
        <is>
          <t>Workflow version locks on critical workflows</t>
        </is>
      </c>
      <c r="E49" s="43" t="inlineStr">
        <is>
          <t>Regression Prevention</t>
        </is>
      </c>
      <c r="F49" s="43" t="inlineStr">
        <is>
          <t>Capture-plan, dashboard-mega, opp-tracker, launchpad-funnel, aop-tracker get versionId pin + rollback procedure</t>
        </is>
      </c>
      <c r="G49" s="43" t="inlineStr">
        <is>
          <t>0.5</t>
        </is>
      </c>
      <c r="H49" s="43" t="inlineStr">
        <is>
          <t>HIGH</t>
        </is>
      </c>
      <c r="I49" s="46" t="inlineStr">
        <is>
          <t>IN-FLIGHT S-153</t>
        </is>
      </c>
    </row>
  </sheetData>
  <autoFilter ref="A1:I1"/>
  <mergeCells count="6">
    <mergeCell ref="A2:I2"/>
    <mergeCell ref="A11:I11"/>
    <mergeCell ref="A37:I37"/>
    <mergeCell ref="A18:I18"/>
    <mergeCell ref="A24:I24"/>
    <mergeCell ref="A30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36" min="1" max="1"/>
    <col width="16" customWidth="1" style="36" min="2" max="2"/>
    <col width="12" customWidth="1" style="36" min="3" max="3"/>
    <col width="14" customWidth="1" style="36" min="4" max="4"/>
    <col width="12" customWidth="1" style="36" min="5" max="5"/>
    <col width="10" customWidth="1" style="36" min="6" max="6"/>
    <col width="56" customWidth="1" style="36" min="7" max="7"/>
  </cols>
  <sheetData>
    <row r="1" ht="25.5" customHeight="1" s="36">
      <c r="A1" s="1" t="inlineStr">
        <is>
          <t>Phase</t>
        </is>
      </c>
      <c r="B1" s="1" t="inlineStr">
        <is>
          <t>Timeframe</t>
        </is>
      </c>
      <c r="C1" s="1" t="inlineStr">
        <is>
          <t>Harden Days</t>
        </is>
      </c>
      <c r="D1" s="1" t="inlineStr">
        <is>
          <t>Consolidate Days</t>
        </is>
      </c>
      <c r="E1" s="1" t="inlineStr">
        <is>
          <t>Enhance Days</t>
        </is>
      </c>
      <c r="F1" s="1" t="inlineStr">
        <is>
          <t>Total Days</t>
        </is>
      </c>
      <c r="G1" s="1" t="inlineStr">
        <is>
          <t>What You Get</t>
        </is>
      </c>
    </row>
    <row r="2" ht="36" customHeight="1" s="36">
      <c r="A2" s="2" t="inlineStr">
        <is>
          <t>Phase 0</t>
        </is>
      </c>
      <c r="B2" s="2" t="inlineStr">
        <is>
          <t>This week</t>
        </is>
      </c>
      <c r="C2" s="2" t="n">
        <v>14.5</v>
      </c>
      <c r="D2" s="2" t="n">
        <v>0</v>
      </c>
      <c r="E2" s="2" t="n">
        <v>0</v>
      </c>
      <c r="F2" s="2" t="n">
        <v>14.5</v>
      </c>
      <c r="G2" s="3" t="inlineStr">
        <is>
          <t>All 129 webhooks secured. Error handling on 74 workflows. SQL injection fixed. n8n updated. Task Runners configured. HITL governance gates added.</t>
        </is>
      </c>
    </row>
    <row r="3" ht="24" customHeight="1" s="36">
      <c r="A3" s="2" t="inlineStr">
        <is>
          <t>Phase 1</t>
        </is>
      </c>
      <c r="B3" s="2" t="inlineStr">
        <is>
          <t>Weeks 2-3</t>
        </is>
      </c>
      <c r="C3" s="2" t="n">
        <v>0</v>
      </c>
      <c r="D3" s="2" t="n">
        <v>13</v>
      </c>
      <c r="E3" s="2" t="n">
        <v>7</v>
      </c>
      <c r="F3" s="2" t="n">
        <v>20</v>
      </c>
      <c r="G3" s="3" t="inlineStr">
        <is>
          <t>4 mega-workflows consolidate 27 old ones. Morning briefing running. SAM.gov scanner live.</t>
        </is>
      </c>
    </row>
    <row r="4" ht="24" customHeight="1" s="36">
      <c r="A4" s="2" t="inlineStr">
        <is>
          <t>Phase 2</t>
        </is>
      </c>
      <c r="B4" s="2" t="inlineStr">
        <is>
          <t>Weeks 3-4</t>
        </is>
      </c>
      <c r="C4" s="2" t="n">
        <v>0</v>
      </c>
      <c r="D4" s="2" t="n">
        <v>3.5</v>
      </c>
      <c r="E4" s="2" t="n">
        <v>16</v>
      </c>
      <c r="F4" s="2" t="n">
        <v>19.5</v>
      </c>
      <c r="G4" s="3" t="inlineStr">
        <is>
          <t>Dashboard consolidated. PGVector semantic search. RAG chatbot. Telegram bot on your phone.</t>
        </is>
      </c>
    </row>
    <row r="5" ht="24" customHeight="1" s="36">
      <c r="A5" s="2" t="inlineStr">
        <is>
          <t>Phase 3</t>
        </is>
      </c>
      <c r="B5" s="2" t="inlineStr">
        <is>
          <t>Month 2</t>
        </is>
      </c>
      <c r="C5" s="2" t="n">
        <v>0</v>
      </c>
      <c r="D5" s="2" t="n">
        <v>0</v>
      </c>
      <c r="E5" s="2" t="n">
        <v>20</v>
      </c>
      <c r="F5" s="2" t="n">
        <v>20</v>
      </c>
      <c r="G5" s="3" t="inlineStr">
        <is>
          <t>Firecrawl competitor monitoring. Auto-indexing docs. Deep Research agent. Calendar sync. Embedded chat.</t>
        </is>
      </c>
    </row>
    <row r="6" ht="24" customHeight="1" s="36">
      <c r="A6" s="2" t="inlineStr">
        <is>
          <t>Phase 4</t>
        </is>
      </c>
      <c r="B6" s="2" t="inlineStr">
        <is>
          <t>Month 2-3</t>
        </is>
      </c>
      <c r="C6" s="2" t="n">
        <v>5</v>
      </c>
      <c r="D6" s="2" t="n">
        <v>0</v>
      </c>
      <c r="E6" s="2" t="n">
        <v>14</v>
      </c>
      <c r="F6" s="2" t="n">
        <v>19</v>
      </c>
      <c r="G6" s="3" t="inlineStr">
        <is>
          <t>Email SITREPs. Milestone alerts. SMS failsafe. Quick-entry form. Remaining SQL hardening.</t>
        </is>
      </c>
    </row>
    <row r="7" ht="24" customHeight="1" s="36">
      <c r="A7" s="2" t="inlineStr">
        <is>
          <t>Phase 5</t>
        </is>
      </c>
      <c r="B7" s="2" t="inlineStr">
        <is>
          <t>Month 3</t>
        </is>
      </c>
      <c r="C7" s="2" t="n">
        <v>0</v>
      </c>
      <c r="D7" s="2" t="n">
        <v>4</v>
      </c>
      <c r="E7" s="2" t="n">
        <v>11</v>
      </c>
      <c r="F7" s="2" t="n">
        <v>15</v>
      </c>
      <c r="G7" s="3" t="inlineStr">
        <is>
          <t>Browser automation. PDF OCR. Autonomous morning loop. Final cleanup.</t>
        </is>
      </c>
    </row>
    <row r="8" ht="36" customHeight="1" s="36">
      <c r="A8" s="21" t="inlineStr">
        <is>
          <t>TOTAL</t>
        </is>
      </c>
      <c r="B8" s="21" t="inlineStr">
        <is>
          <t>~3 months</t>
        </is>
      </c>
      <c r="C8" s="21" t="n">
        <v>19.5</v>
      </c>
      <c r="D8" s="21" t="n">
        <v>20.5</v>
      </c>
      <c r="E8" s="21" t="n">
        <v>68</v>
      </c>
      <c r="F8" s="21" t="n">
        <v>108</v>
      </c>
      <c r="G8" s="22" t="inlineStr">
        <is>
          <t>From 148 fragmented workflows → ~100 clean, secure, consolidated workflows. Mobile access. Semantic search. Proactive intelligence. Governed outputs.</t>
        </is>
      </c>
    </row>
    <row r="10">
      <c r="A10" s="28" t="inlineStr">
        <is>
          <t>COMPLETED (S-136→S-144)</t>
        </is>
      </c>
      <c r="B10" t="inlineStr">
        <is>
          <t>Apr 7, 2026</t>
        </is>
      </c>
      <c r="G10" t="inlineStr">
        <is>
          <t>P0 Harden DONE: SQL param 22WF/32 nodes, Task Runners, HITL gates, dead WF cleanup. P2: Dashboard mega (5→3 API calls), PGVector 761 vectors, Contract Waterfall API. Cron fleet stabilized (~400 errors/day→0). Collation fixed.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6" min="1" max="1"/>
    <col width="22" customWidth="1" style="36" min="2" max="2"/>
    <col width="44" customWidth="1" style="36" min="3" max="3"/>
    <col width="36" customWidth="1" style="36" min="4" max="4"/>
    <col width="8" customWidth="1" style="36" min="5" max="5"/>
  </cols>
  <sheetData>
    <row r="1">
      <c r="A1" s="1" t="inlineStr">
        <is>
          <t>Channel</t>
        </is>
      </c>
      <c r="B1" s="1" t="inlineStr">
        <is>
          <t>When You Use It</t>
        </is>
      </c>
      <c r="C1" s="1" t="inlineStr">
        <is>
          <t>What You Can Do</t>
        </is>
      </c>
      <c r="D1" s="1" t="inlineStr">
        <is>
          <t>Why This One</t>
        </is>
      </c>
      <c r="E1" s="1" t="inlineStr">
        <is>
          <t>Phase</t>
        </is>
      </c>
    </row>
    <row r="2" ht="24" customHeight="1" s="36">
      <c r="A2" s="9" t="inlineStr">
        <is>
          <t>gda.csr-llc.tech (EXISTS)</t>
        </is>
      </c>
      <c r="B2" s="3" t="inlineStr">
        <is>
          <t>At desk, deep work</t>
        </is>
      </c>
      <c r="C2" s="3" t="inlineStr">
        <is>
          <t>Full platform: all tabs, all AI tools, all charts. This is HQ.</t>
        </is>
      </c>
      <c r="D2" s="3" t="inlineStr">
        <is>
          <t>Primary interface. Everything else supplements.</t>
        </is>
      </c>
      <c r="E2" s="2" t="inlineStr">
        <is>
          <t>—</t>
        </is>
      </c>
    </row>
    <row r="3" ht="48" customHeight="1" s="36">
      <c r="A3" s="23" t="inlineStr">
        <is>
          <t>Telegram Bot (ADD)</t>
        </is>
      </c>
      <c r="B3" s="3" t="inlineStr">
        <is>
          <t>On the move, quick checks, approvals</t>
        </is>
      </c>
      <c r="C3" s="3" t="inlineStr">
        <is>
          <t>Text "pipeline health" "CRITICAL deadlines" "run briefing". Voice notes → actions. Approve/reject bids with a tap via Send-and-Wait.</t>
        </is>
      </c>
      <c r="D3" s="3" t="inlineStr">
        <is>
          <t>Replaces Slack/Teams/WhatsApp. Free. Private. Works everywhere. Richest messaging API. Also serves as HITL approval channel.</t>
        </is>
      </c>
      <c r="E3" s="2" t="inlineStr">
        <is>
          <t>P2</t>
        </is>
      </c>
    </row>
    <row r="4" ht="36" customHeight="1" s="36">
      <c r="A4" s="23" t="inlineStr">
        <is>
          <t>Email Digest (ADD)</t>
        </is>
      </c>
      <c r="B4" s="3" t="inlineStr">
        <is>
          <t>Morning with coffee</t>
        </is>
      </c>
      <c r="C4" s="3" t="inlineStr">
        <is>
          <t>Morning briefing: new SAM opps, defense news, pipeline changes, deadlines. Weekly SITREP auto-delivered.</t>
        </is>
      </c>
      <c r="D4" s="3" t="inlineStr">
        <is>
          <t>Passive intel. Inbox you already check. Zero new apps.</t>
        </is>
      </c>
      <c r="E4" s="2" t="inlineStr">
        <is>
          <t>P1+P4</t>
        </is>
      </c>
    </row>
    <row r="5" ht="24" customHeight="1" s="36">
      <c r="A5" s="23" t="inlineStr">
        <is>
          <t>Embedded Chat (ADD)</t>
        </is>
      </c>
      <c r="B5" s="3" t="inlineStr">
        <is>
          <t>Already on platform</t>
        </is>
      </c>
      <c r="C5" s="3" t="inlineStr">
        <is>
          <t>Natural language Q&amp;A: "What did we submit for IEW&amp;S?" RAG-powered answers from your own data.</t>
        </is>
      </c>
      <c r="D5" s="3" t="inlineStr">
        <is>
          <t>For when youre at the computer and want conversational access.</t>
        </is>
      </c>
      <c r="E5" s="2" t="inlineStr">
        <is>
          <t>P3</t>
        </is>
      </c>
    </row>
    <row r="6" ht="24" customHeight="1" s="36">
      <c r="A6" s="23" t="inlineStr">
        <is>
          <t>SMS Twilio (ADD)</t>
        </is>
      </c>
      <c r="B6" s="3" t="inlineStr">
        <is>
          <t>Emergency only</t>
        </is>
      </c>
      <c r="C6" s="3" t="inlineStr">
        <is>
          <t>Receives: "IEW&amp;S due in 24hrs — 2 open items." Thats it.</t>
        </is>
      </c>
      <c r="D6" s="3" t="inlineStr">
        <is>
          <t>Last-resort failsafe. Reaches you if you ignore everything else. Pennies/month.</t>
        </is>
      </c>
      <c r="E6" s="2" t="inlineStr">
        <is>
          <t>P4</t>
        </is>
      </c>
    </row>
    <row r="7" ht="24" customHeight="1" s="36">
      <c r="A7" s="23" t="inlineStr">
        <is>
          <t>n8n Form (ADD)</t>
        </is>
      </c>
      <c r="B7" s="3" t="inlineStr">
        <is>
          <t>Quick mobile data entry</t>
        </is>
      </c>
      <c r="C7" s="3" t="inlineStr">
        <is>
          <t>Bookmarked URL → drop opp URL, upload RFP, request capture plan.</t>
        </is>
      </c>
      <c r="D7" s="3" t="inlineStr">
        <is>
          <t>Faster than full platform nav for simple submissions.</t>
        </is>
      </c>
      <c r="E7" s="2" t="inlineStr">
        <is>
          <t>P4</t>
        </is>
      </c>
    </row>
    <row r="8" ht="24" customHeight="1" s="36">
      <c r="A8" s="3" t="inlineStr">
        <is>
          <t>Slack/Teams/WhatsApp</t>
        </is>
      </c>
      <c r="B8" s="3" t="inlineStr">
        <is>
          <t>KILLED</t>
        </is>
      </c>
      <c r="C8" s="3" t="inlineStr">
        <is>
          <t>—</t>
        </is>
      </c>
      <c r="D8" s="3" t="inlineStr">
        <is>
          <t>Nobody on the other end. Solo operator doesnt need team collab tools.</t>
        </is>
      </c>
      <c r="E8" s="2" t="inlineStr">
        <is>
          <t>—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6"/>
  <sheetViews>
    <sheetView tabSelected="1" workbookViewId="0">
      <pane ySplit="1" topLeftCell="A56" activePane="bottomLeft" state="frozen"/>
      <selection pane="bottomLeft" activeCell="A1" sqref="A1"/>
    </sheetView>
  </sheetViews>
  <sheetFormatPr baseColWidth="8" defaultRowHeight="15"/>
  <cols>
    <col width="4" customWidth="1" style="36" min="1" max="1"/>
    <col width="14" customWidth="1" style="36" min="2" max="2"/>
    <col width="24" customWidth="1" style="36" min="3" max="3"/>
    <col width="32" customWidth="1" style="36" min="4" max="4"/>
    <col width="10.85546875" customWidth="1" style="36" min="5" max="5"/>
    <col width="6" customWidth="1" style="36" min="6" max="6"/>
    <col width="8" customWidth="1" style="36" min="7" max="7"/>
  </cols>
  <sheetData>
    <row r="1" ht="38.25" customHeight="1" s="36">
      <c r="A1" s="1" t="inlineStr">
        <is>
          <t>#</t>
        </is>
      </c>
      <c r="B1" s="1" t="inlineStr">
        <is>
          <t>Domain</t>
        </is>
      </c>
      <c r="C1" s="1" t="inlineStr">
        <is>
          <t>Capability</t>
        </is>
      </c>
      <c r="D1" s="1" t="inlineStr">
        <is>
          <t>Workflow</t>
        </is>
      </c>
      <c r="E1" s="1" t="inlineStr">
        <is>
          <t>Active</t>
        </is>
      </c>
      <c r="F1" s="1" t="inlineStr">
        <is>
          <t>Auth?</t>
        </is>
      </c>
      <c r="G1" s="1" t="inlineStr">
        <is>
          <t>Err Handler?</t>
        </is>
      </c>
    </row>
    <row r="2">
      <c r="A2" s="2" t="n">
        <v>1</v>
      </c>
      <c r="B2" s="3" t="inlineStr">
        <is>
          <t>Opp Intel</t>
        </is>
      </c>
      <c r="C2" s="3" t="inlineStr">
        <is>
          <t>Opportunity Tracker (420+)</t>
        </is>
      </c>
      <c r="D2" s="3" t="inlineStr">
        <is>
          <t>opp-tracker 2</t>
        </is>
      </c>
      <c r="E2" s="5" t="inlineStr">
        <is>
          <t>Y</t>
        </is>
      </c>
      <c r="F2" s="18" t="inlineStr">
        <is>
          <t>Y</t>
        </is>
      </c>
      <c r="G2" s="5" t="inlineStr">
        <is>
          <t>Y</t>
        </is>
      </c>
    </row>
    <row r="3">
      <c r="A3" s="2" t="n">
        <v>2</v>
      </c>
      <c r="B3" s="3" t="inlineStr">
        <is>
          <t>Opp Intel</t>
        </is>
      </c>
      <c r="C3" s="3" t="inlineStr">
        <is>
          <t>Opportunity Search</t>
        </is>
      </c>
      <c r="D3" s="3" t="inlineStr">
        <is>
          <t>opp-search</t>
        </is>
      </c>
      <c r="E3" s="5" t="inlineStr">
        <is>
          <t>Y</t>
        </is>
      </c>
      <c r="F3" s="18" t="inlineStr">
        <is>
          <t>Y</t>
        </is>
      </c>
      <c r="G3" s="18" t="inlineStr">
        <is>
          <t>Y</t>
        </is>
      </c>
    </row>
    <row r="4">
      <c r="A4" s="2" t="n">
        <v>3</v>
      </c>
      <c r="B4" s="3" t="inlineStr">
        <is>
          <t>Opp Intel</t>
        </is>
      </c>
      <c r="C4" s="3" t="inlineStr">
        <is>
          <t>Saved Opportunities</t>
        </is>
      </c>
      <c r="D4" s="3" t="inlineStr">
        <is>
          <t>saved-opps</t>
        </is>
      </c>
      <c r="E4" s="5" t="inlineStr">
        <is>
          <t>Y</t>
        </is>
      </c>
      <c r="F4" s="18" t="inlineStr">
        <is>
          <t>Y</t>
        </is>
      </c>
      <c r="G4" s="5" t="inlineStr">
        <is>
          <t>Y</t>
        </is>
      </c>
    </row>
    <row r="5">
      <c r="A5" s="2" t="n">
        <v>4</v>
      </c>
      <c r="B5" s="3" t="inlineStr">
        <is>
          <t>Opp Intel</t>
        </is>
      </c>
      <c r="C5" s="3" t="inlineStr">
        <is>
          <t>GovTribe Feed</t>
        </is>
      </c>
      <c r="D5" s="3" t="inlineStr">
        <is>
          <t>govwin-feed</t>
        </is>
      </c>
      <c r="E5" s="5" t="inlineStr">
        <is>
          <t>Y</t>
        </is>
      </c>
      <c r="F5" s="18" t="inlineStr">
        <is>
          <t>Y</t>
        </is>
      </c>
      <c r="G5" s="18" t="inlineStr">
        <is>
          <t>Y</t>
        </is>
      </c>
    </row>
    <row r="6">
      <c r="A6" s="2" t="n">
        <v>5</v>
      </c>
      <c r="B6" s="3" t="inlineStr">
        <is>
          <t>Opp Intel</t>
        </is>
      </c>
      <c r="C6" s="3" t="inlineStr">
        <is>
          <t>Broad Opp Search</t>
        </is>
      </c>
      <c r="D6" s="3" t="inlineStr">
        <is>
          <t>broad-opp-search</t>
        </is>
      </c>
      <c r="E6" s="5" t="inlineStr">
        <is>
          <t>Y</t>
        </is>
      </c>
      <c r="F6" s="18" t="inlineStr">
        <is>
          <t>Y</t>
        </is>
      </c>
      <c r="G6" s="18" t="inlineStr">
        <is>
          <t>Y</t>
        </is>
      </c>
    </row>
    <row r="7">
      <c r="A7" s="2" t="n">
        <v>6</v>
      </c>
      <c r="B7" s="3" t="inlineStr">
        <is>
          <t>Opp Intel</t>
        </is>
      </c>
      <c r="C7" s="3" t="inlineStr">
        <is>
          <t>On-Ramp Scanner</t>
        </is>
      </c>
      <c r="D7" s="3" t="inlineStr">
        <is>
          <t>on-ramp-scanner</t>
        </is>
      </c>
      <c r="E7" s="5" t="inlineStr">
        <is>
          <t>Y</t>
        </is>
      </c>
      <c r="F7" s="20" t="inlineStr">
        <is>
          <t>Y</t>
        </is>
      </c>
      <c r="G7" s="18" t="inlineStr">
        <is>
          <t>Y</t>
        </is>
      </c>
    </row>
    <row r="8">
      <c r="A8" s="2" t="n">
        <v>7</v>
      </c>
      <c r="B8" s="3" t="inlineStr">
        <is>
          <t>Opp Intel</t>
        </is>
      </c>
      <c r="C8" s="3" t="inlineStr">
        <is>
          <t>Dept Sweep</t>
        </is>
      </c>
      <c r="D8" s="3" t="inlineStr">
        <is>
          <t>dept-opp-sweep</t>
        </is>
      </c>
      <c r="E8" s="5" t="inlineStr">
        <is>
          <t>Y</t>
        </is>
      </c>
      <c r="F8" s="18" t="inlineStr">
        <is>
          <t>Y</t>
        </is>
      </c>
      <c r="G8" s="5" t="inlineStr">
        <is>
          <t>Y</t>
        </is>
      </c>
    </row>
    <row r="9">
      <c r="A9" s="2" t="n">
        <v>8</v>
      </c>
      <c r="B9" s="3" t="inlineStr">
        <is>
          <t>Opp Intel</t>
        </is>
      </c>
      <c r="C9" s="3" t="inlineStr">
        <is>
          <t>Forecast Ingest</t>
        </is>
      </c>
      <c r="D9" s="3" t="inlineStr">
        <is>
          <t>forecast-ingest</t>
        </is>
      </c>
      <c r="E9" s="5" t="inlineStr">
        <is>
          <t>Y</t>
        </is>
      </c>
      <c r="F9" s="18" t="inlineStr">
        <is>
          <t>Y</t>
        </is>
      </c>
      <c r="G9" s="18" t="inlineStr">
        <is>
          <t>Y</t>
        </is>
      </c>
    </row>
    <row r="10">
      <c r="A10" s="2" t="n">
        <v>9</v>
      </c>
      <c r="B10" s="3" t="inlineStr">
        <is>
          <t>Opp Intel</t>
        </is>
      </c>
      <c r="C10" s="3" t="inlineStr">
        <is>
          <t>Amendment Monitor</t>
        </is>
      </c>
      <c r="D10" s="3" t="inlineStr">
        <is>
          <t>amendment-monitor</t>
        </is>
      </c>
      <c r="E10" s="5" t="inlineStr">
        <is>
          <t>Y</t>
        </is>
      </c>
      <c r="F10" s="20" t="inlineStr">
        <is>
          <t>Y</t>
        </is>
      </c>
      <c r="G10" s="5" t="inlineStr">
        <is>
          <t>Y</t>
        </is>
      </c>
    </row>
    <row r="11">
      <c r="A11" s="2" t="n">
        <v>10</v>
      </c>
      <c r="B11" s="3" t="inlineStr">
        <is>
          <t>Opp Intel</t>
        </is>
      </c>
      <c r="C11" s="3" t="inlineStr">
        <is>
          <t>Change Detector</t>
        </is>
      </c>
      <c r="D11" s="3" t="inlineStr">
        <is>
          <t>change-detector</t>
        </is>
      </c>
      <c r="E11" s="5" t="inlineStr">
        <is>
          <t>Y</t>
        </is>
      </c>
      <c r="F11" s="20" t="inlineStr">
        <is>
          <t>Y</t>
        </is>
      </c>
      <c r="G11" s="5" t="inlineStr">
        <is>
          <t>Y</t>
        </is>
      </c>
    </row>
    <row r="12">
      <c r="A12" s="2" t="n">
        <v>11</v>
      </c>
      <c r="B12" s="3" t="inlineStr">
        <is>
          <t>Capture</t>
        </is>
      </c>
      <c r="C12" s="3" t="inlineStr">
        <is>
          <t>Capture Plan (Shipley v2)</t>
        </is>
      </c>
      <c r="D12" s="3" t="inlineStr">
        <is>
          <t>capture-plan</t>
        </is>
      </c>
      <c r="E12" s="5" t="inlineStr">
        <is>
          <t>Y</t>
        </is>
      </c>
      <c r="F12" s="18" t="inlineStr">
        <is>
          <t>Y</t>
        </is>
      </c>
      <c r="G12" s="5" t="inlineStr">
        <is>
          <t>Y</t>
        </is>
      </c>
    </row>
    <row r="13">
      <c r="A13" s="2" t="n">
        <v>12</v>
      </c>
      <c r="B13" s="3" t="inlineStr">
        <is>
          <t>Capture</t>
        </is>
      </c>
      <c r="C13" s="3" t="inlineStr">
        <is>
          <t>Auto Capture Plans</t>
        </is>
      </c>
      <c r="D13" s="3" t="inlineStr">
        <is>
          <t>auto-capture-plans</t>
        </is>
      </c>
      <c r="E13" s="5" t="inlineStr">
        <is>
          <t>Y</t>
        </is>
      </c>
      <c r="F13" s="20" t="inlineStr">
        <is>
          <t>Y</t>
        </is>
      </c>
      <c r="G13" s="5" t="inlineStr">
        <is>
          <t>Y</t>
        </is>
      </c>
    </row>
    <row r="14">
      <c r="A14" s="2" t="n">
        <v>13</v>
      </c>
      <c r="B14" s="3" t="inlineStr">
        <is>
          <t>Capture</t>
        </is>
      </c>
      <c r="C14" s="3" t="inlineStr">
        <is>
          <t>Capture Intelligence</t>
        </is>
      </c>
      <c r="D14" s="3" t="inlineStr">
        <is>
          <t>capture-intel</t>
        </is>
      </c>
      <c r="E14" s="5" t="inlineStr">
        <is>
          <t>Y</t>
        </is>
      </c>
      <c r="F14" s="18" t="inlineStr">
        <is>
          <t>Y</t>
        </is>
      </c>
      <c r="G14" s="5" t="inlineStr">
        <is>
          <t>Y</t>
        </is>
      </c>
    </row>
    <row r="15">
      <c r="A15" s="2" t="n">
        <v>14</v>
      </c>
      <c r="B15" s="3" t="inlineStr">
        <is>
          <t>Capture</t>
        </is>
      </c>
      <c r="C15" s="3" t="inlineStr">
        <is>
          <t>OODA Loop</t>
        </is>
      </c>
      <c r="D15" s="3" t="inlineStr">
        <is>
          <t>ooda-loop 2</t>
        </is>
      </c>
      <c r="E15" s="5" t="inlineStr">
        <is>
          <t>Y</t>
        </is>
      </c>
      <c r="F15" s="18" t="inlineStr">
        <is>
          <t>Y</t>
        </is>
      </c>
      <c r="G15" s="5" t="inlineStr">
        <is>
          <t>Y</t>
        </is>
      </c>
    </row>
    <row r="16">
      <c r="A16" s="2" t="n">
        <v>15</v>
      </c>
      <c r="B16" s="3" t="inlineStr">
        <is>
          <t>Capture</t>
        </is>
      </c>
      <c r="C16" s="3" t="inlineStr">
        <is>
          <t>PWin Calculator</t>
        </is>
      </c>
      <c r="D16" s="3" t="inlineStr">
        <is>
          <t>pwin-calculator</t>
        </is>
      </c>
      <c r="E16" s="5" t="inlineStr">
        <is>
          <t>Y</t>
        </is>
      </c>
      <c r="F16" s="18" t="inlineStr">
        <is>
          <t>Y</t>
        </is>
      </c>
      <c r="G16" s="5" t="inlineStr">
        <is>
          <t>Y</t>
        </is>
      </c>
    </row>
    <row r="17">
      <c r="A17" s="2" t="n">
        <v>16</v>
      </c>
      <c r="B17" s="3" t="inlineStr">
        <is>
          <t>Capture</t>
        </is>
      </c>
      <c r="C17" s="3" t="inlineStr">
        <is>
          <t>Opp Classifier</t>
        </is>
      </c>
      <c r="D17" s="3" t="inlineStr">
        <is>
          <t>opp-classifier</t>
        </is>
      </c>
      <c r="E17" s="5" t="inlineStr">
        <is>
          <t>Y</t>
        </is>
      </c>
      <c r="F17" s="18" t="inlineStr">
        <is>
          <t>Y</t>
        </is>
      </c>
      <c r="G17" s="18" t="inlineStr">
        <is>
          <t>Y</t>
        </is>
      </c>
    </row>
    <row r="18">
      <c r="A18" s="2" t="n">
        <v>17</v>
      </c>
      <c r="B18" s="3" t="inlineStr">
        <is>
          <t>Capture</t>
        </is>
      </c>
      <c r="C18" s="3" t="inlineStr">
        <is>
          <t>Stage Promotion</t>
        </is>
      </c>
      <c r="D18" s="3" t="inlineStr">
        <is>
          <t>opp-stage-promote</t>
        </is>
      </c>
      <c r="E18" s="5" t="inlineStr">
        <is>
          <t>Y</t>
        </is>
      </c>
      <c r="F18" s="20" t="inlineStr">
        <is>
          <t>Y</t>
        </is>
      </c>
      <c r="G18" s="18" t="inlineStr">
        <is>
          <t>Y</t>
        </is>
      </c>
    </row>
    <row r="19">
      <c r="A19" s="2" t="n">
        <v>18</v>
      </c>
      <c r="B19" s="3" t="inlineStr">
        <is>
          <t>Comp Intel</t>
        </is>
      </c>
      <c r="C19" s="3" t="inlineStr">
        <is>
          <t>Competitor Watchlist</t>
        </is>
      </c>
      <c r="D19" s="3" t="inlineStr">
        <is>
          <t>competitor-watchlist</t>
        </is>
      </c>
      <c r="E19" s="5" t="inlineStr">
        <is>
          <t>Y</t>
        </is>
      </c>
      <c r="F19" s="18" t="inlineStr">
        <is>
          <t>Y</t>
        </is>
      </c>
      <c r="G19" s="5" t="inlineStr">
        <is>
          <t>Y</t>
        </is>
      </c>
    </row>
    <row r="20">
      <c r="A20" s="2" t="n">
        <v>19</v>
      </c>
      <c r="B20" s="3" t="inlineStr">
        <is>
          <t>Comp Intel</t>
        </is>
      </c>
      <c r="C20" s="3" t="inlineStr">
        <is>
          <t>Comp Intel Dashboard</t>
        </is>
      </c>
      <c r="D20" s="3" t="inlineStr">
        <is>
          <t>comp-intel 2</t>
        </is>
      </c>
      <c r="E20" s="5" t="inlineStr">
        <is>
          <t>Y</t>
        </is>
      </c>
      <c r="F20" s="18" t="inlineStr">
        <is>
          <t>Y</t>
        </is>
      </c>
      <c r="G20" s="5" t="inlineStr">
        <is>
          <t>Y</t>
        </is>
      </c>
    </row>
    <row r="21">
      <c r="A21" s="2" t="n">
        <v>20</v>
      </c>
      <c r="B21" s="3" t="inlineStr">
        <is>
          <t>Comp Intel</t>
        </is>
      </c>
      <c r="C21" s="3" t="inlineStr">
        <is>
          <t>Threat Score</t>
        </is>
      </c>
      <c r="D21" s="3" t="inlineStr">
        <is>
          <t>competitor-threat-score</t>
        </is>
      </c>
      <c r="E21" s="5" t="inlineStr">
        <is>
          <t>Y</t>
        </is>
      </c>
      <c r="F21" s="18" t="inlineStr">
        <is>
          <t>Y</t>
        </is>
      </c>
      <c r="G21" s="5" t="inlineStr">
        <is>
          <t>Y</t>
        </is>
      </c>
    </row>
    <row r="22">
      <c r="A22" s="2" t="n">
        <v>21</v>
      </c>
      <c r="B22" s="3" t="inlineStr">
        <is>
          <t>Comp Intel</t>
        </is>
      </c>
      <c r="C22" s="3" t="inlineStr">
        <is>
          <t>Weekly Scan</t>
        </is>
      </c>
      <c r="D22" s="3" t="inlineStr">
        <is>
          <t>weekly-comp-scan</t>
        </is>
      </c>
      <c r="E22" s="5" t="inlineStr">
        <is>
          <t>Y</t>
        </is>
      </c>
      <c r="F22" s="20" t="inlineStr">
        <is>
          <t>Y</t>
        </is>
      </c>
      <c r="G22" s="18" t="inlineStr">
        <is>
          <t>Y</t>
        </is>
      </c>
    </row>
    <row r="23">
      <c r="A23" s="2" t="n">
        <v>22</v>
      </c>
      <c r="B23" s="3" t="inlineStr">
        <is>
          <t>Comp Intel</t>
        </is>
      </c>
      <c r="C23" s="3" t="inlineStr">
        <is>
          <t>Incumbent Analysis</t>
        </is>
      </c>
      <c r="D23" s="3" t="inlineStr">
        <is>
          <t>incumbent-analysis</t>
        </is>
      </c>
      <c r="E23" s="5" t="inlineStr">
        <is>
          <t>Y</t>
        </is>
      </c>
      <c r="F23" s="18" t="inlineStr">
        <is>
          <t>Y</t>
        </is>
      </c>
      <c r="G23" s="5" t="inlineStr">
        <is>
          <t>Y</t>
        </is>
      </c>
    </row>
    <row r="24">
      <c r="A24" s="2" t="n">
        <v>23</v>
      </c>
      <c r="B24" s="3" t="inlineStr">
        <is>
          <t>Proposal</t>
        </is>
      </c>
      <c r="C24" s="3" t="inlineStr">
        <is>
          <t>Doc Ingest</t>
        </is>
      </c>
      <c r="D24" s="3" t="inlineStr">
        <is>
          <t>doc-ingest</t>
        </is>
      </c>
      <c r="E24" s="5" t="inlineStr">
        <is>
          <t>Y</t>
        </is>
      </c>
      <c r="F24" s="18" t="inlineStr">
        <is>
          <t>Y</t>
        </is>
      </c>
      <c r="G24" s="5" t="inlineStr">
        <is>
          <t>Y</t>
        </is>
      </c>
    </row>
    <row r="25">
      <c r="A25" s="2" t="n">
        <v>24</v>
      </c>
      <c r="B25" s="3" t="inlineStr">
        <is>
          <t>Proposal</t>
        </is>
      </c>
      <c r="C25" s="3" t="inlineStr">
        <is>
          <t>Doc Compare</t>
        </is>
      </c>
      <c r="D25" s="3" t="inlineStr">
        <is>
          <t>doc-compare</t>
        </is>
      </c>
      <c r="E25" s="5" t="inlineStr">
        <is>
          <t>Y</t>
        </is>
      </c>
      <c r="F25" s="18" t="inlineStr">
        <is>
          <t>Y</t>
        </is>
      </c>
      <c r="G25" s="18" t="inlineStr">
        <is>
          <t>Y</t>
        </is>
      </c>
    </row>
    <row r="26">
      <c r="A26" s="2" t="n">
        <v>25</v>
      </c>
      <c r="B26" s="3" t="inlineStr">
        <is>
          <t>Proposal</t>
        </is>
      </c>
      <c r="C26" s="3" t="inlineStr">
        <is>
          <t>RAG Query</t>
        </is>
      </c>
      <c r="D26" s="3" t="inlineStr">
        <is>
          <t>rag-query</t>
        </is>
      </c>
      <c r="E26" s="5" t="inlineStr">
        <is>
          <t>Y</t>
        </is>
      </c>
      <c r="F26" s="18" t="inlineStr">
        <is>
          <t>Y</t>
        </is>
      </c>
      <c r="G26" s="18" t="inlineStr">
        <is>
          <t>Y</t>
        </is>
      </c>
    </row>
    <row r="27">
      <c r="A27" s="2" t="n">
        <v>26</v>
      </c>
      <c r="B27" s="3" t="inlineStr">
        <is>
          <t>Proposal</t>
        </is>
      </c>
      <c r="C27" s="3" t="inlineStr">
        <is>
          <t>Red Team</t>
        </is>
      </c>
      <c r="D27" s="3" t="inlineStr">
        <is>
          <t>red-team</t>
        </is>
      </c>
      <c r="E27" s="5" t="inlineStr">
        <is>
          <t>Y</t>
        </is>
      </c>
      <c r="F27" s="18" t="inlineStr">
        <is>
          <t>Y</t>
        </is>
      </c>
      <c r="G27" s="5" t="inlineStr">
        <is>
          <t>Y</t>
        </is>
      </c>
    </row>
    <row r="28">
      <c r="A28" s="2" t="n">
        <v>27</v>
      </c>
      <c r="B28" s="3" t="inlineStr">
        <is>
          <t>Proposal</t>
        </is>
      </c>
      <c r="C28" s="3" t="inlineStr">
        <is>
          <t>Black Hat</t>
        </is>
      </c>
      <c r="D28" s="3" t="inlineStr">
        <is>
          <t>black-hat</t>
        </is>
      </c>
      <c r="E28" s="5" t="inlineStr">
        <is>
          <t>Y</t>
        </is>
      </c>
      <c r="F28" s="18" t="inlineStr">
        <is>
          <t>Y</t>
        </is>
      </c>
      <c r="G28" s="5" t="inlineStr">
        <is>
          <t>Y</t>
        </is>
      </c>
    </row>
    <row r="29">
      <c r="A29" s="2" t="n">
        <v>28</v>
      </c>
      <c r="B29" s="3" t="inlineStr">
        <is>
          <t>Proposal</t>
        </is>
      </c>
      <c r="C29" s="3" t="inlineStr">
        <is>
          <t>Compliance Matrix</t>
        </is>
      </c>
      <c r="D29" s="3" t="inlineStr">
        <is>
          <t>compliance-matrix</t>
        </is>
      </c>
      <c r="E29" s="5" t="inlineStr">
        <is>
          <t>Y</t>
        </is>
      </c>
      <c r="F29" s="18" t="inlineStr">
        <is>
          <t>Y</t>
        </is>
      </c>
      <c r="G29" s="5" t="inlineStr">
        <is>
          <t>Y</t>
        </is>
      </c>
    </row>
    <row r="30">
      <c r="A30" s="2" t="n">
        <v>29</v>
      </c>
      <c r="B30" s="3" t="inlineStr">
        <is>
          <t>Proposal</t>
        </is>
      </c>
      <c r="C30" s="3" t="inlineStr">
        <is>
          <t>Clause Library</t>
        </is>
      </c>
      <c r="D30" s="3" t="inlineStr">
        <is>
          <t>clause-library</t>
        </is>
      </c>
      <c r="E30" s="5" t="inlineStr">
        <is>
          <t>Y</t>
        </is>
      </c>
      <c r="F30" s="18" t="inlineStr">
        <is>
          <t>Y</t>
        </is>
      </c>
      <c r="G30" s="5" t="inlineStr">
        <is>
          <t>Y</t>
        </is>
      </c>
    </row>
    <row r="31">
      <c r="A31" s="2" t="n">
        <v>30</v>
      </c>
      <c r="B31" s="3" t="inlineStr">
        <is>
          <t>Proposal</t>
        </is>
      </c>
      <c r="C31" s="3" t="inlineStr">
        <is>
          <t>Export Engine (51 nodes)</t>
        </is>
      </c>
      <c r="D31" s="3" t="inlineStr">
        <is>
          <t>export-engine</t>
        </is>
      </c>
      <c r="E31" s="5" t="inlineStr">
        <is>
          <t>Y</t>
        </is>
      </c>
      <c r="F31" s="18" t="inlineStr">
        <is>
          <t>Y</t>
        </is>
      </c>
      <c r="G31" s="5" t="inlineStr">
        <is>
          <t>Y</t>
        </is>
      </c>
    </row>
    <row r="32">
      <c r="A32" s="2" t="n">
        <v>31</v>
      </c>
      <c r="B32" s="3" t="inlineStr">
        <is>
          <t>Financial</t>
        </is>
      </c>
      <c r="C32" s="3" t="inlineStr">
        <is>
          <t>AOP Tracker</t>
        </is>
      </c>
      <c r="D32" s="3" t="inlineStr">
        <is>
          <t>aop-tracker</t>
        </is>
      </c>
      <c r="E32" s="5" t="inlineStr">
        <is>
          <t>Y</t>
        </is>
      </c>
      <c r="F32" s="18" t="inlineStr">
        <is>
          <t>Y</t>
        </is>
      </c>
      <c r="G32" s="18" t="inlineStr">
        <is>
          <t>Y</t>
        </is>
      </c>
    </row>
    <row r="33">
      <c r="A33" s="2" t="n">
        <v>32</v>
      </c>
      <c r="B33" s="3" t="inlineStr">
        <is>
          <t>Financial</t>
        </is>
      </c>
      <c r="C33" s="3" t="inlineStr">
        <is>
          <t>IDIQ Tracker</t>
        </is>
      </c>
      <c r="D33" s="3" t="inlineStr">
        <is>
          <t>idiq-tracker</t>
        </is>
      </c>
      <c r="E33" s="5" t="inlineStr">
        <is>
          <t>Y</t>
        </is>
      </c>
      <c r="F33" s="18" t="inlineStr">
        <is>
          <t>Y</t>
        </is>
      </c>
      <c r="G33" s="5" t="inlineStr">
        <is>
          <t>Y</t>
        </is>
      </c>
    </row>
    <row r="34">
      <c r="A34" s="2" t="n">
        <v>33</v>
      </c>
      <c r="B34" s="3" t="inlineStr">
        <is>
          <t>Financial</t>
        </is>
      </c>
      <c r="C34" s="3" t="inlineStr">
        <is>
          <t>FY Revenue Calc</t>
        </is>
      </c>
      <c r="D34" s="3" t="inlineStr">
        <is>
          <t>FY Revenue Auto-Calc</t>
        </is>
      </c>
      <c r="E34" s="5" t="inlineStr">
        <is>
          <t>Y</t>
        </is>
      </c>
      <c r="F34" s="18" t="inlineStr">
        <is>
          <t>Y</t>
        </is>
      </c>
      <c r="G34" s="18" t="inlineStr">
        <is>
          <t>Y</t>
        </is>
      </c>
    </row>
    <row r="35">
      <c r="A35" s="2" t="n">
        <v>34</v>
      </c>
      <c r="B35" s="3" t="inlineStr">
        <is>
          <t>AI</t>
        </is>
      </c>
      <c r="C35" s="3" t="inlineStr">
        <is>
          <t>Priority Score v2.1</t>
        </is>
      </c>
      <c r="D35" s="3" t="inlineStr">
        <is>
          <t>Priority Score v2.1</t>
        </is>
      </c>
      <c r="E35" s="5" t="inlineStr">
        <is>
          <t>Y</t>
        </is>
      </c>
      <c r="F35" s="18" t="inlineStr">
        <is>
          <t>Y</t>
        </is>
      </c>
      <c r="G35" s="18" t="inlineStr">
        <is>
          <t>Y</t>
        </is>
      </c>
    </row>
    <row r="36">
      <c r="A36" s="2" t="n">
        <v>35</v>
      </c>
      <c r="B36" s="3" t="inlineStr">
        <is>
          <t>AI</t>
        </is>
      </c>
      <c r="C36" s="3" t="inlineStr">
        <is>
          <t>Predictive Intel</t>
        </is>
      </c>
      <c r="D36" s="3" t="inlineStr">
        <is>
          <t>predictive-intel</t>
        </is>
      </c>
      <c r="E36" s="5" t="inlineStr">
        <is>
          <t>Y</t>
        </is>
      </c>
      <c r="F36" s="18" t="inlineStr">
        <is>
          <t>Y</t>
        </is>
      </c>
      <c r="G36" s="5" t="inlineStr">
        <is>
          <t>Y</t>
        </is>
      </c>
    </row>
    <row r="37">
      <c r="A37" s="2" t="n">
        <v>36</v>
      </c>
      <c r="B37" s="3" t="inlineStr">
        <is>
          <t>AI</t>
        </is>
      </c>
      <c r="C37" s="3" t="inlineStr">
        <is>
          <t>Smart Recommender</t>
        </is>
      </c>
      <c r="D37" s="3" t="inlineStr">
        <is>
          <t>Smart Recommender</t>
        </is>
      </c>
      <c r="E37" s="5" t="inlineStr">
        <is>
          <t>Y</t>
        </is>
      </c>
      <c r="F37" s="18" t="inlineStr">
        <is>
          <t>Y</t>
        </is>
      </c>
      <c r="G37" s="18" t="inlineStr">
        <is>
          <t>Y</t>
        </is>
      </c>
    </row>
    <row r="38">
      <c r="A38" s="2" t="n">
        <v>37</v>
      </c>
      <c r="B38" s="3" t="inlineStr">
        <is>
          <t>AI</t>
        </is>
      </c>
      <c r="C38" s="3" t="inlineStr">
        <is>
          <t>Pattern Extractor</t>
        </is>
      </c>
      <c r="D38" s="3" t="inlineStr">
        <is>
          <t>Pattern Extractor</t>
        </is>
      </c>
      <c r="E38" s="5" t="inlineStr">
        <is>
          <t>Y</t>
        </is>
      </c>
      <c r="F38" s="18" t="inlineStr">
        <is>
          <t>Y</t>
        </is>
      </c>
      <c r="G38" s="18" t="inlineStr">
        <is>
          <t>Y</t>
        </is>
      </c>
    </row>
    <row r="39">
      <c r="A39" s="2" t="n">
        <v>38</v>
      </c>
      <c r="B39" s="3" t="inlineStr">
        <is>
          <t>AI</t>
        </is>
      </c>
      <c r="C39" s="3" t="inlineStr">
        <is>
          <t>Daily Actions</t>
        </is>
      </c>
      <c r="D39" s="3" t="inlineStr">
        <is>
          <t>daily-actions</t>
        </is>
      </c>
      <c r="E39" s="5" t="inlineStr">
        <is>
          <t>Y</t>
        </is>
      </c>
      <c r="F39" s="18" t="inlineStr">
        <is>
          <t>Y</t>
        </is>
      </c>
      <c r="G39" s="5" t="inlineStr">
        <is>
          <t>Y</t>
        </is>
      </c>
    </row>
    <row r="40">
      <c r="A40" s="2" t="n">
        <v>39</v>
      </c>
      <c r="B40" s="3" t="inlineStr">
        <is>
          <t>AI</t>
        </is>
      </c>
      <c r="C40" s="3" t="inlineStr">
        <is>
          <t>Wargame Simulator</t>
        </is>
      </c>
      <c r="D40" s="3" t="inlineStr">
        <is>
          <t>wargame</t>
        </is>
      </c>
      <c r="E40" s="5" t="inlineStr">
        <is>
          <t>Y</t>
        </is>
      </c>
      <c r="F40" s="18" t="inlineStr">
        <is>
          <t>Y</t>
        </is>
      </c>
      <c r="G40" s="18" t="inlineStr">
        <is>
          <t>Y</t>
        </is>
      </c>
    </row>
    <row r="41">
      <c r="A41" s="2" t="n">
        <v>40</v>
      </c>
      <c r="B41" s="3" t="inlineStr">
        <is>
          <t>Reporting</t>
        </is>
      </c>
      <c r="C41" s="3" t="inlineStr">
        <is>
          <t>SITREP (36 nodes)</t>
        </is>
      </c>
      <c r="D41" s="3" t="inlineStr">
        <is>
          <t>sitrep 2</t>
        </is>
      </c>
      <c r="E41" s="5" t="inlineStr">
        <is>
          <t>Y</t>
        </is>
      </c>
      <c r="F41" s="18" t="inlineStr">
        <is>
          <t>Y</t>
        </is>
      </c>
      <c r="G41" s="5" t="inlineStr">
        <is>
          <t>Y</t>
        </is>
      </c>
    </row>
    <row r="42">
      <c r="A42" s="2" t="n">
        <v>41</v>
      </c>
      <c r="B42" s="3" t="inlineStr">
        <is>
          <t>Reporting</t>
        </is>
      </c>
      <c r="C42" s="3" t="inlineStr">
        <is>
          <t>Dashboard Intel</t>
        </is>
      </c>
      <c r="D42" s="3" t="inlineStr">
        <is>
          <t>dashboard-intel 2</t>
        </is>
      </c>
      <c r="E42" s="5" t="inlineStr">
        <is>
          <t>Y</t>
        </is>
      </c>
      <c r="F42" s="18" t="inlineStr">
        <is>
          <t>Y</t>
        </is>
      </c>
      <c r="G42" s="5" t="inlineStr">
        <is>
          <t>Y</t>
        </is>
      </c>
    </row>
    <row r="43">
      <c r="A43" s="2" t="n">
        <v>42</v>
      </c>
      <c r="B43" s="3" t="inlineStr">
        <is>
          <t>Reporting</t>
        </is>
      </c>
      <c r="C43" s="3" t="inlineStr">
        <is>
          <t>Chart Generator</t>
        </is>
      </c>
      <c r="D43" s="3" t="inlineStr">
        <is>
          <t>chart-generator</t>
        </is>
      </c>
      <c r="E43" s="5" t="inlineStr">
        <is>
          <t>Y</t>
        </is>
      </c>
      <c r="F43" s="18" t="inlineStr">
        <is>
          <t>Y</t>
        </is>
      </c>
      <c r="G43" s="18" t="inlineStr">
        <is>
          <t>Y</t>
        </is>
      </c>
    </row>
    <row r="44">
      <c r="A44" s="2" t="n">
        <v>43</v>
      </c>
      <c r="B44" s="3" t="inlineStr">
        <is>
          <t>Reporting</t>
        </is>
      </c>
      <c r="C44" s="3" t="inlineStr">
        <is>
          <t>Intel Feed</t>
        </is>
      </c>
      <c r="D44" s="3" t="inlineStr">
        <is>
          <t>intel-feed</t>
        </is>
      </c>
      <c r="E44" s="5" t="inlineStr">
        <is>
          <t>Y</t>
        </is>
      </c>
      <c r="F44" s="18" t="inlineStr">
        <is>
          <t>Y</t>
        </is>
      </c>
      <c r="G44" s="5" t="inlineStr">
        <is>
          <t>Y</t>
        </is>
      </c>
    </row>
    <row r="45">
      <c r="A45" s="2" t="n">
        <v>44</v>
      </c>
      <c r="B45" s="3" t="inlineStr">
        <is>
          <t>Collab</t>
        </is>
      </c>
      <c r="C45" s="3" t="inlineStr">
        <is>
          <t>Email Drafter</t>
        </is>
      </c>
      <c r="D45" s="3" t="inlineStr">
        <is>
          <t>email-drafter</t>
        </is>
      </c>
      <c r="E45" s="5" t="inlineStr">
        <is>
          <t>Y</t>
        </is>
      </c>
      <c r="F45" s="18" t="inlineStr">
        <is>
          <t>Y</t>
        </is>
      </c>
      <c r="G45" s="5" t="inlineStr">
        <is>
          <t>Y</t>
        </is>
      </c>
    </row>
    <row r="46">
      <c r="A46" s="2" t="n">
        <v>45</v>
      </c>
      <c r="B46" s="3" t="inlineStr">
        <is>
          <t>Collab</t>
        </is>
      </c>
      <c r="C46" s="3" t="inlineStr">
        <is>
          <t>Meeting Notes</t>
        </is>
      </c>
      <c r="D46" s="3" t="inlineStr">
        <is>
          <t>meeting-notes 2</t>
        </is>
      </c>
      <c r="E46" s="5" t="inlineStr">
        <is>
          <t>Y</t>
        </is>
      </c>
      <c r="F46" s="18" t="inlineStr">
        <is>
          <t>Y</t>
        </is>
      </c>
      <c r="G46" s="5" t="inlineStr">
        <is>
          <t>Y</t>
        </is>
      </c>
    </row>
    <row r="47">
      <c r="A47" s="2" t="n">
        <v>46</v>
      </c>
      <c r="B47" s="3" t="inlineStr">
        <is>
          <t>Relations</t>
        </is>
      </c>
      <c r="C47" s="3" t="inlineStr">
        <is>
          <t>Relationship Tracker</t>
        </is>
      </c>
      <c r="D47" s="3" t="inlineStr">
        <is>
          <t>relationship-tracker</t>
        </is>
      </c>
      <c r="E47" s="5" t="inlineStr">
        <is>
          <t>Y</t>
        </is>
      </c>
      <c r="F47" s="18" t="inlineStr">
        <is>
          <t>Y</t>
        </is>
      </c>
      <c r="G47" s="18" t="inlineStr">
        <is>
          <t>Y</t>
        </is>
      </c>
    </row>
    <row r="48">
      <c r="A48" s="2" t="n">
        <v>47</v>
      </c>
      <c r="B48" s="3" t="inlineStr">
        <is>
          <t>Relations</t>
        </is>
      </c>
      <c r="C48" s="3" t="inlineStr">
        <is>
          <t>Teaming Finder</t>
        </is>
      </c>
      <c r="D48" s="3" t="inlineStr">
        <is>
          <t>teaming-finder</t>
        </is>
      </c>
      <c r="E48" s="5" t="inlineStr">
        <is>
          <t>Y</t>
        </is>
      </c>
      <c r="F48" s="18" t="inlineStr">
        <is>
          <t>Y</t>
        </is>
      </c>
      <c r="G48" s="18" t="inlineStr">
        <is>
          <t>Y</t>
        </is>
      </c>
    </row>
    <row r="49">
      <c r="A49" s="2" t="n">
        <v>48</v>
      </c>
      <c r="B49" s="3" t="inlineStr">
        <is>
          <t>Relations</t>
        </is>
      </c>
      <c r="C49" s="3" t="inlineStr">
        <is>
          <t>Win/Loss DB</t>
        </is>
      </c>
      <c r="D49" s="3" t="inlineStr">
        <is>
          <t>win-loss-db</t>
        </is>
      </c>
      <c r="E49" s="5" t="inlineStr">
        <is>
          <t>Y</t>
        </is>
      </c>
      <c r="F49" s="18" t="inlineStr">
        <is>
          <t>Y</t>
        </is>
      </c>
      <c r="G49" s="5" t="inlineStr">
        <is>
          <t>Y</t>
        </is>
      </c>
    </row>
    <row r="50">
      <c r="A50" s="2" t="n">
        <v>49</v>
      </c>
      <c r="B50" s="3" t="inlineStr">
        <is>
          <t>Platform</t>
        </is>
      </c>
      <c r="C50" s="3" t="inlineStr">
        <is>
          <t>Deploy Pipeline</t>
        </is>
      </c>
      <c r="D50" s="3" t="inlineStr">
        <is>
          <t>deploy</t>
        </is>
      </c>
      <c r="E50" s="5" t="inlineStr">
        <is>
          <t>Y</t>
        </is>
      </c>
      <c r="F50" s="18" t="inlineStr">
        <is>
          <t>Y</t>
        </is>
      </c>
      <c r="G50" s="5" t="inlineStr">
        <is>
          <t>Y</t>
        </is>
      </c>
    </row>
    <row r="51">
      <c r="A51" s="2" t="n">
        <v>50</v>
      </c>
      <c r="B51" s="3" t="inlineStr">
        <is>
          <t>Platform</t>
        </is>
      </c>
      <c r="C51" s="3" t="inlineStr">
        <is>
          <t>Health Scan</t>
        </is>
      </c>
      <c r="D51" s="3" t="inlineStr">
        <is>
          <t>health-scan</t>
        </is>
      </c>
      <c r="E51" s="5" t="inlineStr">
        <is>
          <t>Y</t>
        </is>
      </c>
      <c r="F51" s="18" t="inlineStr">
        <is>
          <t>Y</t>
        </is>
      </c>
      <c r="G51" s="18" t="inlineStr">
        <is>
          <t>Y</t>
        </is>
      </c>
    </row>
    <row r="52">
      <c r="A52" s="2" t="n">
        <v>51</v>
      </c>
      <c r="B52" s="3" t="inlineStr">
        <is>
          <t>Platform</t>
        </is>
      </c>
      <c r="C52" s="3" t="inlineStr">
        <is>
          <t>E2E Tests (32/32)</t>
        </is>
      </c>
      <c r="D52" s="3" t="inlineStr">
        <is>
          <t>e2e-test suites</t>
        </is>
      </c>
      <c r="E52" s="5" t="inlineStr">
        <is>
          <t>Y</t>
        </is>
      </c>
      <c r="F52" s="18" t="inlineStr">
        <is>
          <t>Y</t>
        </is>
      </c>
      <c r="G52" s="18" t="inlineStr">
        <is>
          <t>Y</t>
        </is>
      </c>
    </row>
    <row r="53">
      <c r="A53" s="2" t="n">
        <v>52</v>
      </c>
      <c r="B53" s="3" t="inlineStr">
        <is>
          <t>Platform</t>
        </is>
      </c>
      <c r="C53" s="3" t="inlineStr">
        <is>
          <t>Data Sync v2</t>
        </is>
      </c>
      <c r="D53" s="3" t="inlineStr">
        <is>
          <t>DataSync_v2</t>
        </is>
      </c>
      <c r="E53" s="5" t="inlineStr">
        <is>
          <t>Y</t>
        </is>
      </c>
      <c r="F53" s="20" t="inlineStr">
        <is>
          <t>Y</t>
        </is>
      </c>
      <c r="G53" s="18" t="inlineStr">
        <is>
          <t>Y</t>
        </is>
      </c>
    </row>
    <row r="54">
      <c r="A54" s="2" t="n">
        <v>53</v>
      </c>
      <c r="B54" s="3" t="inlineStr">
        <is>
          <t>Platform</t>
        </is>
      </c>
      <c r="C54" s="3" t="inlineStr">
        <is>
          <t>System Watchdog</t>
        </is>
      </c>
      <c r="D54" s="3" t="inlineStr">
        <is>
          <t>System Watchdog</t>
        </is>
      </c>
      <c r="E54" s="5" t="inlineStr">
        <is>
          <t>Y</t>
        </is>
      </c>
      <c r="F54" s="20" t="inlineStr">
        <is>
          <t>Y</t>
        </is>
      </c>
      <c r="G54" s="18" t="inlineStr">
        <is>
          <t>Y</t>
        </is>
      </c>
    </row>
    <row r="55">
      <c r="A55" s="2" t="n">
        <v>54</v>
      </c>
      <c r="B55" s="3" t="inlineStr">
        <is>
          <t>Platform</t>
        </is>
      </c>
      <c r="C55" s="3" t="inlineStr">
        <is>
          <t>Chat Simple</t>
        </is>
      </c>
      <c r="D55" s="3" t="inlineStr">
        <is>
          <t>chat-simple</t>
        </is>
      </c>
      <c r="E55" s="5" t="inlineStr">
        <is>
          <t>Y</t>
        </is>
      </c>
      <c r="F55" s="18" t="inlineStr">
        <is>
          <t>Y</t>
        </is>
      </c>
      <c r="G55" s="18" t="inlineStr">
        <is>
          <t>Y</t>
        </is>
      </c>
    </row>
    <row r="56">
      <c r="A56" s="2" t="n">
        <v>55</v>
      </c>
      <c r="B56" s="3" t="inlineStr">
        <is>
          <t>Platform</t>
        </is>
      </c>
      <c r="C56" s="3" t="inlineStr">
        <is>
          <t>Knowledge Base</t>
        </is>
      </c>
      <c r="D56" s="3" t="inlineStr">
        <is>
          <t>knowledge-base</t>
        </is>
      </c>
      <c r="E56" s="5" t="inlineStr">
        <is>
          <t>Y</t>
        </is>
      </c>
      <c r="F56" s="18" t="inlineStr">
        <is>
          <t>Y</t>
        </is>
      </c>
      <c r="G56" s="5" t="inlineStr">
        <is>
          <t>Y</t>
        </is>
      </c>
    </row>
    <row r="57">
      <c r="A57" s="2" t="n">
        <v>56</v>
      </c>
      <c r="B57" s="3" t="inlineStr">
        <is>
          <t>Risk</t>
        </is>
      </c>
      <c r="C57" s="3" t="inlineStr">
        <is>
          <t>Risk Intel</t>
        </is>
      </c>
      <c r="D57" s="3" t="inlineStr">
        <is>
          <t>risk-intel</t>
        </is>
      </c>
      <c r="E57" s="5" t="inlineStr">
        <is>
          <t>Y</t>
        </is>
      </c>
      <c r="F57" s="18" t="inlineStr">
        <is>
          <t>Y</t>
        </is>
      </c>
      <c r="G57" s="18" t="inlineStr">
        <is>
          <t>Y</t>
        </is>
      </c>
    </row>
    <row r="58">
      <c r="A58" s="2" t="n">
        <v>57</v>
      </c>
      <c r="B58" s="3" t="inlineStr">
        <is>
          <t>Risk</t>
        </is>
      </c>
      <c r="C58" s="3" t="inlineStr">
        <is>
          <t>Auto Risk Gen</t>
        </is>
      </c>
      <c r="D58" s="3" t="inlineStr">
        <is>
          <t>auto-risk-generation</t>
        </is>
      </c>
      <c r="E58" s="5" t="inlineStr">
        <is>
          <t>Y</t>
        </is>
      </c>
      <c r="F58" s="18" t="inlineStr">
        <is>
          <t>Y</t>
        </is>
      </c>
      <c r="G58" s="18" t="inlineStr">
        <is>
          <t>Y</t>
        </is>
      </c>
    </row>
    <row r="59">
      <c r="A59" s="2" t="n">
        <v>58</v>
      </c>
      <c r="B59" s="3" t="inlineStr">
        <is>
          <t>Risk</t>
        </is>
      </c>
      <c r="C59" s="3" t="inlineStr">
        <is>
          <t>Challenge/Exit Monitor</t>
        </is>
      </c>
      <c r="D59" s="3" t="inlineStr">
        <is>
          <t>challenge-exit-monitor</t>
        </is>
      </c>
      <c r="E59" s="5" t="inlineStr">
        <is>
          <t>Y</t>
        </is>
      </c>
      <c r="F59" s="20" t="inlineStr">
        <is>
          <t>Y</t>
        </is>
      </c>
      <c r="G59" s="5" t="inlineStr">
        <is>
          <t>Y</t>
        </is>
      </c>
    </row>
    <row r="60">
      <c r="A60" s="2" t="n">
        <v>59</v>
      </c>
      <c r="B60" s="3" t="inlineStr">
        <is>
          <t>Strategic</t>
        </is>
      </c>
      <c r="C60" s="3" t="inlineStr">
        <is>
          <t>NDAA/FAR Ingest</t>
        </is>
      </c>
      <c r="D60" s="3" t="inlineStr">
        <is>
          <t>ndaa-far-ingest</t>
        </is>
      </c>
      <c r="E60" s="5" t="inlineStr">
        <is>
          <t>Y</t>
        </is>
      </c>
      <c r="F60" s="18" t="inlineStr">
        <is>
          <t>Y</t>
        </is>
      </c>
      <c r="G60" s="18" t="inlineStr">
        <is>
          <t>Y</t>
        </is>
      </c>
    </row>
    <row r="61">
      <c r="A61" s="2" t="n">
        <v>60</v>
      </c>
      <c r="B61" s="3" t="inlineStr">
        <is>
          <t>Strategic</t>
        </is>
      </c>
      <c r="C61" s="3" t="inlineStr">
        <is>
          <t>FPDS Enrichment</t>
        </is>
      </c>
      <c r="D61" s="3" t="inlineStr">
        <is>
          <t>fpds-enrichment</t>
        </is>
      </c>
      <c r="E61" s="5" t="inlineStr">
        <is>
          <t>Y</t>
        </is>
      </c>
      <c r="F61" s="20" t="inlineStr">
        <is>
          <t>Y</t>
        </is>
      </c>
      <c r="G61" s="5" t="inlineStr">
        <is>
          <t>Y</t>
        </is>
      </c>
    </row>
    <row r="62">
      <c r="A62" s="24" t="n">
        <v>61</v>
      </c>
      <c r="B62" s="24" t="inlineStr">
        <is>
          <t>Notifications</t>
        </is>
      </c>
      <c r="C62" s="24" t="inlineStr">
        <is>
          <t>Telegram One-Way Alerts</t>
        </is>
      </c>
      <c r="D62" s="24" t="inlineStr">
        <is>
          <t>GDA.notify.telegram</t>
        </is>
      </c>
      <c r="E62" s="24" t="inlineStr">
        <is>
          <t>Y</t>
        </is>
      </c>
      <c r="F62" s="24" t="inlineStr">
        <is>
          <t>Y</t>
        </is>
      </c>
      <c r="G62" s="24" t="inlineStr">
        <is>
          <t>Y</t>
        </is>
      </c>
    </row>
    <row r="63">
      <c r="A63" s="24" t="n">
        <v>62</v>
      </c>
      <c r="B63" s="24" t="inlineStr">
        <is>
          <t>Notifications</t>
        </is>
      </c>
      <c r="C63" s="24" t="inlineStr">
        <is>
          <t>Telegram Two-Way Chat</t>
        </is>
      </c>
      <c r="D63" s="24" t="inlineStr">
        <is>
          <t>GDA.bot.telegram-chat</t>
        </is>
      </c>
      <c r="E63" s="24" t="inlineStr">
        <is>
          <t>Y</t>
        </is>
      </c>
      <c r="F63" s="24" t="inlineStr">
        <is>
          <t>Y</t>
        </is>
      </c>
      <c r="G63" s="24" t="inlineStr">
        <is>
          <t>Y</t>
        </is>
      </c>
    </row>
    <row r="64">
      <c r="A64" s="24" t="n">
        <v>63</v>
      </c>
      <c r="B64" s="24" t="inlineStr">
        <is>
          <t>Platform Ops</t>
        </is>
      </c>
      <c r="C64" s="24" t="inlineStr">
        <is>
          <t>Error Log API</t>
        </is>
      </c>
      <c r="D64" s="24" t="inlineStr">
        <is>
          <t>GDA.api.error-log</t>
        </is>
      </c>
      <c r="E64" s="24" t="inlineStr">
        <is>
          <t>Y</t>
        </is>
      </c>
      <c r="F64" s="24" t="inlineStr">
        <is>
          <t>Y</t>
        </is>
      </c>
      <c r="G64" s="24" t="inlineStr">
        <is>
          <t>Y</t>
        </is>
      </c>
    </row>
    <row r="65">
      <c r="A65" s="24" t="n">
        <v>64</v>
      </c>
      <c r="B65" s="24" t="inlineStr">
        <is>
          <t>Platform Ops</t>
        </is>
      </c>
      <c r="C65" s="24" t="inlineStr">
        <is>
          <t>Error Log Frontend Viewer</t>
        </is>
      </c>
      <c r="D65" s="24" t="inlineStr">
        <is>
          <t>PlatformHealthPage.jsx</t>
        </is>
      </c>
      <c r="E65" s="24" t="inlineStr">
        <is>
          <t>Y</t>
        </is>
      </c>
      <c r="F65" s="24" t="inlineStr">
        <is>
          <t>N/A</t>
        </is>
      </c>
      <c r="G65" s="24" t="inlineStr">
        <is>
          <t>N/A</t>
        </is>
      </c>
    </row>
    <row r="66">
      <c r="A66" s="24" t="n">
        <v>65</v>
      </c>
      <c r="B66" s="24" t="inlineStr">
        <is>
          <t>Platform Ops</t>
        </is>
      </c>
      <c r="C66" s="24" t="inlineStr">
        <is>
          <t>MCP Proxy Write Action</t>
        </is>
      </c>
      <c r="D66" s="24" t="inlineStr">
        <is>
          <t>GDA.mcp.proxy</t>
        </is>
      </c>
      <c r="E66" s="24" t="inlineStr">
        <is>
          <t>Y</t>
        </is>
      </c>
      <c r="F66" s="24" t="inlineStr">
        <is>
          <t>Y</t>
        </is>
      </c>
      <c r="G66" s="24" t="inlineStr">
        <is>
          <t>N/A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2026-04-06T18:31:30Z</dcterms:created>
  <dcterms:modified xmlns:dcterms="http://purl.org/dc/terms/" xmlns:xsi="http://www.w3.org/2001/XMLSchema-instance" xsi:type="dcterms:W3CDTF">2026-04-10T14:34:15Z</dcterms:modified>
  <cp:lastModifiedBy>Shawn Seffernick</cp:lastModifiedBy>
</cp:coreProperties>
</file>